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1" codeName="{00000000-0000-0000-0000-000000000000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bricio Silva\Desktop\HATRO CLUB\INSTAGRAM\PLANILHAS PARA GRAVAR\"/>
    </mc:Choice>
  </mc:AlternateContent>
  <xr:revisionPtr revIDLastSave="0" documentId="8_{F2489082-84A8-474E-B720-968F4D38BC7E}" xr6:coauthVersionLast="47" xr6:coauthVersionMax="47" xr10:uidLastSave="{00000000-0000-0000-0000-000000000000}"/>
  <bookViews>
    <workbookView xWindow="-120" yWindow="-120" windowWidth="20730" windowHeight="11160" firstSheet="5" activeTab="5" xr2:uid="{6A81E088-8BAF-4280-955D-B5CAFA36EF91}"/>
  </bookViews>
  <sheets>
    <sheet name="@Hastro.club (2)" sheetId="6" state="hidden" r:id="rId1"/>
    <sheet name="@Hastro.club" sheetId="4" state="hidden" r:id="rId2"/>
    <sheet name="Detalhes1" sheetId="7" state="hidden" r:id="rId3"/>
    <sheet name="Detalhes2" sheetId="10" state="hidden" r:id="rId4"/>
    <sheet name="Cálculos" sheetId="8" state="hidden" r:id="rId5"/>
    <sheet name="DASHBOARD" sheetId="9" r:id="rId6"/>
  </sheets>
  <definedNames>
    <definedName name="_xlnm._FilterDatabase" localSheetId="0" hidden="1">'@Hastro.club (2)'!$B$1:$B$1013</definedName>
    <definedName name="_xlchart.v2.0" hidden="1">Cálculos!$B$36:$B$40</definedName>
    <definedName name="_xlchart.v2.1" hidden="1">Cálculos!$C$35</definedName>
    <definedName name="_xlchart.v2.2" hidden="1">Cálculos!$C$36:$C$40</definedName>
    <definedName name="_xlchart.v2.3" hidden="1">Cálculos!$B$36:$B$40</definedName>
    <definedName name="_xlchart.v2.4" hidden="1">Cálculos!$C$35</definedName>
    <definedName name="_xlchart.v2.5" hidden="1">Cálculos!$C$36:$C$40</definedName>
    <definedName name="SegmentaçãodeDados_Mês">#N/A</definedName>
  </definedNames>
  <calcPr calcId="191028"/>
  <pivotCaches>
    <pivotCache cacheId="924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8" l="1"/>
  <c r="K9" i="9" s="1"/>
  <c r="E9" i="9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43" i="6"/>
  <c r="L544" i="6"/>
  <c r="L545" i="6"/>
  <c r="L546" i="6"/>
  <c r="L547" i="6"/>
  <c r="L548" i="6"/>
  <c r="L549" i="6"/>
  <c r="L550" i="6"/>
  <c r="L551" i="6"/>
  <c r="L552" i="6"/>
  <c r="L553" i="6"/>
  <c r="L554" i="6"/>
  <c r="L555" i="6"/>
  <c r="L556" i="6"/>
  <c r="L557" i="6"/>
  <c r="L558" i="6"/>
  <c r="L559" i="6"/>
  <c r="L560" i="6"/>
  <c r="L561" i="6"/>
  <c r="L562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5" i="6"/>
  <c r="L576" i="6"/>
  <c r="L577" i="6"/>
  <c r="L578" i="6"/>
  <c r="L579" i="6"/>
  <c r="L580" i="6"/>
  <c r="L581" i="6"/>
  <c r="L582" i="6"/>
  <c r="L583" i="6"/>
  <c r="L584" i="6"/>
  <c r="L585" i="6"/>
  <c r="L586" i="6"/>
  <c r="L587" i="6"/>
  <c r="L588" i="6"/>
  <c r="L589" i="6"/>
  <c r="L590" i="6"/>
  <c r="L591" i="6"/>
  <c r="L592" i="6"/>
  <c r="L593" i="6"/>
  <c r="L594" i="6"/>
  <c r="L595" i="6"/>
  <c r="L596" i="6"/>
  <c r="L597" i="6"/>
  <c r="L598" i="6"/>
  <c r="L599" i="6"/>
  <c r="L600" i="6"/>
  <c r="L601" i="6"/>
  <c r="L602" i="6"/>
  <c r="L603" i="6"/>
  <c r="L604" i="6"/>
  <c r="L605" i="6"/>
  <c r="L606" i="6"/>
  <c r="L607" i="6"/>
  <c r="L608" i="6"/>
  <c r="L609" i="6"/>
  <c r="L610" i="6"/>
  <c r="L611" i="6"/>
  <c r="L612" i="6"/>
  <c r="L613" i="6"/>
  <c r="L614" i="6"/>
  <c r="L615" i="6"/>
  <c r="L616" i="6"/>
  <c r="L617" i="6"/>
  <c r="L618" i="6"/>
  <c r="L619" i="6"/>
  <c r="L620" i="6"/>
  <c r="L621" i="6"/>
  <c r="L622" i="6"/>
  <c r="L623" i="6"/>
  <c r="L624" i="6"/>
  <c r="L625" i="6"/>
  <c r="L626" i="6"/>
  <c r="L627" i="6"/>
  <c r="L628" i="6"/>
  <c r="L629" i="6"/>
  <c r="L630" i="6"/>
  <c r="L631" i="6"/>
  <c r="L632" i="6"/>
  <c r="L633" i="6"/>
  <c r="L634" i="6"/>
  <c r="L635" i="6"/>
  <c r="L636" i="6"/>
  <c r="L637" i="6"/>
  <c r="L638" i="6"/>
  <c r="L639" i="6"/>
  <c r="L640" i="6"/>
  <c r="L641" i="6"/>
  <c r="L642" i="6"/>
  <c r="L643" i="6"/>
  <c r="L644" i="6"/>
  <c r="L645" i="6"/>
  <c r="L646" i="6"/>
  <c r="L647" i="6"/>
  <c r="L648" i="6"/>
  <c r="L649" i="6"/>
  <c r="L650" i="6"/>
  <c r="L651" i="6"/>
  <c r="L652" i="6"/>
  <c r="L653" i="6"/>
  <c r="L654" i="6"/>
  <c r="L655" i="6"/>
  <c r="L656" i="6"/>
  <c r="L657" i="6"/>
  <c r="L658" i="6"/>
  <c r="L659" i="6"/>
  <c r="L660" i="6"/>
  <c r="L661" i="6"/>
  <c r="L662" i="6"/>
  <c r="L663" i="6"/>
  <c r="L664" i="6"/>
  <c r="L665" i="6"/>
  <c r="L666" i="6"/>
  <c r="L667" i="6"/>
  <c r="L668" i="6"/>
  <c r="L669" i="6"/>
  <c r="L670" i="6"/>
  <c r="L671" i="6"/>
  <c r="L672" i="6"/>
  <c r="L673" i="6"/>
  <c r="L674" i="6"/>
  <c r="L675" i="6"/>
  <c r="L676" i="6"/>
  <c r="L677" i="6"/>
  <c r="L678" i="6"/>
  <c r="L679" i="6"/>
  <c r="L680" i="6"/>
  <c r="L681" i="6"/>
  <c r="L682" i="6"/>
  <c r="L683" i="6"/>
  <c r="L684" i="6"/>
  <c r="L685" i="6"/>
  <c r="L686" i="6"/>
  <c r="L687" i="6"/>
  <c r="L688" i="6"/>
  <c r="L689" i="6"/>
  <c r="L690" i="6"/>
  <c r="L691" i="6"/>
  <c r="L692" i="6"/>
  <c r="L693" i="6"/>
  <c r="L694" i="6"/>
  <c r="L695" i="6"/>
  <c r="L696" i="6"/>
  <c r="L697" i="6"/>
  <c r="L698" i="6"/>
  <c r="L699" i="6"/>
  <c r="L700" i="6"/>
  <c r="L701" i="6"/>
  <c r="L702" i="6"/>
  <c r="L703" i="6"/>
  <c r="L704" i="6"/>
  <c r="L705" i="6"/>
  <c r="L706" i="6"/>
  <c r="L707" i="6"/>
  <c r="L708" i="6"/>
  <c r="L709" i="6"/>
  <c r="L710" i="6"/>
  <c r="L711" i="6"/>
  <c r="L712" i="6"/>
  <c r="L713" i="6"/>
  <c r="L714" i="6"/>
  <c r="L715" i="6"/>
  <c r="L716" i="6"/>
  <c r="L717" i="6"/>
  <c r="L718" i="6"/>
  <c r="L719" i="6"/>
  <c r="L720" i="6"/>
  <c r="L721" i="6"/>
  <c r="L722" i="6"/>
  <c r="L723" i="6"/>
  <c r="L724" i="6"/>
  <c r="L725" i="6"/>
  <c r="L726" i="6"/>
  <c r="L727" i="6"/>
  <c r="L728" i="6"/>
  <c r="L729" i="6"/>
  <c r="L730" i="6"/>
  <c r="L731" i="6"/>
  <c r="L732" i="6"/>
  <c r="L733" i="6"/>
  <c r="L734" i="6"/>
  <c r="L735" i="6"/>
  <c r="L736" i="6"/>
  <c r="L737" i="6"/>
  <c r="L738" i="6"/>
  <c r="L739" i="6"/>
  <c r="L740" i="6"/>
  <c r="L741" i="6"/>
  <c r="L742" i="6"/>
  <c r="L743" i="6"/>
  <c r="L744" i="6"/>
  <c r="L745" i="6"/>
  <c r="L746" i="6"/>
  <c r="L747" i="6"/>
  <c r="L748" i="6"/>
  <c r="L749" i="6"/>
  <c r="L750" i="6"/>
  <c r="L751" i="6"/>
  <c r="L752" i="6"/>
  <c r="L753" i="6"/>
  <c r="L754" i="6"/>
  <c r="L755" i="6"/>
  <c r="L756" i="6"/>
  <c r="L757" i="6"/>
  <c r="L758" i="6"/>
  <c r="L759" i="6"/>
  <c r="L760" i="6"/>
  <c r="L761" i="6"/>
  <c r="L762" i="6"/>
  <c r="L763" i="6"/>
  <c r="L764" i="6"/>
  <c r="L765" i="6"/>
  <c r="L766" i="6"/>
  <c r="L767" i="6"/>
  <c r="L768" i="6"/>
  <c r="L769" i="6"/>
  <c r="L770" i="6"/>
  <c r="L771" i="6"/>
  <c r="L772" i="6"/>
  <c r="L773" i="6"/>
  <c r="L774" i="6"/>
  <c r="L775" i="6"/>
  <c r="L776" i="6"/>
  <c r="L777" i="6"/>
  <c r="L778" i="6"/>
  <c r="L779" i="6"/>
  <c r="L780" i="6"/>
  <c r="L781" i="6"/>
  <c r="L782" i="6"/>
  <c r="L783" i="6"/>
  <c r="L784" i="6"/>
  <c r="L785" i="6"/>
  <c r="L786" i="6"/>
  <c r="L787" i="6"/>
  <c r="L788" i="6"/>
  <c r="L789" i="6"/>
  <c r="L790" i="6"/>
  <c r="L791" i="6"/>
  <c r="L792" i="6"/>
  <c r="L793" i="6"/>
  <c r="L794" i="6"/>
  <c r="L795" i="6"/>
  <c r="L796" i="6"/>
  <c r="L797" i="6"/>
  <c r="L798" i="6"/>
  <c r="L799" i="6"/>
  <c r="L800" i="6"/>
  <c r="L801" i="6"/>
  <c r="L802" i="6"/>
  <c r="L803" i="6"/>
  <c r="L804" i="6"/>
  <c r="L805" i="6"/>
  <c r="L806" i="6"/>
  <c r="L807" i="6"/>
  <c r="L808" i="6"/>
  <c r="L809" i="6"/>
  <c r="L810" i="6"/>
  <c r="L811" i="6"/>
  <c r="L812" i="6"/>
  <c r="L813" i="6"/>
  <c r="L814" i="6"/>
  <c r="L815" i="6"/>
  <c r="L816" i="6"/>
  <c r="L817" i="6"/>
  <c r="L818" i="6"/>
  <c r="L819" i="6"/>
  <c r="L820" i="6"/>
  <c r="L821" i="6"/>
  <c r="L822" i="6"/>
  <c r="L823" i="6"/>
  <c r="L824" i="6"/>
  <c r="L825" i="6"/>
  <c r="L826" i="6"/>
  <c r="L827" i="6"/>
  <c r="L828" i="6"/>
  <c r="L829" i="6"/>
  <c r="L830" i="6"/>
  <c r="L831" i="6"/>
  <c r="L832" i="6"/>
  <c r="L833" i="6"/>
  <c r="L834" i="6"/>
  <c r="L835" i="6"/>
  <c r="L836" i="6"/>
  <c r="L837" i="6"/>
  <c r="L838" i="6"/>
  <c r="L839" i="6"/>
  <c r="L840" i="6"/>
  <c r="L841" i="6"/>
  <c r="L842" i="6"/>
  <c r="L843" i="6"/>
  <c r="L844" i="6"/>
  <c r="L845" i="6"/>
  <c r="L846" i="6"/>
  <c r="L847" i="6"/>
  <c r="L848" i="6"/>
  <c r="L849" i="6"/>
  <c r="L850" i="6"/>
  <c r="L851" i="6"/>
  <c r="L852" i="6"/>
  <c r="L853" i="6"/>
  <c r="L854" i="6"/>
  <c r="L855" i="6"/>
  <c r="L856" i="6"/>
  <c r="L857" i="6"/>
  <c r="L858" i="6"/>
  <c r="L859" i="6"/>
  <c r="L860" i="6"/>
  <c r="L861" i="6"/>
  <c r="L862" i="6"/>
  <c r="L863" i="6"/>
  <c r="L864" i="6"/>
  <c r="L865" i="6"/>
  <c r="L866" i="6"/>
  <c r="L867" i="6"/>
  <c r="L868" i="6"/>
  <c r="L869" i="6"/>
  <c r="L870" i="6"/>
  <c r="L871" i="6"/>
  <c r="L872" i="6"/>
  <c r="L873" i="6"/>
  <c r="L874" i="6"/>
  <c r="L875" i="6"/>
  <c r="L876" i="6"/>
  <c r="L877" i="6"/>
  <c r="L878" i="6"/>
  <c r="L879" i="6"/>
  <c r="L880" i="6"/>
  <c r="L881" i="6"/>
  <c r="L882" i="6"/>
  <c r="L883" i="6"/>
  <c r="L884" i="6"/>
  <c r="L885" i="6"/>
  <c r="L886" i="6"/>
  <c r="L887" i="6"/>
  <c r="L888" i="6"/>
  <c r="L889" i="6"/>
  <c r="L890" i="6"/>
  <c r="L891" i="6"/>
  <c r="L892" i="6"/>
  <c r="L893" i="6"/>
  <c r="L894" i="6"/>
  <c r="L895" i="6"/>
  <c r="L896" i="6"/>
  <c r="L897" i="6"/>
  <c r="L898" i="6"/>
  <c r="L899" i="6"/>
  <c r="L900" i="6"/>
  <c r="L901" i="6"/>
  <c r="L902" i="6"/>
  <c r="L903" i="6"/>
  <c r="L904" i="6"/>
  <c r="L905" i="6"/>
  <c r="L906" i="6"/>
  <c r="L907" i="6"/>
  <c r="L908" i="6"/>
  <c r="L909" i="6"/>
  <c r="L910" i="6"/>
  <c r="L911" i="6"/>
  <c r="L912" i="6"/>
  <c r="L913" i="6"/>
  <c r="L914" i="6"/>
  <c r="L915" i="6"/>
  <c r="L916" i="6"/>
  <c r="L917" i="6"/>
  <c r="L918" i="6"/>
  <c r="L919" i="6"/>
  <c r="L920" i="6"/>
  <c r="L921" i="6"/>
  <c r="L922" i="6"/>
  <c r="L923" i="6"/>
  <c r="L924" i="6"/>
  <c r="L925" i="6"/>
  <c r="L926" i="6"/>
  <c r="L927" i="6"/>
  <c r="L928" i="6"/>
  <c r="L929" i="6"/>
  <c r="L930" i="6"/>
  <c r="L931" i="6"/>
  <c r="L932" i="6"/>
  <c r="L933" i="6"/>
  <c r="L934" i="6"/>
  <c r="L935" i="6"/>
  <c r="L936" i="6"/>
  <c r="L937" i="6"/>
  <c r="L938" i="6"/>
  <c r="L939" i="6"/>
  <c r="L940" i="6"/>
  <c r="L941" i="6"/>
  <c r="L942" i="6"/>
  <c r="L943" i="6"/>
  <c r="L944" i="6"/>
  <c r="L945" i="6"/>
  <c r="L946" i="6"/>
  <c r="L947" i="6"/>
  <c r="L948" i="6"/>
  <c r="L949" i="6"/>
  <c r="L950" i="6"/>
  <c r="L951" i="6"/>
  <c r="L952" i="6"/>
  <c r="L953" i="6"/>
  <c r="L954" i="6"/>
  <c r="L955" i="6"/>
  <c r="L956" i="6"/>
  <c r="L957" i="6"/>
  <c r="L958" i="6"/>
  <c r="L959" i="6"/>
  <c r="L960" i="6"/>
  <c r="L961" i="6"/>
  <c r="L962" i="6"/>
  <c r="L963" i="6"/>
  <c r="L964" i="6"/>
  <c r="L965" i="6"/>
  <c r="L966" i="6"/>
  <c r="L967" i="6"/>
  <c r="L968" i="6"/>
  <c r="L969" i="6"/>
  <c r="L970" i="6"/>
  <c r="L971" i="6"/>
  <c r="L972" i="6"/>
  <c r="L973" i="6"/>
  <c r="L974" i="6"/>
  <c r="L975" i="6"/>
  <c r="L976" i="6"/>
  <c r="L977" i="6"/>
  <c r="L978" i="6"/>
  <c r="L979" i="6"/>
  <c r="L980" i="6"/>
  <c r="L981" i="6"/>
  <c r="L982" i="6"/>
  <c r="L983" i="6"/>
  <c r="L984" i="6"/>
  <c r="L985" i="6"/>
  <c r="L986" i="6"/>
  <c r="L987" i="6"/>
  <c r="L988" i="6"/>
  <c r="L989" i="6"/>
  <c r="L990" i="6"/>
  <c r="L991" i="6"/>
  <c r="L992" i="6"/>
  <c r="L993" i="6"/>
  <c r="L994" i="6"/>
  <c r="L995" i="6"/>
  <c r="L996" i="6"/>
  <c r="L997" i="6"/>
  <c r="L998" i="6"/>
  <c r="L999" i="6"/>
  <c r="L1000" i="6"/>
  <c r="L1001" i="6"/>
  <c r="L1002" i="6"/>
  <c r="L1003" i="6"/>
  <c r="L1004" i="6"/>
  <c r="L1005" i="6"/>
  <c r="L1006" i="6"/>
  <c r="L1007" i="6"/>
  <c r="L1008" i="6"/>
  <c r="L1009" i="6"/>
  <c r="L1010" i="6"/>
  <c r="L1011" i="6"/>
  <c r="L1012" i="6"/>
  <c r="L1013" i="6"/>
  <c r="L2" i="6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1002" i="7"/>
  <c r="K1003" i="7"/>
  <c r="K1004" i="7"/>
  <c r="K1005" i="7"/>
  <c r="K1006" i="7"/>
  <c r="K1007" i="7"/>
  <c r="K1008" i="7"/>
  <c r="K1009" i="7"/>
  <c r="K1010" i="7"/>
  <c r="K1011" i="7"/>
  <c r="K1012" i="7"/>
  <c r="K1013" i="7"/>
  <c r="K1014" i="7"/>
  <c r="K1015" i="7"/>
  <c r="K4" i="7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2" i="6"/>
  <c r="U1013" i="6"/>
  <c r="U1012" i="6"/>
  <c r="U1011" i="6"/>
  <c r="U1010" i="6"/>
  <c r="U1009" i="6"/>
  <c r="U1008" i="6"/>
  <c r="U1007" i="6"/>
  <c r="U1006" i="6"/>
  <c r="U1005" i="6"/>
  <c r="U1004" i="6"/>
  <c r="U1003" i="6"/>
  <c r="U1002" i="6"/>
  <c r="U1001" i="6"/>
  <c r="U1000" i="6"/>
  <c r="U999" i="6"/>
  <c r="U998" i="6"/>
  <c r="U997" i="6"/>
  <c r="U996" i="6"/>
  <c r="U995" i="6"/>
  <c r="U994" i="6"/>
  <c r="U993" i="6"/>
  <c r="U992" i="6"/>
  <c r="U991" i="6"/>
  <c r="U990" i="6"/>
  <c r="U989" i="6"/>
  <c r="U988" i="6"/>
  <c r="U987" i="6"/>
  <c r="U986" i="6"/>
  <c r="U985" i="6"/>
  <c r="U984" i="6"/>
  <c r="U983" i="6"/>
  <c r="U982" i="6"/>
  <c r="U981" i="6"/>
  <c r="U980" i="6"/>
  <c r="U979" i="6"/>
  <c r="U978" i="6"/>
  <c r="U977" i="6"/>
  <c r="U976" i="6"/>
  <c r="U975" i="6"/>
  <c r="U974" i="6"/>
  <c r="U973" i="6"/>
  <c r="U972" i="6"/>
  <c r="U971" i="6"/>
  <c r="U970" i="6"/>
  <c r="U969" i="6"/>
  <c r="U968" i="6"/>
  <c r="U967" i="6"/>
  <c r="U966" i="6"/>
  <c r="U965" i="6"/>
  <c r="U964" i="6"/>
  <c r="U963" i="6"/>
  <c r="U962" i="6"/>
  <c r="U961" i="6"/>
  <c r="U960" i="6"/>
  <c r="U959" i="6"/>
  <c r="U958" i="6"/>
  <c r="U957" i="6"/>
  <c r="U956" i="6"/>
  <c r="U955" i="6"/>
  <c r="U954" i="6"/>
  <c r="U953" i="6"/>
  <c r="U952" i="6"/>
  <c r="U951" i="6"/>
  <c r="U950" i="6"/>
  <c r="U949" i="6"/>
  <c r="U948" i="6"/>
  <c r="U947" i="6"/>
  <c r="U946" i="6"/>
  <c r="U945" i="6"/>
  <c r="U944" i="6"/>
  <c r="U943" i="6"/>
  <c r="U942" i="6"/>
  <c r="U941" i="6"/>
  <c r="U940" i="6"/>
  <c r="U939" i="6"/>
  <c r="U938" i="6"/>
  <c r="U937" i="6"/>
  <c r="U936" i="6"/>
  <c r="U935" i="6"/>
  <c r="U934" i="6"/>
  <c r="U933" i="6"/>
  <c r="U932" i="6"/>
  <c r="U931" i="6"/>
  <c r="U930" i="6"/>
  <c r="U929" i="6"/>
  <c r="U928" i="6"/>
  <c r="U927" i="6"/>
  <c r="U926" i="6"/>
  <c r="U925" i="6"/>
  <c r="U924" i="6"/>
  <c r="U923" i="6"/>
  <c r="U922" i="6"/>
  <c r="U921" i="6"/>
  <c r="U920" i="6"/>
  <c r="U919" i="6"/>
  <c r="U918" i="6"/>
  <c r="U917" i="6"/>
  <c r="U916" i="6"/>
  <c r="U915" i="6"/>
  <c r="U914" i="6"/>
  <c r="U913" i="6"/>
  <c r="U912" i="6"/>
  <c r="U911" i="6"/>
  <c r="U910" i="6"/>
  <c r="U909" i="6"/>
  <c r="U908" i="6"/>
  <c r="U907" i="6"/>
  <c r="U906" i="6"/>
  <c r="U905" i="6"/>
  <c r="U904" i="6"/>
  <c r="U903" i="6"/>
  <c r="U902" i="6"/>
  <c r="U901" i="6"/>
  <c r="U900" i="6"/>
  <c r="U899" i="6"/>
  <c r="U898" i="6"/>
  <c r="U897" i="6"/>
  <c r="U896" i="6"/>
  <c r="U895" i="6"/>
  <c r="U894" i="6"/>
  <c r="U893" i="6"/>
  <c r="U892" i="6"/>
  <c r="U891" i="6"/>
  <c r="U890" i="6"/>
  <c r="U889" i="6"/>
  <c r="U888" i="6"/>
  <c r="U887" i="6"/>
  <c r="U886" i="6"/>
  <c r="U885" i="6"/>
  <c r="U884" i="6"/>
  <c r="U883" i="6"/>
  <c r="U882" i="6"/>
  <c r="U881" i="6"/>
  <c r="U880" i="6"/>
  <c r="U879" i="6"/>
  <c r="U878" i="6"/>
  <c r="U877" i="6"/>
  <c r="U876" i="6"/>
  <c r="U875" i="6"/>
  <c r="U874" i="6"/>
  <c r="U873" i="6"/>
  <c r="U872" i="6"/>
  <c r="U871" i="6"/>
  <c r="U870" i="6"/>
  <c r="U869" i="6"/>
  <c r="U868" i="6"/>
  <c r="U867" i="6"/>
  <c r="U866" i="6"/>
  <c r="U865" i="6"/>
  <c r="U864" i="6"/>
  <c r="U863" i="6"/>
  <c r="U862" i="6"/>
  <c r="U861" i="6"/>
  <c r="U860" i="6"/>
  <c r="U859" i="6"/>
  <c r="U858" i="6"/>
  <c r="U857" i="6"/>
  <c r="U856" i="6"/>
  <c r="U855" i="6"/>
  <c r="U854" i="6"/>
  <c r="U853" i="6"/>
  <c r="U852" i="6"/>
  <c r="U851" i="6"/>
  <c r="U850" i="6"/>
  <c r="U849" i="6"/>
  <c r="U848" i="6"/>
  <c r="U847" i="6"/>
  <c r="U846" i="6"/>
  <c r="U845" i="6"/>
  <c r="U844" i="6"/>
  <c r="U843" i="6"/>
  <c r="U842" i="6"/>
  <c r="U841" i="6"/>
  <c r="U840" i="6"/>
  <c r="U839" i="6"/>
  <c r="U838" i="6"/>
  <c r="U837" i="6"/>
  <c r="U836" i="6"/>
  <c r="U835" i="6"/>
  <c r="U834" i="6"/>
  <c r="U833" i="6"/>
  <c r="U832" i="6"/>
  <c r="U831" i="6"/>
  <c r="U830" i="6"/>
  <c r="U829" i="6"/>
  <c r="U828" i="6"/>
  <c r="U827" i="6"/>
  <c r="U826" i="6"/>
  <c r="U825" i="6"/>
  <c r="U824" i="6"/>
  <c r="U823" i="6"/>
  <c r="U822" i="6"/>
  <c r="U821" i="6"/>
  <c r="U820" i="6"/>
  <c r="U819" i="6"/>
  <c r="U818" i="6"/>
  <c r="U817" i="6"/>
  <c r="U816" i="6"/>
  <c r="U815" i="6"/>
  <c r="U814" i="6"/>
  <c r="U813" i="6"/>
  <c r="U812" i="6"/>
  <c r="U811" i="6"/>
  <c r="U810" i="6"/>
  <c r="U809" i="6"/>
  <c r="U808" i="6"/>
  <c r="U807" i="6"/>
  <c r="U806" i="6"/>
  <c r="U805" i="6"/>
  <c r="U804" i="6"/>
  <c r="U803" i="6"/>
  <c r="U802" i="6"/>
  <c r="U801" i="6"/>
  <c r="U800" i="6"/>
  <c r="U799" i="6"/>
  <c r="U798" i="6"/>
  <c r="U797" i="6"/>
  <c r="U796" i="6"/>
  <c r="U795" i="6"/>
  <c r="U794" i="6"/>
  <c r="U793" i="6"/>
  <c r="U792" i="6"/>
  <c r="U791" i="6"/>
  <c r="U790" i="6"/>
  <c r="U789" i="6"/>
  <c r="U788" i="6"/>
  <c r="U787" i="6"/>
  <c r="U786" i="6"/>
  <c r="U785" i="6"/>
  <c r="U784" i="6"/>
  <c r="U783" i="6"/>
  <c r="U782" i="6"/>
  <c r="U781" i="6"/>
  <c r="U780" i="6"/>
  <c r="U779" i="6"/>
  <c r="U778" i="6"/>
  <c r="U777" i="6"/>
  <c r="U776" i="6"/>
  <c r="U775" i="6"/>
  <c r="U774" i="6"/>
  <c r="U773" i="6"/>
  <c r="U772" i="6"/>
  <c r="U771" i="6"/>
  <c r="U770" i="6"/>
  <c r="U769" i="6"/>
  <c r="U768" i="6"/>
  <c r="U767" i="6"/>
  <c r="U766" i="6"/>
  <c r="U765" i="6"/>
  <c r="U764" i="6"/>
  <c r="U763" i="6"/>
  <c r="U762" i="6"/>
  <c r="U761" i="6"/>
  <c r="U760" i="6"/>
  <c r="U759" i="6"/>
  <c r="U758" i="6"/>
  <c r="U757" i="6"/>
  <c r="U756" i="6"/>
  <c r="U755" i="6"/>
  <c r="U754" i="6"/>
  <c r="U753" i="6"/>
  <c r="U752" i="6"/>
  <c r="U751" i="6"/>
  <c r="U750" i="6"/>
  <c r="U749" i="6"/>
  <c r="U748" i="6"/>
  <c r="U747" i="6"/>
  <c r="U746" i="6"/>
  <c r="U745" i="6"/>
  <c r="U744" i="6"/>
  <c r="U743" i="6"/>
  <c r="U742" i="6"/>
  <c r="U741" i="6"/>
  <c r="U740" i="6"/>
  <c r="U739" i="6"/>
  <c r="U738" i="6"/>
  <c r="U737" i="6"/>
  <c r="U736" i="6"/>
  <c r="U735" i="6"/>
  <c r="U734" i="6"/>
  <c r="U733" i="6"/>
  <c r="U732" i="6"/>
  <c r="U731" i="6"/>
  <c r="U730" i="6"/>
  <c r="U729" i="6"/>
  <c r="U728" i="6"/>
  <c r="U727" i="6"/>
  <c r="U726" i="6"/>
  <c r="U725" i="6"/>
  <c r="U724" i="6"/>
  <c r="U723" i="6"/>
  <c r="U722" i="6"/>
  <c r="U721" i="6"/>
  <c r="U720" i="6"/>
  <c r="U719" i="6"/>
  <c r="U718" i="6"/>
  <c r="U717" i="6"/>
  <c r="U716" i="6"/>
  <c r="U715" i="6"/>
  <c r="U714" i="6"/>
  <c r="U713" i="6"/>
  <c r="U712" i="6"/>
  <c r="U711" i="6"/>
  <c r="U710" i="6"/>
  <c r="U709" i="6"/>
  <c r="U708" i="6"/>
  <c r="U707" i="6"/>
  <c r="U706" i="6"/>
  <c r="U705" i="6"/>
  <c r="U704" i="6"/>
  <c r="U703" i="6"/>
  <c r="U702" i="6"/>
  <c r="U701" i="6"/>
  <c r="U700" i="6"/>
  <c r="U699" i="6"/>
  <c r="U698" i="6"/>
  <c r="U697" i="6"/>
  <c r="U696" i="6"/>
  <c r="U695" i="6"/>
  <c r="U694" i="6"/>
  <c r="U693" i="6"/>
  <c r="U692" i="6"/>
  <c r="U691" i="6"/>
  <c r="U690" i="6"/>
  <c r="U689" i="6"/>
  <c r="U688" i="6"/>
  <c r="U687" i="6"/>
  <c r="U686" i="6"/>
  <c r="U685" i="6"/>
  <c r="U684" i="6"/>
  <c r="U683" i="6"/>
  <c r="U682" i="6"/>
  <c r="U681" i="6"/>
  <c r="U680" i="6"/>
  <c r="U679" i="6"/>
  <c r="U678" i="6"/>
  <c r="U677" i="6"/>
  <c r="U676" i="6"/>
  <c r="U675" i="6"/>
  <c r="U674" i="6"/>
  <c r="U673" i="6"/>
  <c r="U672" i="6"/>
  <c r="U671" i="6"/>
  <c r="U670" i="6"/>
  <c r="U669" i="6"/>
  <c r="U668" i="6"/>
  <c r="U667" i="6"/>
  <c r="U666" i="6"/>
  <c r="U665" i="6"/>
  <c r="U664" i="6"/>
  <c r="U663" i="6"/>
  <c r="U662" i="6"/>
  <c r="U661" i="6"/>
  <c r="U660" i="6"/>
  <c r="U659" i="6"/>
  <c r="U658" i="6"/>
  <c r="U657" i="6"/>
  <c r="U656" i="6"/>
  <c r="U655" i="6"/>
  <c r="U654" i="6"/>
  <c r="U653" i="6"/>
  <c r="U652" i="6"/>
  <c r="U651" i="6"/>
  <c r="U650" i="6"/>
  <c r="U649" i="6"/>
  <c r="U648" i="6"/>
  <c r="U647" i="6"/>
  <c r="U646" i="6"/>
  <c r="U645" i="6"/>
  <c r="U644" i="6"/>
  <c r="U643" i="6"/>
  <c r="U642" i="6"/>
  <c r="U641" i="6"/>
  <c r="U640" i="6"/>
  <c r="U639" i="6"/>
  <c r="U638" i="6"/>
  <c r="U637" i="6"/>
  <c r="U636" i="6"/>
  <c r="U635" i="6"/>
  <c r="U634" i="6"/>
  <c r="U633" i="6"/>
  <c r="U632" i="6"/>
  <c r="U631" i="6"/>
  <c r="U630" i="6"/>
  <c r="U629" i="6"/>
  <c r="U628" i="6"/>
  <c r="U627" i="6"/>
  <c r="U626" i="6"/>
  <c r="U625" i="6"/>
  <c r="U624" i="6"/>
  <c r="U623" i="6"/>
  <c r="U622" i="6"/>
  <c r="U621" i="6"/>
  <c r="U620" i="6"/>
  <c r="U619" i="6"/>
  <c r="U618" i="6"/>
  <c r="U617" i="6"/>
  <c r="U616" i="6"/>
  <c r="U615" i="6"/>
  <c r="U614" i="6"/>
  <c r="U613" i="6"/>
  <c r="U612" i="6"/>
  <c r="U611" i="6"/>
  <c r="U610" i="6"/>
  <c r="U609" i="6"/>
  <c r="U608" i="6"/>
  <c r="U607" i="6"/>
  <c r="U606" i="6"/>
  <c r="U605" i="6"/>
  <c r="U604" i="6"/>
  <c r="U603" i="6"/>
  <c r="U602" i="6"/>
  <c r="U601" i="6"/>
  <c r="U600" i="6"/>
  <c r="U599" i="6"/>
  <c r="U598" i="6"/>
  <c r="U597" i="6"/>
  <c r="U596" i="6"/>
  <c r="U595" i="6"/>
  <c r="U594" i="6"/>
  <c r="U593" i="6"/>
  <c r="U592" i="6"/>
  <c r="U591" i="6"/>
  <c r="U590" i="6"/>
  <c r="U589" i="6"/>
  <c r="U588" i="6"/>
  <c r="U587" i="6"/>
  <c r="U586" i="6"/>
  <c r="U585" i="6"/>
  <c r="U584" i="6"/>
  <c r="U583" i="6"/>
  <c r="U582" i="6"/>
  <c r="U581" i="6"/>
  <c r="U580" i="6"/>
  <c r="U579" i="6"/>
  <c r="U578" i="6"/>
  <c r="U577" i="6"/>
  <c r="U576" i="6"/>
  <c r="U575" i="6"/>
  <c r="U574" i="6"/>
  <c r="U573" i="6"/>
  <c r="U572" i="6"/>
  <c r="U571" i="6"/>
  <c r="U570" i="6"/>
  <c r="U569" i="6"/>
  <c r="U568" i="6"/>
  <c r="U567" i="6"/>
  <c r="U566" i="6"/>
  <c r="U565" i="6"/>
  <c r="U564" i="6"/>
  <c r="U563" i="6"/>
  <c r="U562" i="6"/>
  <c r="U561" i="6"/>
  <c r="U560" i="6"/>
  <c r="U559" i="6"/>
  <c r="U558" i="6"/>
  <c r="U557" i="6"/>
  <c r="U556" i="6"/>
  <c r="U555" i="6"/>
  <c r="U554" i="6"/>
  <c r="U553" i="6"/>
  <c r="U552" i="6"/>
  <c r="U551" i="6"/>
  <c r="U550" i="6"/>
  <c r="U549" i="6"/>
  <c r="U548" i="6"/>
  <c r="U547" i="6"/>
  <c r="U546" i="6"/>
  <c r="U545" i="6"/>
  <c r="U544" i="6"/>
  <c r="U543" i="6"/>
  <c r="U542" i="6"/>
  <c r="U541" i="6"/>
  <c r="U540" i="6"/>
  <c r="U539" i="6"/>
  <c r="U538" i="6"/>
  <c r="U537" i="6"/>
  <c r="U536" i="6"/>
  <c r="U535" i="6"/>
  <c r="U534" i="6"/>
  <c r="U533" i="6"/>
  <c r="U532" i="6"/>
  <c r="U531" i="6"/>
  <c r="U530" i="6"/>
  <c r="U529" i="6"/>
  <c r="U528" i="6"/>
  <c r="U527" i="6"/>
  <c r="U526" i="6"/>
  <c r="U525" i="6"/>
  <c r="U524" i="6"/>
  <c r="U523" i="6"/>
  <c r="U522" i="6"/>
  <c r="U521" i="6"/>
  <c r="U520" i="6"/>
  <c r="U519" i="6"/>
  <c r="U518" i="6"/>
  <c r="U517" i="6"/>
  <c r="U516" i="6"/>
  <c r="U515" i="6"/>
  <c r="U514" i="6"/>
  <c r="U513" i="6"/>
  <c r="U512" i="6"/>
  <c r="U511" i="6"/>
  <c r="U510" i="6"/>
  <c r="U509" i="6"/>
  <c r="U508" i="6"/>
  <c r="U507" i="6"/>
  <c r="U506" i="6"/>
  <c r="U505" i="6"/>
  <c r="U504" i="6"/>
  <c r="U503" i="6"/>
  <c r="U502" i="6"/>
  <c r="U501" i="6"/>
  <c r="U500" i="6"/>
  <c r="U499" i="6"/>
  <c r="U498" i="6"/>
  <c r="U497" i="6"/>
  <c r="U496" i="6"/>
  <c r="U495" i="6"/>
  <c r="U494" i="6"/>
  <c r="U493" i="6"/>
  <c r="U492" i="6"/>
  <c r="U491" i="6"/>
  <c r="U490" i="6"/>
  <c r="U489" i="6"/>
  <c r="U488" i="6"/>
  <c r="U487" i="6"/>
  <c r="U486" i="6"/>
  <c r="U485" i="6"/>
  <c r="U484" i="6"/>
  <c r="U483" i="6"/>
  <c r="U482" i="6"/>
  <c r="U481" i="6"/>
  <c r="U480" i="6"/>
  <c r="U479" i="6"/>
  <c r="U478" i="6"/>
  <c r="U477" i="6"/>
  <c r="U476" i="6"/>
  <c r="U475" i="6"/>
  <c r="U474" i="6"/>
  <c r="U473" i="6"/>
  <c r="U472" i="6"/>
  <c r="U471" i="6"/>
  <c r="U470" i="6"/>
  <c r="U469" i="6"/>
  <c r="U468" i="6"/>
  <c r="U467" i="6"/>
  <c r="U466" i="6"/>
  <c r="U465" i="6"/>
  <c r="U464" i="6"/>
  <c r="U463" i="6"/>
  <c r="U462" i="6"/>
  <c r="U461" i="6"/>
  <c r="U460" i="6"/>
  <c r="U459" i="6"/>
  <c r="U458" i="6"/>
  <c r="U457" i="6"/>
  <c r="U456" i="6"/>
  <c r="U455" i="6"/>
  <c r="U454" i="6"/>
  <c r="U453" i="6"/>
  <c r="U452" i="6"/>
  <c r="U451" i="6"/>
  <c r="U450" i="6"/>
  <c r="U449" i="6"/>
  <c r="U448" i="6"/>
  <c r="U447" i="6"/>
  <c r="U446" i="6"/>
  <c r="U445" i="6"/>
  <c r="U444" i="6"/>
  <c r="U443" i="6"/>
  <c r="U442" i="6"/>
  <c r="U441" i="6"/>
  <c r="U440" i="6"/>
  <c r="U439" i="6"/>
  <c r="U438" i="6"/>
  <c r="U437" i="6"/>
  <c r="U436" i="6"/>
  <c r="U435" i="6"/>
  <c r="U434" i="6"/>
  <c r="U433" i="6"/>
  <c r="U432" i="6"/>
  <c r="U431" i="6"/>
  <c r="U430" i="6"/>
  <c r="U429" i="6"/>
  <c r="U428" i="6"/>
  <c r="U427" i="6"/>
  <c r="U426" i="6"/>
  <c r="U425" i="6"/>
  <c r="U424" i="6"/>
  <c r="U423" i="6"/>
  <c r="U422" i="6"/>
  <c r="U421" i="6"/>
  <c r="U420" i="6"/>
  <c r="U419" i="6"/>
  <c r="U418" i="6"/>
  <c r="U417" i="6"/>
  <c r="U416" i="6"/>
  <c r="U415" i="6"/>
  <c r="U414" i="6"/>
  <c r="U413" i="6"/>
  <c r="U412" i="6"/>
  <c r="U411" i="6"/>
  <c r="U410" i="6"/>
  <c r="U409" i="6"/>
  <c r="U408" i="6"/>
  <c r="U407" i="6"/>
  <c r="U406" i="6"/>
  <c r="U405" i="6"/>
  <c r="U404" i="6"/>
  <c r="U403" i="6"/>
  <c r="U402" i="6"/>
  <c r="U401" i="6"/>
  <c r="U400" i="6"/>
  <c r="U399" i="6"/>
  <c r="U398" i="6"/>
  <c r="U397" i="6"/>
  <c r="U396" i="6"/>
  <c r="U395" i="6"/>
  <c r="U394" i="6"/>
  <c r="U393" i="6"/>
  <c r="U392" i="6"/>
  <c r="U391" i="6"/>
  <c r="U390" i="6"/>
  <c r="U389" i="6"/>
  <c r="U388" i="6"/>
  <c r="U387" i="6"/>
  <c r="U386" i="6"/>
  <c r="U385" i="6"/>
  <c r="U384" i="6"/>
  <c r="U383" i="6"/>
  <c r="U382" i="6"/>
  <c r="U381" i="6"/>
  <c r="U380" i="6"/>
  <c r="U379" i="6"/>
  <c r="U378" i="6"/>
  <c r="U377" i="6"/>
  <c r="U376" i="6"/>
  <c r="U375" i="6"/>
  <c r="U374" i="6"/>
  <c r="U373" i="6"/>
  <c r="U372" i="6"/>
  <c r="U371" i="6"/>
  <c r="U370" i="6"/>
  <c r="U369" i="6"/>
  <c r="U368" i="6"/>
  <c r="U367" i="6"/>
  <c r="U366" i="6"/>
  <c r="U365" i="6"/>
  <c r="U364" i="6"/>
  <c r="U363" i="6"/>
  <c r="U362" i="6"/>
  <c r="U361" i="6"/>
  <c r="U360" i="6"/>
  <c r="U359" i="6"/>
  <c r="U358" i="6"/>
  <c r="U357" i="6"/>
  <c r="U356" i="6"/>
  <c r="U355" i="6"/>
  <c r="U354" i="6"/>
  <c r="U353" i="6"/>
  <c r="U352" i="6"/>
  <c r="U351" i="6"/>
  <c r="U350" i="6"/>
  <c r="U349" i="6"/>
  <c r="U348" i="6"/>
  <c r="U347" i="6"/>
  <c r="U346" i="6"/>
  <c r="U345" i="6"/>
  <c r="U344" i="6"/>
  <c r="U343" i="6"/>
  <c r="U342" i="6"/>
  <c r="U341" i="6"/>
  <c r="U340" i="6"/>
  <c r="U339" i="6"/>
  <c r="U338" i="6"/>
  <c r="U337" i="6"/>
  <c r="U336" i="6"/>
  <c r="U335" i="6"/>
  <c r="U334" i="6"/>
  <c r="U333" i="6"/>
  <c r="U332" i="6"/>
  <c r="U331" i="6"/>
  <c r="U330" i="6"/>
  <c r="U329" i="6"/>
  <c r="U328" i="6"/>
  <c r="U327" i="6"/>
  <c r="U326" i="6"/>
  <c r="U325" i="6"/>
  <c r="U324" i="6"/>
  <c r="U323" i="6"/>
  <c r="U322" i="6"/>
  <c r="U321" i="6"/>
  <c r="U320" i="6"/>
  <c r="U319" i="6"/>
  <c r="U318" i="6"/>
  <c r="U317" i="6"/>
  <c r="U316" i="6"/>
  <c r="U315" i="6"/>
  <c r="U314" i="6"/>
  <c r="U313" i="6"/>
  <c r="U312" i="6"/>
  <c r="U311" i="6"/>
  <c r="U310" i="6"/>
  <c r="U309" i="6"/>
  <c r="U308" i="6"/>
  <c r="U307" i="6"/>
  <c r="U306" i="6"/>
  <c r="U305" i="6"/>
  <c r="U304" i="6"/>
  <c r="U303" i="6"/>
  <c r="U302" i="6"/>
  <c r="U301" i="6"/>
  <c r="U300" i="6"/>
  <c r="U299" i="6"/>
  <c r="U298" i="6"/>
  <c r="U297" i="6"/>
  <c r="U296" i="6"/>
  <c r="U295" i="6"/>
  <c r="U294" i="6"/>
  <c r="U293" i="6"/>
  <c r="U292" i="6"/>
  <c r="U291" i="6"/>
  <c r="U290" i="6"/>
  <c r="U289" i="6"/>
  <c r="U288" i="6"/>
  <c r="U287" i="6"/>
  <c r="U286" i="6"/>
  <c r="U285" i="6"/>
  <c r="U284" i="6"/>
  <c r="U283" i="6"/>
  <c r="U282" i="6"/>
  <c r="U281" i="6"/>
  <c r="U280" i="6"/>
  <c r="U279" i="6"/>
  <c r="U278" i="6"/>
  <c r="U277" i="6"/>
  <c r="U276" i="6"/>
  <c r="U275" i="6"/>
  <c r="U274" i="6"/>
  <c r="U273" i="6"/>
  <c r="U272" i="6"/>
  <c r="U271" i="6"/>
  <c r="U270" i="6"/>
  <c r="U269" i="6"/>
  <c r="U268" i="6"/>
  <c r="U267" i="6"/>
  <c r="U266" i="6"/>
  <c r="U265" i="6"/>
  <c r="U264" i="6"/>
  <c r="U263" i="6"/>
  <c r="U262" i="6"/>
  <c r="U261" i="6"/>
  <c r="U260" i="6"/>
  <c r="U259" i="6"/>
  <c r="U258" i="6"/>
  <c r="U257" i="6"/>
  <c r="U256" i="6"/>
  <c r="U255" i="6"/>
  <c r="U254" i="6"/>
  <c r="U253" i="6"/>
  <c r="U252" i="6"/>
  <c r="U251" i="6"/>
  <c r="U250" i="6"/>
  <c r="U249" i="6"/>
  <c r="U248" i="6"/>
  <c r="U247" i="6"/>
  <c r="U246" i="6"/>
  <c r="U245" i="6"/>
  <c r="U244" i="6"/>
  <c r="U243" i="6"/>
  <c r="U242" i="6"/>
  <c r="U241" i="6"/>
  <c r="U240" i="6"/>
  <c r="U239" i="6"/>
  <c r="U238" i="6"/>
  <c r="U237" i="6"/>
  <c r="U236" i="6"/>
  <c r="U235" i="6"/>
  <c r="U234" i="6"/>
  <c r="U233" i="6"/>
  <c r="U232" i="6"/>
  <c r="U231" i="6"/>
  <c r="U230" i="6"/>
  <c r="U229" i="6"/>
  <c r="U228" i="6"/>
  <c r="U227" i="6"/>
  <c r="U226" i="6"/>
  <c r="U225" i="6"/>
  <c r="U224" i="6"/>
  <c r="U223" i="6"/>
  <c r="U222" i="6"/>
  <c r="U221" i="6"/>
  <c r="U220" i="6"/>
  <c r="U219" i="6"/>
  <c r="U218" i="6"/>
  <c r="U217" i="6"/>
  <c r="U216" i="6"/>
  <c r="U215" i="6"/>
  <c r="U214" i="6"/>
  <c r="U213" i="6"/>
  <c r="U212" i="6"/>
  <c r="U211" i="6"/>
  <c r="U210" i="6"/>
  <c r="U209" i="6"/>
  <c r="U208" i="6"/>
  <c r="U207" i="6"/>
  <c r="U206" i="6"/>
  <c r="U205" i="6"/>
  <c r="U204" i="6"/>
  <c r="U203" i="6"/>
  <c r="U202" i="6"/>
  <c r="U201" i="6"/>
  <c r="U200" i="6"/>
  <c r="U199" i="6"/>
  <c r="U198" i="6"/>
  <c r="U197" i="6"/>
  <c r="U196" i="6"/>
  <c r="U195" i="6"/>
  <c r="U194" i="6"/>
  <c r="U193" i="6"/>
  <c r="U192" i="6"/>
  <c r="U191" i="6"/>
  <c r="U190" i="6"/>
  <c r="U189" i="6"/>
  <c r="U188" i="6"/>
  <c r="U187" i="6"/>
  <c r="U186" i="6"/>
  <c r="U185" i="6"/>
  <c r="U184" i="6"/>
  <c r="U183" i="6"/>
  <c r="U182" i="6"/>
  <c r="U181" i="6"/>
  <c r="U180" i="6"/>
  <c r="U179" i="6"/>
  <c r="U178" i="6"/>
  <c r="U177" i="6"/>
  <c r="U176" i="6"/>
  <c r="U175" i="6"/>
  <c r="U174" i="6"/>
  <c r="U173" i="6"/>
  <c r="U172" i="6"/>
  <c r="U171" i="6"/>
  <c r="U170" i="6"/>
  <c r="U169" i="6"/>
  <c r="U168" i="6"/>
  <c r="U167" i="6"/>
  <c r="U166" i="6"/>
  <c r="U165" i="6"/>
  <c r="U164" i="6"/>
  <c r="U163" i="6"/>
  <c r="U162" i="6"/>
  <c r="U161" i="6"/>
  <c r="U160" i="6"/>
  <c r="U159" i="6"/>
  <c r="U158" i="6"/>
  <c r="U157" i="6"/>
  <c r="U156" i="6"/>
  <c r="U155" i="6"/>
  <c r="U154" i="6"/>
  <c r="U153" i="6"/>
  <c r="U152" i="6"/>
  <c r="U151" i="6"/>
  <c r="U150" i="6"/>
  <c r="U149" i="6"/>
  <c r="U148" i="6"/>
  <c r="U147" i="6"/>
  <c r="U146" i="6"/>
  <c r="U145" i="6"/>
  <c r="U144" i="6"/>
  <c r="U143" i="6"/>
  <c r="U142" i="6"/>
  <c r="U141" i="6"/>
  <c r="U140" i="6"/>
  <c r="U139" i="6"/>
  <c r="U138" i="6"/>
  <c r="U137" i="6"/>
  <c r="U136" i="6"/>
  <c r="U135" i="6"/>
  <c r="U134" i="6"/>
  <c r="U133" i="6"/>
  <c r="U132" i="6"/>
  <c r="U131" i="6"/>
  <c r="U130" i="6"/>
  <c r="U129" i="6"/>
  <c r="U128" i="6"/>
  <c r="U127" i="6"/>
  <c r="U126" i="6"/>
  <c r="U125" i="6"/>
  <c r="U124" i="6"/>
  <c r="U123" i="6"/>
  <c r="U122" i="6"/>
  <c r="U121" i="6"/>
  <c r="U120" i="6"/>
  <c r="U119" i="6"/>
  <c r="U118" i="6"/>
  <c r="U117" i="6"/>
  <c r="U116" i="6"/>
  <c r="U115" i="6"/>
  <c r="U114" i="6"/>
  <c r="U113" i="6"/>
  <c r="U112" i="6"/>
  <c r="U111" i="6"/>
  <c r="U110" i="6"/>
  <c r="U109" i="6"/>
  <c r="U108" i="6"/>
  <c r="U107" i="6"/>
  <c r="U106" i="6"/>
  <c r="U105" i="6"/>
  <c r="U104" i="6"/>
  <c r="U103" i="6"/>
  <c r="U102" i="6"/>
  <c r="U101" i="6"/>
  <c r="U100" i="6"/>
  <c r="U99" i="6"/>
  <c r="U98" i="6"/>
  <c r="U97" i="6"/>
  <c r="U96" i="6"/>
  <c r="U95" i="6"/>
  <c r="U94" i="6"/>
  <c r="U93" i="6"/>
  <c r="U92" i="6"/>
  <c r="U91" i="6"/>
  <c r="U90" i="6"/>
  <c r="U89" i="6"/>
  <c r="U88" i="6"/>
  <c r="U87" i="6"/>
  <c r="U86" i="6"/>
  <c r="U85" i="6"/>
  <c r="U84" i="6"/>
  <c r="U83" i="6"/>
  <c r="U82" i="6"/>
  <c r="U81" i="6"/>
  <c r="U80" i="6"/>
  <c r="U79" i="6"/>
  <c r="U78" i="6"/>
  <c r="U77" i="6"/>
  <c r="U76" i="6"/>
  <c r="U75" i="6"/>
  <c r="U74" i="6"/>
  <c r="U73" i="6"/>
  <c r="U72" i="6"/>
  <c r="U71" i="6"/>
  <c r="U70" i="6"/>
  <c r="U69" i="6"/>
  <c r="U68" i="6"/>
  <c r="U67" i="6"/>
  <c r="U66" i="6"/>
  <c r="U65" i="6"/>
  <c r="U64" i="6"/>
  <c r="U63" i="6"/>
  <c r="U62" i="6"/>
  <c r="U61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U10" i="6"/>
  <c r="U9" i="6"/>
  <c r="U8" i="6"/>
  <c r="U7" i="6"/>
  <c r="U6" i="6"/>
  <c r="U5" i="6"/>
  <c r="U4" i="6"/>
  <c r="U3" i="6"/>
  <c r="U2" i="6"/>
  <c r="S1013" i="4"/>
  <c r="S1012" i="4"/>
  <c r="S1011" i="4"/>
  <c r="S1010" i="4"/>
  <c r="S1009" i="4"/>
  <c r="S1008" i="4"/>
  <c r="S1007" i="4"/>
  <c r="S1006" i="4"/>
  <c r="S1005" i="4"/>
  <c r="S1004" i="4"/>
  <c r="S1003" i="4"/>
  <c r="S1002" i="4"/>
  <c r="S1001" i="4"/>
  <c r="S1000" i="4"/>
  <c r="S999" i="4"/>
  <c r="S998" i="4"/>
  <c r="S997" i="4"/>
  <c r="S996" i="4"/>
  <c r="S995" i="4"/>
  <c r="S994" i="4"/>
  <c r="S993" i="4"/>
  <c r="S992" i="4"/>
  <c r="S991" i="4"/>
  <c r="S990" i="4"/>
  <c r="S989" i="4"/>
  <c r="S988" i="4"/>
  <c r="S987" i="4"/>
  <c r="S986" i="4"/>
  <c r="S985" i="4"/>
  <c r="S984" i="4"/>
  <c r="S983" i="4"/>
  <c r="S982" i="4"/>
  <c r="S981" i="4"/>
  <c r="S980" i="4"/>
  <c r="S979" i="4"/>
  <c r="S978" i="4"/>
  <c r="S977" i="4"/>
  <c r="S976" i="4"/>
  <c r="S975" i="4"/>
  <c r="S974" i="4"/>
  <c r="S973" i="4"/>
  <c r="S972" i="4"/>
  <c r="S971" i="4"/>
  <c r="S970" i="4"/>
  <c r="S969" i="4"/>
  <c r="S968" i="4"/>
  <c r="S967" i="4"/>
  <c r="S966" i="4"/>
  <c r="S965" i="4"/>
  <c r="S964" i="4"/>
  <c r="S963" i="4"/>
  <c r="S962" i="4"/>
  <c r="S961" i="4"/>
  <c r="S960" i="4"/>
  <c r="S959" i="4"/>
  <c r="S958" i="4"/>
  <c r="S957" i="4"/>
  <c r="S956" i="4"/>
  <c r="S955" i="4"/>
  <c r="S954" i="4"/>
  <c r="S953" i="4"/>
  <c r="S952" i="4"/>
  <c r="S951" i="4"/>
  <c r="S950" i="4"/>
  <c r="S949" i="4"/>
  <c r="S948" i="4"/>
  <c r="S947" i="4"/>
  <c r="S946" i="4"/>
  <c r="S945" i="4"/>
  <c r="S944" i="4"/>
  <c r="S943" i="4"/>
  <c r="S942" i="4"/>
  <c r="S941" i="4"/>
  <c r="S940" i="4"/>
  <c r="S939" i="4"/>
  <c r="S938" i="4"/>
  <c r="S937" i="4"/>
  <c r="S936" i="4"/>
  <c r="S935" i="4"/>
  <c r="S934" i="4"/>
  <c r="S933" i="4"/>
  <c r="S932" i="4"/>
  <c r="S931" i="4"/>
  <c r="S930" i="4"/>
  <c r="S929" i="4"/>
  <c r="S928" i="4"/>
  <c r="S927" i="4"/>
  <c r="S926" i="4"/>
  <c r="S925" i="4"/>
  <c r="S924" i="4"/>
  <c r="S923" i="4"/>
  <c r="S922" i="4"/>
  <c r="S921" i="4"/>
  <c r="S920" i="4"/>
  <c r="S919" i="4"/>
  <c r="S918" i="4"/>
  <c r="S917" i="4"/>
  <c r="S916" i="4"/>
  <c r="S915" i="4"/>
  <c r="S914" i="4"/>
  <c r="S913" i="4"/>
  <c r="S912" i="4"/>
  <c r="S911" i="4"/>
  <c r="S910" i="4"/>
  <c r="S909" i="4"/>
  <c r="S908" i="4"/>
  <c r="S907" i="4"/>
  <c r="S906" i="4"/>
  <c r="S905" i="4"/>
  <c r="S904" i="4"/>
  <c r="S903" i="4"/>
  <c r="S902" i="4"/>
  <c r="S901" i="4"/>
  <c r="S900" i="4"/>
  <c r="S899" i="4"/>
  <c r="S898" i="4"/>
  <c r="S897" i="4"/>
  <c r="S896" i="4"/>
  <c r="S895" i="4"/>
  <c r="S894" i="4"/>
  <c r="S893" i="4"/>
  <c r="S892" i="4"/>
  <c r="S891" i="4"/>
  <c r="S890" i="4"/>
  <c r="S889" i="4"/>
  <c r="S888" i="4"/>
  <c r="S887" i="4"/>
  <c r="S886" i="4"/>
  <c r="S885" i="4"/>
  <c r="S884" i="4"/>
  <c r="S883" i="4"/>
  <c r="S882" i="4"/>
  <c r="S881" i="4"/>
  <c r="S880" i="4"/>
  <c r="S879" i="4"/>
  <c r="S878" i="4"/>
  <c r="S877" i="4"/>
  <c r="S876" i="4"/>
  <c r="S875" i="4"/>
  <c r="S874" i="4"/>
  <c r="S873" i="4"/>
  <c r="S872" i="4"/>
  <c r="S871" i="4"/>
  <c r="S870" i="4"/>
  <c r="S869" i="4"/>
  <c r="S868" i="4"/>
  <c r="S867" i="4"/>
  <c r="S866" i="4"/>
  <c r="S865" i="4"/>
  <c r="S864" i="4"/>
  <c r="S863" i="4"/>
  <c r="S862" i="4"/>
  <c r="S861" i="4"/>
  <c r="S860" i="4"/>
  <c r="S859" i="4"/>
  <c r="S858" i="4"/>
  <c r="S857" i="4"/>
  <c r="S856" i="4"/>
  <c r="S855" i="4"/>
  <c r="S854" i="4"/>
  <c r="S853" i="4"/>
  <c r="S852" i="4"/>
  <c r="S851" i="4"/>
  <c r="S850" i="4"/>
  <c r="S849" i="4"/>
  <c r="S848" i="4"/>
  <c r="S847" i="4"/>
  <c r="S846" i="4"/>
  <c r="S845" i="4"/>
  <c r="S844" i="4"/>
  <c r="S843" i="4"/>
  <c r="S842" i="4"/>
  <c r="S841" i="4"/>
  <c r="S840" i="4"/>
  <c r="S839" i="4"/>
  <c r="S838" i="4"/>
  <c r="S837" i="4"/>
  <c r="S836" i="4"/>
  <c r="S835" i="4"/>
  <c r="S834" i="4"/>
  <c r="S833" i="4"/>
  <c r="S832" i="4"/>
  <c r="S831" i="4"/>
  <c r="S830" i="4"/>
  <c r="S829" i="4"/>
  <c r="S828" i="4"/>
  <c r="S827" i="4"/>
  <c r="S826" i="4"/>
  <c r="S825" i="4"/>
  <c r="S824" i="4"/>
  <c r="S823" i="4"/>
  <c r="S822" i="4"/>
  <c r="S821" i="4"/>
  <c r="S820" i="4"/>
  <c r="S819" i="4"/>
  <c r="S818" i="4"/>
  <c r="S817" i="4"/>
  <c r="S816" i="4"/>
  <c r="S815" i="4"/>
  <c r="S814" i="4"/>
  <c r="S813" i="4"/>
  <c r="S812" i="4"/>
  <c r="S811" i="4"/>
  <c r="S810" i="4"/>
  <c r="S809" i="4"/>
  <c r="S808" i="4"/>
  <c r="S807" i="4"/>
  <c r="S806" i="4"/>
  <c r="S805" i="4"/>
  <c r="S804" i="4"/>
  <c r="S803" i="4"/>
  <c r="S802" i="4"/>
  <c r="S801" i="4"/>
  <c r="S800" i="4"/>
  <c r="S799" i="4"/>
  <c r="S798" i="4"/>
  <c r="S797" i="4"/>
  <c r="S796" i="4"/>
  <c r="S795" i="4"/>
  <c r="S794" i="4"/>
  <c r="S793" i="4"/>
  <c r="S792" i="4"/>
  <c r="S791" i="4"/>
  <c r="S790" i="4"/>
  <c r="S789" i="4"/>
  <c r="S788" i="4"/>
  <c r="S787" i="4"/>
  <c r="S786" i="4"/>
  <c r="S785" i="4"/>
  <c r="S784" i="4"/>
  <c r="S783" i="4"/>
  <c r="S782" i="4"/>
  <c r="S781" i="4"/>
  <c r="S780" i="4"/>
  <c r="S779" i="4"/>
  <c r="S778" i="4"/>
  <c r="S777" i="4"/>
  <c r="S776" i="4"/>
  <c r="S775" i="4"/>
  <c r="S774" i="4"/>
  <c r="S773" i="4"/>
  <c r="S772" i="4"/>
  <c r="S771" i="4"/>
  <c r="S770" i="4"/>
  <c r="S769" i="4"/>
  <c r="S768" i="4"/>
  <c r="S767" i="4"/>
  <c r="S766" i="4"/>
  <c r="S765" i="4"/>
  <c r="S764" i="4"/>
  <c r="S763" i="4"/>
  <c r="S762" i="4"/>
  <c r="S761" i="4"/>
  <c r="S760" i="4"/>
  <c r="S759" i="4"/>
  <c r="S758" i="4"/>
  <c r="S757" i="4"/>
  <c r="S756" i="4"/>
  <c r="S755" i="4"/>
  <c r="S754" i="4"/>
  <c r="S753" i="4"/>
  <c r="S752" i="4"/>
  <c r="S751" i="4"/>
  <c r="S750" i="4"/>
  <c r="S749" i="4"/>
  <c r="S748" i="4"/>
  <c r="S747" i="4"/>
  <c r="S746" i="4"/>
  <c r="S745" i="4"/>
  <c r="S744" i="4"/>
  <c r="S743" i="4"/>
  <c r="S742" i="4"/>
  <c r="S741" i="4"/>
  <c r="S740" i="4"/>
  <c r="S739" i="4"/>
  <c r="S738" i="4"/>
  <c r="S737" i="4"/>
  <c r="S736" i="4"/>
  <c r="S735" i="4"/>
  <c r="S734" i="4"/>
  <c r="S733" i="4"/>
  <c r="S732" i="4"/>
  <c r="S731" i="4"/>
  <c r="S730" i="4"/>
  <c r="S729" i="4"/>
  <c r="S728" i="4"/>
  <c r="S727" i="4"/>
  <c r="S726" i="4"/>
  <c r="S725" i="4"/>
  <c r="S724" i="4"/>
  <c r="S723" i="4"/>
  <c r="S722" i="4"/>
  <c r="S721" i="4"/>
  <c r="S720" i="4"/>
  <c r="S719" i="4"/>
  <c r="S718" i="4"/>
  <c r="S717" i="4"/>
  <c r="S716" i="4"/>
  <c r="S715" i="4"/>
  <c r="S714" i="4"/>
  <c r="S713" i="4"/>
  <c r="S712" i="4"/>
  <c r="S711" i="4"/>
  <c r="S710" i="4"/>
  <c r="S709" i="4"/>
  <c r="S708" i="4"/>
  <c r="S707" i="4"/>
  <c r="S706" i="4"/>
  <c r="S705" i="4"/>
  <c r="S704" i="4"/>
  <c r="S703" i="4"/>
  <c r="S702" i="4"/>
  <c r="S701" i="4"/>
  <c r="S700" i="4"/>
  <c r="S699" i="4"/>
  <c r="S698" i="4"/>
  <c r="S697" i="4"/>
  <c r="S696" i="4"/>
  <c r="S695" i="4"/>
  <c r="S694" i="4"/>
  <c r="S693" i="4"/>
  <c r="S692" i="4"/>
  <c r="S691" i="4"/>
  <c r="S690" i="4"/>
  <c r="S689" i="4"/>
  <c r="S688" i="4"/>
  <c r="S687" i="4"/>
  <c r="S686" i="4"/>
  <c r="S685" i="4"/>
  <c r="S684" i="4"/>
  <c r="S683" i="4"/>
  <c r="S682" i="4"/>
  <c r="S681" i="4"/>
  <c r="S680" i="4"/>
  <c r="S679" i="4"/>
  <c r="S678" i="4"/>
  <c r="S677" i="4"/>
  <c r="S676" i="4"/>
  <c r="S675" i="4"/>
  <c r="S674" i="4"/>
  <c r="S673" i="4"/>
  <c r="S672" i="4"/>
  <c r="S671" i="4"/>
  <c r="S670" i="4"/>
  <c r="S669" i="4"/>
  <c r="S668" i="4"/>
  <c r="S667" i="4"/>
  <c r="S666" i="4"/>
  <c r="S665" i="4"/>
  <c r="S664" i="4"/>
  <c r="S663" i="4"/>
  <c r="S662" i="4"/>
  <c r="S661" i="4"/>
  <c r="S660" i="4"/>
  <c r="S659" i="4"/>
  <c r="S658" i="4"/>
  <c r="S657" i="4"/>
  <c r="S656" i="4"/>
  <c r="S655" i="4"/>
  <c r="S654" i="4"/>
  <c r="S653" i="4"/>
  <c r="S652" i="4"/>
  <c r="S651" i="4"/>
  <c r="S650" i="4"/>
  <c r="S649" i="4"/>
  <c r="S648" i="4"/>
  <c r="S647" i="4"/>
  <c r="S646" i="4"/>
  <c r="S645" i="4"/>
  <c r="S644" i="4"/>
  <c r="S643" i="4"/>
  <c r="S642" i="4"/>
  <c r="S641" i="4"/>
  <c r="S640" i="4"/>
  <c r="S639" i="4"/>
  <c r="S638" i="4"/>
  <c r="S637" i="4"/>
  <c r="S636" i="4"/>
  <c r="S635" i="4"/>
  <c r="S634" i="4"/>
  <c r="S633" i="4"/>
  <c r="S632" i="4"/>
  <c r="S631" i="4"/>
  <c r="S630" i="4"/>
  <c r="S629" i="4"/>
  <c r="S628" i="4"/>
  <c r="S627" i="4"/>
  <c r="S626" i="4"/>
  <c r="S625" i="4"/>
  <c r="S624" i="4"/>
  <c r="S623" i="4"/>
  <c r="S622" i="4"/>
  <c r="S621" i="4"/>
  <c r="S620" i="4"/>
  <c r="S619" i="4"/>
  <c r="S618" i="4"/>
  <c r="S617" i="4"/>
  <c r="S616" i="4"/>
  <c r="S615" i="4"/>
  <c r="S614" i="4"/>
  <c r="S613" i="4"/>
  <c r="S612" i="4"/>
  <c r="S611" i="4"/>
  <c r="S610" i="4"/>
  <c r="S609" i="4"/>
  <c r="S608" i="4"/>
  <c r="S607" i="4"/>
  <c r="S606" i="4"/>
  <c r="S605" i="4"/>
  <c r="S604" i="4"/>
  <c r="S603" i="4"/>
  <c r="S602" i="4"/>
  <c r="S601" i="4"/>
  <c r="S600" i="4"/>
  <c r="S599" i="4"/>
  <c r="S598" i="4"/>
  <c r="S597" i="4"/>
  <c r="S596" i="4"/>
  <c r="S595" i="4"/>
  <c r="S594" i="4"/>
  <c r="S593" i="4"/>
  <c r="S592" i="4"/>
  <c r="S591" i="4"/>
  <c r="S590" i="4"/>
  <c r="S589" i="4"/>
  <c r="S588" i="4"/>
  <c r="S587" i="4"/>
  <c r="S586" i="4"/>
  <c r="S585" i="4"/>
  <c r="S584" i="4"/>
  <c r="S583" i="4"/>
  <c r="S582" i="4"/>
  <c r="S581" i="4"/>
  <c r="S580" i="4"/>
  <c r="S579" i="4"/>
  <c r="S578" i="4"/>
  <c r="S577" i="4"/>
  <c r="S576" i="4"/>
  <c r="S575" i="4"/>
  <c r="S574" i="4"/>
  <c r="S573" i="4"/>
  <c r="S572" i="4"/>
  <c r="S571" i="4"/>
  <c r="S570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54" i="4"/>
  <c r="S553" i="4"/>
  <c r="S552" i="4"/>
  <c r="S551" i="4"/>
  <c r="S550" i="4"/>
  <c r="S549" i="4"/>
  <c r="S548" i="4"/>
  <c r="S547" i="4"/>
  <c r="S546" i="4"/>
  <c r="S545" i="4"/>
  <c r="S544" i="4"/>
  <c r="S543" i="4"/>
  <c r="S542" i="4"/>
  <c r="S541" i="4"/>
  <c r="S540" i="4"/>
  <c r="S539" i="4"/>
  <c r="S538" i="4"/>
  <c r="S537" i="4"/>
  <c r="S536" i="4"/>
  <c r="S535" i="4"/>
  <c r="S534" i="4"/>
  <c r="S533" i="4"/>
  <c r="S532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S518" i="4"/>
  <c r="S517" i="4"/>
  <c r="S516" i="4"/>
  <c r="S515" i="4"/>
  <c r="S514" i="4"/>
  <c r="S513" i="4"/>
  <c r="S512" i="4"/>
  <c r="S511" i="4"/>
  <c r="S510" i="4"/>
  <c r="S509" i="4"/>
  <c r="S508" i="4"/>
  <c r="S507" i="4"/>
  <c r="S506" i="4"/>
  <c r="S505" i="4"/>
  <c r="S504" i="4"/>
  <c r="S503" i="4"/>
  <c r="S502" i="4"/>
  <c r="S501" i="4"/>
  <c r="S500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S485" i="4"/>
  <c r="S484" i="4"/>
  <c r="S483" i="4"/>
  <c r="S482" i="4"/>
  <c r="S481" i="4"/>
  <c r="S480" i="4"/>
  <c r="S479" i="4"/>
  <c r="S478" i="4"/>
  <c r="S477" i="4"/>
  <c r="S476" i="4"/>
  <c r="S475" i="4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S453" i="4"/>
  <c r="S452" i="4"/>
  <c r="S451" i="4"/>
  <c r="S450" i="4"/>
  <c r="S449" i="4"/>
  <c r="S448" i="4"/>
  <c r="S447" i="4"/>
  <c r="S446" i="4"/>
  <c r="S445" i="4"/>
  <c r="S444" i="4"/>
  <c r="S443" i="4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S416" i="4"/>
  <c r="S415" i="4"/>
  <c r="S414" i="4"/>
  <c r="S413" i="4"/>
  <c r="S412" i="4"/>
  <c r="S411" i="4"/>
  <c r="S410" i="4"/>
  <c r="S409" i="4"/>
  <c r="S408" i="4"/>
  <c r="S407" i="4"/>
  <c r="S406" i="4"/>
  <c r="S405" i="4"/>
  <c r="S404" i="4"/>
  <c r="S403" i="4"/>
  <c r="S402" i="4"/>
  <c r="S401" i="4"/>
  <c r="S400" i="4"/>
  <c r="S399" i="4"/>
  <c r="S398" i="4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S365" i="4"/>
  <c r="S364" i="4"/>
  <c r="S363" i="4"/>
  <c r="S362" i="4"/>
  <c r="S361" i="4"/>
  <c r="S360" i="4"/>
  <c r="S359" i="4"/>
  <c r="S358" i="4"/>
  <c r="S357" i="4"/>
  <c r="S356" i="4"/>
  <c r="S355" i="4"/>
  <c r="S354" i="4"/>
  <c r="S353" i="4"/>
  <c r="S352" i="4"/>
  <c r="S351" i="4"/>
  <c r="S350" i="4"/>
  <c r="S349" i="4"/>
  <c r="S348" i="4"/>
  <c r="S347" i="4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S325" i="4"/>
  <c r="S324" i="4"/>
  <c r="S323" i="4"/>
  <c r="S322" i="4"/>
  <c r="S321" i="4"/>
  <c r="S320" i="4"/>
  <c r="S319" i="4"/>
  <c r="S318" i="4"/>
  <c r="S317" i="4"/>
  <c r="S316" i="4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S290" i="4"/>
  <c r="S289" i="4"/>
  <c r="S288" i="4"/>
  <c r="S287" i="4"/>
  <c r="S286" i="4"/>
  <c r="S285" i="4"/>
  <c r="S284" i="4"/>
  <c r="S283" i="4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S256" i="4"/>
  <c r="S255" i="4"/>
  <c r="S254" i="4"/>
  <c r="S253" i="4"/>
  <c r="S252" i="4"/>
  <c r="S251" i="4"/>
  <c r="S250" i="4"/>
  <c r="S249" i="4"/>
  <c r="S248" i="4"/>
  <c r="S247" i="4"/>
  <c r="S246" i="4"/>
  <c r="S245" i="4"/>
  <c r="S244" i="4"/>
  <c r="S243" i="4"/>
  <c r="S242" i="4"/>
  <c r="S241" i="4"/>
  <c r="S240" i="4"/>
  <c r="S239" i="4"/>
  <c r="S238" i="4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S221" i="4"/>
  <c r="S220" i="4"/>
  <c r="S219" i="4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S204" i="4"/>
  <c r="S203" i="4"/>
  <c r="S202" i="4"/>
  <c r="S201" i="4"/>
  <c r="S200" i="4"/>
  <c r="S199" i="4"/>
  <c r="S198" i="4"/>
  <c r="S197" i="4"/>
  <c r="S196" i="4"/>
  <c r="S195" i="4"/>
  <c r="S194" i="4"/>
  <c r="S193" i="4"/>
  <c r="S192" i="4"/>
  <c r="S191" i="4"/>
  <c r="S190" i="4"/>
  <c r="S189" i="4"/>
  <c r="S188" i="4"/>
  <c r="S187" i="4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S160" i="4"/>
  <c r="S159" i="4"/>
  <c r="S158" i="4"/>
  <c r="S157" i="4"/>
  <c r="S156" i="4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S128" i="4"/>
  <c r="S127" i="4"/>
  <c r="S126" i="4"/>
  <c r="S125" i="4"/>
  <c r="S124" i="4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S110" i="4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S96" i="4"/>
  <c r="S95" i="4"/>
  <c r="S94" i="4"/>
  <c r="S93" i="4"/>
  <c r="S92" i="4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S2" i="4"/>
</calcChain>
</file>

<file path=xl/sharedStrings.xml><?xml version="1.0" encoding="utf-8"?>
<sst xmlns="http://schemas.openxmlformats.org/spreadsheetml/2006/main" count="10365" uniqueCount="142">
  <si>
    <t>Seq.</t>
  </si>
  <si>
    <t>Data</t>
  </si>
  <si>
    <t>Mês</t>
  </si>
  <si>
    <t>Cód. Cliente</t>
  </si>
  <si>
    <t>Cidade</t>
  </si>
  <si>
    <t>Produto</t>
  </si>
  <si>
    <t>Qtde.</t>
  </si>
  <si>
    <t>Preço Unitário</t>
  </si>
  <si>
    <t>Valor Bruto</t>
  </si>
  <si>
    <t>% Desconto</t>
  </si>
  <si>
    <t>Valor Venda</t>
  </si>
  <si>
    <t>Valor Desconto</t>
  </si>
  <si>
    <t>Vencimento</t>
  </si>
  <si>
    <t>Data Pagamento</t>
  </si>
  <si>
    <t>Documento</t>
  </si>
  <si>
    <t>Canal de Venda</t>
  </si>
  <si>
    <t>Vendedor</t>
  </si>
  <si>
    <t>% Comis.</t>
  </si>
  <si>
    <t>Comissão</t>
  </si>
  <si>
    <t>Tipo de Pagamento</t>
  </si>
  <si>
    <t>Paranavaí</t>
  </si>
  <si>
    <t>Cueca</t>
  </si>
  <si>
    <t>Rebeca Melo</t>
  </si>
  <si>
    <t>São Luís</t>
  </si>
  <si>
    <t>Sapato</t>
  </si>
  <si>
    <t>Ryan Azevedo</t>
  </si>
  <si>
    <t>Recife</t>
  </si>
  <si>
    <t>Eunápolis</t>
  </si>
  <si>
    <t>Camisa social</t>
  </si>
  <si>
    <t>Larissa Martins</t>
  </si>
  <si>
    <t>Gurupi</t>
  </si>
  <si>
    <t>Boné</t>
  </si>
  <si>
    <t>Marisa Alves</t>
  </si>
  <si>
    <t>Salvador</t>
  </si>
  <si>
    <t>Carolina Cavalcanti</t>
  </si>
  <si>
    <t>Laranjeiras do Sul</t>
  </si>
  <si>
    <t>Governador Valadares</t>
  </si>
  <si>
    <t>Isabella Cavalcanti</t>
  </si>
  <si>
    <t>São Paulo</t>
  </si>
  <si>
    <t>São Bernardo do Campo</t>
  </si>
  <si>
    <t>Fortaleza</t>
  </si>
  <si>
    <t>Tênis</t>
  </si>
  <si>
    <t>Santana de Parnaíba</t>
  </si>
  <si>
    <t>Ana Fernandes</t>
  </si>
  <si>
    <t>Manaus</t>
  </si>
  <si>
    <t>São José do Rio Preto</t>
  </si>
  <si>
    <t>Bermuda</t>
  </si>
  <si>
    <t>Melissa Rocha</t>
  </si>
  <si>
    <t>Arcoverde</t>
  </si>
  <si>
    <t>Goiânia</t>
  </si>
  <si>
    <t>Chinela</t>
  </si>
  <si>
    <t>Núcleo Bandeirante</t>
  </si>
  <si>
    <t>Cauã Barros</t>
  </si>
  <si>
    <t>Avaré</t>
  </si>
  <si>
    <t>Blusa</t>
  </si>
  <si>
    <t>Casaco</t>
  </si>
  <si>
    <t>Petrópolis</t>
  </si>
  <si>
    <t>Piraquara</t>
  </si>
  <si>
    <t>Brusque</t>
  </si>
  <si>
    <t>Moletom</t>
  </si>
  <si>
    <t>Cachoeiro de Itapemirim</t>
  </si>
  <si>
    <t>Guarulhos</t>
  </si>
  <si>
    <t>Itaquaquecetuba</t>
  </si>
  <si>
    <t>Belém</t>
  </si>
  <si>
    <t>Ariquemes</t>
  </si>
  <si>
    <t>Sorocaba</t>
  </si>
  <si>
    <t>Franca</t>
  </si>
  <si>
    <t>Rio de Janeiro</t>
  </si>
  <si>
    <t>São João Del Rei</t>
  </si>
  <si>
    <t>Beatrice Alves</t>
  </si>
  <si>
    <t>Campo Largo</t>
  </si>
  <si>
    <t>Atibaia</t>
  </si>
  <si>
    <t>Natal</t>
  </si>
  <si>
    <t>Belo Horizonte</t>
  </si>
  <si>
    <t>Viamão</t>
  </si>
  <si>
    <t>Contagem</t>
  </si>
  <si>
    <t>Ituiutaba</t>
  </si>
  <si>
    <t>Vila Velha</t>
  </si>
  <si>
    <t>Juazeiro</t>
  </si>
  <si>
    <t>São Gonçalo</t>
  </si>
  <si>
    <t>Catanduva</t>
  </si>
  <si>
    <t>Patos de Minas</t>
  </si>
  <si>
    <t>Serra</t>
  </si>
  <si>
    <t>Bagé</t>
  </si>
  <si>
    <t>Foz do Iguaçu</t>
  </si>
  <si>
    <t>Juiz de Fora</t>
  </si>
  <si>
    <t>João Pessoa</t>
  </si>
  <si>
    <t>Vitória</t>
  </si>
  <si>
    <t>Jaú</t>
  </si>
  <si>
    <t>Campinas</t>
  </si>
  <si>
    <t>Jataí</t>
  </si>
  <si>
    <t>Barbacena</t>
  </si>
  <si>
    <t>Mauá</t>
  </si>
  <si>
    <t>Santos</t>
  </si>
  <si>
    <t>Curitiba</t>
  </si>
  <si>
    <t>Araçatuba</t>
  </si>
  <si>
    <t>Vitória da Conquista</t>
  </si>
  <si>
    <t>Garanhuns</t>
  </si>
  <si>
    <t>Teófilo Otoni</t>
  </si>
  <si>
    <t>Dourados</t>
  </si>
  <si>
    <t>Queimados</t>
  </si>
  <si>
    <t>Praia Grande</t>
  </si>
  <si>
    <t>Cabo de Santo Agostinho</t>
  </si>
  <si>
    <t>Duque de Caxias</t>
  </si>
  <si>
    <t>Coronel Fabriciano</t>
  </si>
  <si>
    <t>Santa Bárbara D'Oeste</t>
  </si>
  <si>
    <t>Barra do Piraí</t>
  </si>
  <si>
    <t>Detalhes do Soma de Valor Venda - Data: 1/1/2020 (+)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</si>
  <si>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</si>
  <si>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</si>
  <si>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</si>
  <si>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</si>
  <si>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</si>
  <si>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</si>
  <si>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</si>
  <si>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</si>
  <si>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</si>
  <si>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</si>
  <si>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</si>
  <si>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</si>
  <si>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Detalhes do Soma de Valor Venda - Cidade: Bagé</t>
  </si>
  <si>
    <t>Mês2</t>
  </si>
  <si>
    <t>maio</t>
  </si>
  <si>
    <t>abril</t>
  </si>
  <si>
    <t>fevereiro</t>
  </si>
  <si>
    <t>dezembro</t>
  </si>
  <si>
    <t>outubro</t>
  </si>
  <si>
    <t>setembro</t>
  </si>
  <si>
    <t>agosto</t>
  </si>
  <si>
    <t>junho</t>
  </si>
  <si>
    <t>março</t>
  </si>
  <si>
    <t>(Tudo)</t>
  </si>
  <si>
    <t>Soma de Valor Venda</t>
  </si>
  <si>
    <t>janeiro</t>
  </si>
  <si>
    <t>julho</t>
  </si>
  <si>
    <t>novembro</t>
  </si>
  <si>
    <t>(vazio)</t>
  </si>
  <si>
    <t>Total Geral</t>
  </si>
  <si>
    <t>Soma de Qtde.</t>
  </si>
  <si>
    <t>Soma de Comissão</t>
  </si>
  <si>
    <t>VENDAS E-COMMERCE BORDAZUL</t>
  </si>
  <si>
    <t>-&gt; BEM VINDX!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</si>
</sst>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b/>
      <sz val="24"/>
      <color theme="5"/>
      <name val="Calibri"/>
      <family val="2"/>
      <scheme val="minor"/>
    </font>
    <font>
      <b/>
      <sz val="24"/>
      <color theme="5"/>
      <name val="Segoe UI"/>
    </font>
    <font>
      <b/>
      <sz val="15"/>
      <color theme="5"/>
      <name val="Calibri"/>
      <scheme val="minor"/>
    </font>
    <font>
      <b/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6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1" applyNumberFormat="0" applyFill="0" applyAlignment="0" applyProtection="0"/>
  </cellStyleXfs>
  <cellXfs count="22">
    <xf numFmtId="0" fontId="0" fillId="0" borderId="0" xfId="0"/>
    <xf numFmtId="14" fontId="0" fillId="0" borderId="0" xfId="0" applyNumberFormat="1"/>
    <xf numFmtId="44" fontId="0" fillId="0" borderId="0" xfId="1" applyFont="1"/>
    <xf numFmtId="9" fontId="0" fillId="0" borderId="0" xfId="2" applyFont="1"/>
    <xf numFmtId="9" fontId="0" fillId="0" borderId="0" xfId="0" applyNumberFormat="1"/>
    <xf numFmtId="0" fontId="0" fillId="0" borderId="0" xfId="0" pivotButton="1"/>
    <xf numFmtId="0" fontId="2" fillId="0" borderId="0" xfId="0" applyFont="1"/>
    <xf numFmtId="164" fontId="0" fillId="0" borderId="0" xfId="0" applyNumberFormat="1"/>
    <xf numFmtId="1" fontId="0" fillId="0" borderId="0" xfId="0" applyNumberFormat="1"/>
    <xf numFmtId="0" fontId="4" fillId="2" borderId="0" xfId="0" applyFont="1" applyFill="1"/>
    <xf numFmtId="164" fontId="4" fillId="2" borderId="0" xfId="0" applyNumberFormat="1" applyFont="1" applyFill="1"/>
    <xf numFmtId="0" fontId="5" fillId="3" borderId="0" xfId="0" applyFont="1" applyFill="1"/>
    <xf numFmtId="0" fontId="5" fillId="4" borderId="0" xfId="0" applyFont="1" applyFill="1"/>
    <xf numFmtId="0" fontId="0" fillId="4" borderId="0" xfId="0" applyFill="1"/>
    <xf numFmtId="0" fontId="6" fillId="4" borderId="0" xfId="0" applyFont="1" applyFill="1"/>
    <xf numFmtId="164" fontId="7" fillId="4" borderId="0" xfId="0" applyNumberFormat="1" applyFont="1" applyFill="1"/>
    <xf numFmtId="0" fontId="8" fillId="4" borderId="0" xfId="0" applyFont="1" applyFill="1" applyAlignment="1">
      <alignment horizontal="left"/>
    </xf>
    <xf numFmtId="0" fontId="9" fillId="0" borderId="1" xfId="3" applyFont="1" applyFill="1"/>
    <xf numFmtId="0" fontId="0" fillId="0" borderId="0" xfId="0" applyNumberFormat="1"/>
    <xf numFmtId="0" fontId="6" fillId="3" borderId="0" xfId="0" applyFont="1" applyFill="1"/>
    <xf numFmtId="0" fontId="2" fillId="5" borderId="2" xfId="0" applyFont="1" applyFill="1" applyBorder="1"/>
    <xf numFmtId="0" fontId="10" fillId="2" borderId="0" xfId="0" applyFont="1" applyFill="1"/>
  </cellXfs>
  <cellStyles count="4">
    <cellStyle name="Moeda" xfId="1" builtinId="4"/>
    <cellStyle name="Normal" xfId="0" builtinId="0"/>
    <cellStyle name="Porcentagem" xfId="2" builtinId="5"/>
    <cellStyle name="Título 1" xfId="3" builtinId="16"/>
  </cellStyles>
  <dxfs count="23">
    <dxf>
      <numFmt numFmtId="19" formatCode="dd/mm/yyyy"/>
    </dxf>
    <dxf>
      <numFmt numFmtId="19" formatCode="dd/mm/yyyy"/>
    </dxf>
    <dxf>
      <numFmt numFmtId="19" formatCode="dd/mm/yyyy"/>
    </dxf>
    <dxf>
      <numFmt numFmtId="164" formatCode="_-[$R$-416]\ * #,##0.00_-;\-[$R$-416]\ * #,##0.00_-;_-[$R$-416]\ * &quot;-&quot;??_-;_-@_-"/>
    </dxf>
    <dxf>
      <numFmt numFmtId="19" formatCode="dd/mm/yyyy"/>
    </dxf>
    <dxf>
      <numFmt numFmtId="19" formatCode="dd/mm/yyyy"/>
    </dxf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  <dxf>
      <numFmt numFmtId="13" formatCode="0%"/>
    </dxf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  <dxf>
      <numFmt numFmtId="1" formatCode="0"/>
    </dxf>
    <dxf>
      <numFmt numFmtId="19" formatCode="dd/mm/yyyy"/>
    </dxf>
    <dxf>
      <numFmt numFmtId="164" formatCode="_-[$R$-416]\ * #,##0.00_-;\-[$R$-416]\ * #,##0.00_-;_-[$R$-416]\ * &quot;-&quot;??_-;_-@_-"/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164" formatCode="_-[$R$-416]\ * #,##0.00_-;\-[$R$-416]\ * #,##0.00_-;_-[$R$-416]\ * &quot;-&quot;??_-;_-@_-"/>
    </dxf>
    <dxf>
      <font>
        <b/>
        <i val="0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Light1 2" pivot="0" table="0" count="10" xr9:uid="{918FFD05-37C4-4CAD-BC14-239C674C6F92}">
      <tableStyleElement type="wholeTable" dxfId="22"/>
      <tableStyleElement type="headerRow" dxfId="21"/>
    </tableStyle>
  </tableStyles>
  <colors>
    <mruColors>
      <color rgb="FFFFE699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theme="2" tint="-9.9917600024414813E-2"/>
              <bgColor theme="2" tint="-9.9948118533890809E-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Vendas.xlsm]Cálculos!Tabela dinâmica4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Cálculos!$C$9:$C$10</c:f>
              <c:strCache>
                <c:ptCount val="1"/>
                <c:pt idx="0">
                  <c:v>janeiro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Cálculos!$B$11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Cálculos!$C$11</c:f>
              <c:numCache>
                <c:formatCode>General</c:formatCode>
                <c:ptCount val="1"/>
                <c:pt idx="0">
                  <c:v>300308.44000000006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4A-4BFB-995A-9893CCA901E5}"/>
            </c:ext>
          </c:extLst>
        </c:ser>
        <c:ser>
          <c:idx val="1"/>
          <c:order val="1"/>
          <c:tx>
            <c:strRef>
              <c:f>Cálculos!$D$9:$D$10</c:f>
              <c:strCache>
                <c:ptCount val="1"/>
                <c:pt idx="0">
                  <c:v>fevereiro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Cálculos!$B$11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Cálculos!$D$11</c:f>
              <c:numCache>
                <c:formatCode>General</c:formatCode>
                <c:ptCount val="1"/>
                <c:pt idx="0">
                  <c:v>305617.22999999986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7E-4423-BA93-3B2946C32596}"/>
            </c:ext>
          </c:extLst>
        </c:ser>
        <c:ser>
          <c:idx val="2"/>
          <c:order val="2"/>
          <c:tx>
            <c:strRef>
              <c:f>Cálculos!$E$9:$E$10</c:f>
              <c:strCache>
                <c:ptCount val="1"/>
                <c:pt idx="0">
                  <c:v>março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Cálculos!$B$11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Cálculos!$E$11</c:f>
              <c:numCache>
                <c:formatCode>General</c:formatCode>
                <c:ptCount val="1"/>
                <c:pt idx="0">
                  <c:v>378545.78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7E-4423-BA93-3B2946C32596}"/>
            </c:ext>
          </c:extLst>
        </c:ser>
        <c:ser>
          <c:idx val="3"/>
          <c:order val="3"/>
          <c:tx>
            <c:strRef>
              <c:f>Cálculos!$F$9:$F$10</c:f>
              <c:strCache>
                <c:ptCount val="1"/>
                <c:pt idx="0">
                  <c:v>abril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Cálculos!$B$11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Cálculos!$F$11</c:f>
              <c:numCache>
                <c:formatCode>General</c:formatCode>
                <c:ptCount val="1"/>
                <c:pt idx="0">
                  <c:v>295686.58000000013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7E-4423-BA93-3B2946C32596}"/>
            </c:ext>
          </c:extLst>
        </c:ser>
        <c:ser>
          <c:idx val="4"/>
          <c:order val="4"/>
          <c:tx>
            <c:strRef>
              <c:f>Cálculos!$G$9:$G$10</c:f>
              <c:strCache>
                <c:ptCount val="1"/>
                <c:pt idx="0">
                  <c:v>maio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Cálculos!$B$11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Cálculos!$G$11</c:f>
              <c:numCache>
                <c:formatCode>General</c:formatCode>
                <c:ptCount val="1"/>
                <c:pt idx="0">
                  <c:v>368532.49000000017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7E-4423-BA93-3B2946C32596}"/>
            </c:ext>
          </c:extLst>
        </c:ser>
        <c:ser>
          <c:idx val="5"/>
          <c:order val="5"/>
          <c:tx>
            <c:strRef>
              <c:f>Cálculos!$H$9:$H$10</c:f>
              <c:strCache>
                <c:ptCount val="1"/>
                <c:pt idx="0">
                  <c:v>junho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Cálculos!$B$11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Cálculos!$H$11</c:f>
              <c:numCache>
                <c:formatCode>General</c:formatCode>
                <c:ptCount val="1"/>
                <c:pt idx="0">
                  <c:v>331506.55999999994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97E-4423-BA93-3B2946C32596}"/>
            </c:ext>
          </c:extLst>
        </c:ser>
        <c:ser>
          <c:idx val="6"/>
          <c:order val="6"/>
          <c:tx>
            <c:strRef>
              <c:f>Cálculos!$I$9:$I$10</c:f>
              <c:strCache>
                <c:ptCount val="1"/>
                <c:pt idx="0">
                  <c:v>julho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Cálculos!$B$11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Cálculos!$I$11</c:f>
              <c:numCache>
                <c:formatCode>General</c:formatCode>
                <c:ptCount val="1"/>
                <c:pt idx="0">
                  <c:v>136091.89000000001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97E-4423-BA93-3B2946C32596}"/>
            </c:ext>
          </c:extLst>
        </c:ser>
        <c:ser>
          <c:idx val="7"/>
          <c:order val="7"/>
          <c:tx>
            <c:strRef>
              <c:f>Cálculos!$J$9:$J$10</c:f>
              <c:strCache>
                <c:ptCount val="1"/>
                <c:pt idx="0">
                  <c:v>agosto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Cálculos!$B$11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Cálculos!$J$11</c:f>
              <c:numCache>
                <c:formatCode>General</c:formatCode>
                <c:ptCount val="1"/>
                <c:pt idx="0">
                  <c:v>203928.84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97E-4423-BA93-3B2946C32596}"/>
            </c:ext>
          </c:extLst>
        </c:ser>
        <c:ser>
          <c:idx val="8"/>
          <c:order val="8"/>
          <c:tx>
            <c:strRef>
              <c:f>Cálculos!$K$9:$K$10</c:f>
              <c:strCache>
                <c:ptCount val="1"/>
                <c:pt idx="0">
                  <c:v>setembro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Cálculos!$B$11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Cálculos!$K$11</c:f>
              <c:numCache>
                <c:formatCode>General</c:formatCode>
                <c:ptCount val="1"/>
                <c:pt idx="0">
                  <c:v>142342.91999999998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7E-4423-BA93-3B2946C32596}"/>
            </c:ext>
          </c:extLst>
        </c:ser>
        <c:ser>
          <c:idx val="9"/>
          <c:order val="9"/>
          <c:tx>
            <c:strRef>
              <c:f>Cálculos!$L$9:$L$10</c:f>
              <c:strCache>
                <c:ptCount val="1"/>
                <c:pt idx="0">
                  <c:v>outubro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Cálculos!$B$11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Cálculos!$L$11</c:f>
              <c:numCache>
                <c:formatCode>General</c:formatCode>
                <c:ptCount val="1"/>
                <c:pt idx="0">
                  <c:v>160146.56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97E-4423-BA93-3B2946C32596}"/>
            </c:ext>
          </c:extLst>
        </c:ser>
        <c:ser>
          <c:idx val="10"/>
          <c:order val="10"/>
          <c:tx>
            <c:strRef>
              <c:f>Cálculos!$M$9:$M$10</c:f>
              <c:strCache>
                <c:ptCount val="1"/>
                <c:pt idx="0">
                  <c:v>novembro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Cálculos!$B$11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Cálculos!$M$11</c:f>
              <c:numCache>
                <c:formatCode>General</c:formatCode>
                <c:ptCount val="1"/>
                <c:pt idx="0">
                  <c:v>146667.71000000002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97E-4423-BA93-3B2946C32596}"/>
            </c:ext>
          </c:extLst>
        </c:ser>
        <c:ser>
          <c:idx val="11"/>
          <c:order val="11"/>
          <c:tx>
            <c:strRef>
              <c:f>Cálculos!$N$9:$N$10</c:f>
              <c:strCache>
                <c:ptCount val="1"/>
                <c:pt idx="0">
                  <c:v>dezembro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Cálculos!$B$11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Cálculos!$N$11</c:f>
              <c:numCache>
                <c:formatCode>General</c:formatCode>
                <c:ptCount val="1"/>
                <c:pt idx="0">
                  <c:v>175672.33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97E-4423-BA93-3B2946C32596}"/>
            </c:ext>
          </c:extLst>
        </c:ser>
        <c:ser>
          <c:idx val="12"/>
          <c:order val="12"/>
          <c:tx>
            <c:strRef>
              <c:f>Cálculos!$O$9:$O$10</c:f>
              <c:strCache>
                <c:ptCount val="1"/>
                <c:pt idx="0">
                  <c:v>(vazio)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Cálculos!$B$11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Cálculos!$O$11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C-097E-4423-BA93-3B2946C32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59452424"/>
        <c:axId val="459454472"/>
      </c:barChart>
      <c:catAx>
        <c:axId val="459452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54472"/>
        <c:crosses val="autoZero"/>
        <c:auto val="1"/>
        <c:lblAlgn val="ctr"/>
        <c:lblOffset val="100"/>
        <c:noMultiLvlLbl val="0"/>
      </c:catAx>
      <c:valAx>
        <c:axId val="4594544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5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Vendas.xlsm]Cálculos!Tabela dinâmica6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Cálculos!$C$17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Cálculos!$B$18:$B$28</c:f>
              <c:strCache>
                <c:ptCount val="10"/>
                <c:pt idx="0">
                  <c:v>Bermuda</c:v>
                </c:pt>
                <c:pt idx="1">
                  <c:v>Blusa</c:v>
                </c:pt>
                <c:pt idx="2">
                  <c:v>Boné</c:v>
                </c:pt>
                <c:pt idx="3">
                  <c:v>Camisa social</c:v>
                </c:pt>
                <c:pt idx="4">
                  <c:v>Casaco</c:v>
                </c:pt>
                <c:pt idx="5">
                  <c:v>Chinela</c:v>
                </c:pt>
                <c:pt idx="6">
                  <c:v>Cueca</c:v>
                </c:pt>
                <c:pt idx="7">
                  <c:v>Moletom</c:v>
                </c:pt>
                <c:pt idx="8">
                  <c:v>Sapato</c:v>
                </c:pt>
                <c:pt idx="9">
                  <c:v>Tênis</c:v>
                </c:pt>
              </c:strCache>
            </c:strRef>
          </c:cat>
          <c:val>
            <c:numRef>
              <c:f>Cálculos!$C$18:$C$28</c:f>
              <c:numCache>
                <c:formatCode>General</c:formatCode>
                <c:ptCount val="10"/>
                <c:pt idx="0">
                  <c:v>3756</c:v>
                </c:pt>
                <c:pt idx="1">
                  <c:v>1861</c:v>
                </c:pt>
                <c:pt idx="2">
                  <c:v>4292</c:v>
                </c:pt>
                <c:pt idx="3">
                  <c:v>4081</c:v>
                </c:pt>
                <c:pt idx="4">
                  <c:v>1611</c:v>
                </c:pt>
                <c:pt idx="5">
                  <c:v>4075</c:v>
                </c:pt>
                <c:pt idx="6">
                  <c:v>2347</c:v>
                </c:pt>
                <c:pt idx="7">
                  <c:v>2527</c:v>
                </c:pt>
                <c:pt idx="8">
                  <c:v>3922</c:v>
                </c:pt>
                <c:pt idx="9">
                  <c:v>1825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B1-488B-833E-B10BB1880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420360"/>
        <c:axId val="776460296"/>
      </c:barChart>
      <c:catAx>
        <c:axId val="776420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460296"/>
        <c:crosses val="autoZero"/>
        <c:auto val="1"/>
        <c:lblAlgn val="ctr"/>
        <c:lblOffset val="100"/>
        <c:noMultiLvlLbl val="0"/>
      </c:catAx>
      <c:valAx>
        <c:axId val="776460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42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Vendas.xlsm]Cálculos!Tabela dinâmica7</c:name>
    <c:fmtId val="2"/>
  </c:pivotSource>
  <c:chart>
    <c:autoTitleDeleted val="1"/>
    <c:pivotFmts>
      <c:pivotFmt>
        <c:idx val="0"/>
        <c:spPr>
          <a:solidFill>
            <a:srgbClr val="FFE699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Cálculos!$F$17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E69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Cálculos!$E$18:$E$23</c:f>
              <c:strCache>
                <c:ptCount val="5"/>
                <c:pt idx="0">
                  <c:v>Fortaleza</c:v>
                </c:pt>
                <c:pt idx="1">
                  <c:v>Goiânia</c:v>
                </c:pt>
                <c:pt idx="2">
                  <c:v>Jaú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Cálculos!$F$18:$F$23</c:f>
              <c:numCache>
                <c:formatCode>General</c:formatCode>
                <c:ptCount val="5"/>
                <c:pt idx="0">
                  <c:v>77828.26999999999</c:v>
                </c:pt>
                <c:pt idx="1">
                  <c:v>122212.37000000001</c:v>
                </c:pt>
                <c:pt idx="2">
                  <c:v>88915.17</c:v>
                </c:pt>
                <c:pt idx="3">
                  <c:v>143921.85</c:v>
                </c:pt>
                <c:pt idx="4">
                  <c:v>468096.90999999986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FF-4473-B01D-59ADC1D15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81717768"/>
        <c:axId val="1081719816"/>
      </c:barChart>
      <c:catAx>
        <c:axId val="10817177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719816"/>
        <c:crosses val="autoZero"/>
        <c:auto val="1"/>
        <c:lblAlgn val="ctr"/>
        <c:lblOffset val="100"/>
        <c:noMultiLvlLbl val="0"/>
      </c:catAx>
      <c:valAx>
        <c:axId val="10817198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171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Vendas.xlsm]Cálculos!Tabela dinâmica6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E69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Cálculos!$C$17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E699"/>
            </a:solidFill>
            <a:ln>
              <a:noFill/>
            </a:ln>
            <a:effectLst/>
          </c:spPr>
          <c:invertIfNegative val="0"/>
          <c:cat>
            <c:strRef>
              <c:f>Cálculos!$B$18:$B$28</c:f>
              <c:strCache>
                <c:ptCount val="10"/>
                <c:pt idx="0">
                  <c:v>Bermuda</c:v>
                </c:pt>
                <c:pt idx="1">
                  <c:v>Blusa</c:v>
                </c:pt>
                <c:pt idx="2">
                  <c:v>Boné</c:v>
                </c:pt>
                <c:pt idx="3">
                  <c:v>Camisa social</c:v>
                </c:pt>
                <c:pt idx="4">
                  <c:v>Casaco</c:v>
                </c:pt>
                <c:pt idx="5">
                  <c:v>Chinela</c:v>
                </c:pt>
                <c:pt idx="6">
                  <c:v>Cueca</c:v>
                </c:pt>
                <c:pt idx="7">
                  <c:v>Moletom</c:v>
                </c:pt>
                <c:pt idx="8">
                  <c:v>Sapato</c:v>
                </c:pt>
                <c:pt idx="9">
                  <c:v>Tênis</c:v>
                </c:pt>
              </c:strCache>
            </c:strRef>
          </c:cat>
          <c:val>
            <c:numRef>
              <c:f>Cálculos!$C$18:$C$28</c:f>
              <c:numCache>
                <c:formatCode>General</c:formatCode>
                <c:ptCount val="10"/>
                <c:pt idx="0">
                  <c:v>3756</c:v>
                </c:pt>
                <c:pt idx="1">
                  <c:v>1861</c:v>
                </c:pt>
                <c:pt idx="2">
                  <c:v>4292</c:v>
                </c:pt>
                <c:pt idx="3">
                  <c:v>4081</c:v>
                </c:pt>
                <c:pt idx="4">
                  <c:v>1611</c:v>
                </c:pt>
                <c:pt idx="5">
                  <c:v>4075</c:v>
                </c:pt>
                <c:pt idx="6">
                  <c:v>2347</c:v>
                </c:pt>
                <c:pt idx="7">
                  <c:v>2527</c:v>
                </c:pt>
                <c:pt idx="8">
                  <c:v>3922</c:v>
                </c:pt>
                <c:pt idx="9">
                  <c:v>1825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31-4707-BF99-E45388B14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420360"/>
        <c:axId val="776460296"/>
      </c:barChart>
      <c:catAx>
        <c:axId val="776420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460296"/>
        <c:crosses val="autoZero"/>
        <c:auto val="1"/>
        <c:lblAlgn val="ctr"/>
        <c:lblOffset val="100"/>
        <c:noMultiLvlLbl val="0"/>
      </c:catAx>
      <c:valAx>
        <c:axId val="776460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42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Vendas.xlsm]Cálculos!Tabela dinâmica7</c:name>
    <c:fmtId val="6"/>
  </c:pivotSource>
  <c:chart>
    <c:autoTitleDeleted val="1"/>
    <c:pivotFmts>
      <c:pivotFmt>
        <c:idx val="0"/>
        <c:spPr>
          <a:solidFill>
            <a:srgbClr val="FFE699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ED7D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E69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ED7D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E69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ED7D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E69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ED7D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E69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ED7D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Cálculos!$F$17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E69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ED7D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Cálculos!$E$18:$E$23</c:f>
              <c:strCache>
                <c:ptCount val="5"/>
                <c:pt idx="0">
                  <c:v>Fortaleza</c:v>
                </c:pt>
                <c:pt idx="1">
                  <c:v>Goiânia</c:v>
                </c:pt>
                <c:pt idx="2">
                  <c:v>Jaú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Cálculos!$F$18:$F$23</c:f>
              <c:numCache>
                <c:formatCode>General</c:formatCode>
                <c:ptCount val="5"/>
                <c:pt idx="0">
                  <c:v>77828.26999999999</c:v>
                </c:pt>
                <c:pt idx="1">
                  <c:v>122212.37000000001</c:v>
                </c:pt>
                <c:pt idx="2">
                  <c:v>88915.17</c:v>
                </c:pt>
                <c:pt idx="3">
                  <c:v>143921.85</c:v>
                </c:pt>
                <c:pt idx="4">
                  <c:v>468096.90999999986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301-9884-0F6AF3528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81717768"/>
        <c:axId val="1081719816"/>
      </c:barChart>
      <c:catAx>
        <c:axId val="10817177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719816"/>
        <c:crosses val="autoZero"/>
        <c:auto val="1"/>
        <c:lblAlgn val="ctr"/>
        <c:lblOffset val="100"/>
        <c:noMultiLvlLbl val="0"/>
      </c:catAx>
      <c:valAx>
        <c:axId val="10817198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171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plotArea>
      <cx:plotAreaRegion>
        <cx:series layoutId="funnel" uniqueId="{23DB3068-9D7A-47B2-89AC-AC97482D2773}">
          <cx:tx>
            <cx:txData>
              <cx:f>_xlchart.v2.1</cx:f>
              <cx:v>Soma de Comissão</cx:v>
            </cx:txData>
          </cx:tx>
          <cx:spPr>
            <a:solidFill>
              <a:srgbClr val="FFE699"/>
            </a:solidFill>
          </cx:spPr>
          <cx:dataLabels>
            <cx:txPr>
              <a:bodyPr vertOverflow="overflow" horzOverflow="overflow" wrap="square" lIns="0" tIns="0" rIns="0" bIns="0"/>
              <a:lstStyle/>
              <a:p>
                <a:pPr algn="ctr" rtl="0">
                  <a:defRPr sz="1200" b="0" i="0">
                    <a:solidFill>
                      <a:srgbClr val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/>
              </a:p>
            </cx:txPr>
            <cx:visibility seriesName="0" categoryName="0" value="1"/>
          </cx:dataLabels>
          <cx:dataId val="0"/>
        </cx:series>
      </cx:plotAreaRegion>
      <cx:axis id="1">
        <cx:catScaling gapWidth="0.0599999987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_xlchart.v2.3</cx:f>
      </cx:strDim>
      <cx:numDim type="val">
        <cx:f>_xlchart.v2.5</cx:f>
      </cx:numDim>
    </cx:data>
  </cx:chartData>
  <cx:chart>
    <cx:plotArea>
      <cx:plotAreaRegion>
        <cx:series layoutId="funnel" uniqueId="{23DB3068-9D7A-47B2-89AC-AC97482D2773}">
          <cx:tx>
            <cx:txData>
              <cx:f>_xlchart.v2.4</cx:f>
              <cx:v>Soma de Comissão</cx:v>
            </cx:txData>
          </cx:tx>
          <cx:spPr>
            <a:solidFill>
              <a:srgbClr val="FFE699"/>
            </a:solidFill>
          </cx:spPr>
          <cx:dataLabels>
            <cx:txPr>
              <a:bodyPr vertOverflow="overflow" horzOverflow="overflow" wrap="square" lIns="0" tIns="0" rIns="0" bIns="0"/>
              <a:lstStyle/>
              <a:p>
                <a:pPr algn="ctr" rtl="0">
                  <a:defRPr sz="1200" b="0" i="0">
                    <a:solidFill>
                      <a:srgbClr val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/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4.xml"/><Relationship Id="rId5" Type="http://schemas.microsoft.com/office/2014/relationships/chartEx" Target="../charts/chartEx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790575</xdr:colOff>
      <xdr:row>12</xdr:row>
      <xdr:rowOff>152400</xdr:rowOff>
    </xdr:from>
    <xdr:to>
      <xdr:col>10</xdr:col>
      <xdr:colOff>476250</xdr:colOff>
      <xdr:row>26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">
              <a:extLst>
                <a:ext uri="{FF2B5EF4-FFF2-40B4-BE49-F238E27FC236}">
                  <a16:creationId xmlns:a16="http://schemas.microsoft.com/office/drawing/2014/main" id="{3935F74A-282F-1901-CFD0-9244915F46A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8450" y="552450"/>
              <a:ext cx="1828800" cy="2638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 fLocksWithSheet="0"/>
  </xdr:twoCellAnchor>
  <xdr:twoCellAnchor>
    <xdr:from>
      <xdr:col>16</xdr:col>
      <xdr:colOff>228600</xdr:colOff>
      <xdr:row>1</xdr:row>
      <xdr:rowOff>171450</xdr:rowOff>
    </xdr:from>
    <xdr:to>
      <xdr:col>20</xdr:col>
      <xdr:colOff>457200</xdr:colOff>
      <xdr:row>16</xdr:row>
      <xdr:rowOff>57150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156CD92-A8D8-F62F-4CDB-378AE2F42204}"/>
            </a:ext>
            <a:ext uri="{147F2762-F138-4A5C-976F-8EAC2B608ADB}">
              <a16:predDERef xmlns:a16="http://schemas.microsoft.com/office/drawing/2014/main" pred="{3935F74A-282F-1901-CFD0-9244915F46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23</xdr:row>
      <xdr:rowOff>161925</xdr:rowOff>
    </xdr:from>
    <xdr:to>
      <xdr:col>12</xdr:col>
      <xdr:colOff>142875</xdr:colOff>
      <xdr:row>38</xdr:row>
      <xdr:rowOff>47625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7304E76-AC15-EA6D-890A-0E89F70283D9}"/>
            </a:ext>
            <a:ext uri="{147F2762-F138-4A5C-976F-8EAC2B608ADB}">
              <a16:predDERef xmlns:a16="http://schemas.microsoft.com/office/drawing/2014/main" pred="{6156CD92-A8D8-F62F-4CDB-378AE2F422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695325</xdr:colOff>
      <xdr:row>13</xdr:row>
      <xdr:rowOff>0</xdr:rowOff>
    </xdr:from>
    <xdr:to>
      <xdr:col>14</xdr:col>
      <xdr:colOff>609600</xdr:colOff>
      <xdr:row>27</xdr:row>
      <xdr:rowOff>76200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65F6A0A-DF27-75CA-9069-938F0991F32C}"/>
            </a:ext>
            <a:ext uri="{147F2762-F138-4A5C-976F-8EAC2B608ADB}">
              <a16:predDERef xmlns:a16="http://schemas.microsoft.com/office/drawing/2014/main" pred="{D7304E76-AC15-EA6D-890A-0E89F7028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419100</xdr:colOff>
      <xdr:row>25</xdr:row>
      <xdr:rowOff>104775</xdr:rowOff>
    </xdr:from>
    <xdr:to>
      <xdr:col>7</xdr:col>
      <xdr:colOff>285750</xdr:colOff>
      <xdr:row>39</xdr:row>
      <xdr:rowOff>180975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1" name="Gráfico 10">
              <a:extLst>
                <a:ext uri="{FF2B5EF4-FFF2-40B4-BE49-F238E27FC236}">
                  <a16:creationId xmlns:a16="http://schemas.microsoft.com/office/drawing/2014/main" id="{0B1F45E0-A73F-21BE-AD3F-B963214CB88F}"/>
                </a:ext>
                <a:ext uri="{147F2762-F138-4A5C-976F-8EAC2B608ADB}">
                  <a16:predDERef xmlns:a16="http://schemas.microsoft.com/office/drawing/2014/main" pred="{565F6A0A-DF27-75CA-9069-938F0991F3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95650" y="48672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Este gráfico não está disponível na sua versão do Excel.
Editar esta forma ou salvar esta pasta de trabalho em um formato de arquivo diferente dividirá o gráfico permanentemente.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13</xdr:row>
      <xdr:rowOff>161925</xdr:rowOff>
    </xdr:from>
    <xdr:to>
      <xdr:col>10</xdr:col>
      <xdr:colOff>885825</xdr:colOff>
      <xdr:row>28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55627EF-C55D-4A6C-B371-97DF0652D0CB}"/>
            </a:ext>
            <a:ext uri="{147F2762-F138-4A5C-976F-8EAC2B608ADB}">
              <a16:predDERef xmlns:a16="http://schemas.microsoft.com/office/drawing/2014/main" pred="{1AF0A042-60D5-4BB5-9EB7-4893B744E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28575</xdr:colOff>
      <xdr:row>10</xdr:row>
      <xdr:rowOff>152400</xdr:rowOff>
    </xdr:from>
    <xdr:to>
      <xdr:col>1</xdr:col>
      <xdr:colOff>628650</xdr:colOff>
      <xdr:row>28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1">
              <a:extLst>
                <a:ext uri="{FF2B5EF4-FFF2-40B4-BE49-F238E27FC236}">
                  <a16:creationId xmlns:a16="http://schemas.microsoft.com/office/drawing/2014/main" id="{C8542F01-F5B4-EE94-A37A-86399A937E6D}"/>
                </a:ext>
                <a:ext uri="{147F2762-F138-4A5C-976F-8EAC2B608ADB}">
                  <a16:predDERef xmlns:a16="http://schemas.microsoft.com/office/drawing/2014/main" pred="{A55627EF-C55D-4A6C-B371-97DF0652D0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2400300"/>
              <a:ext cx="1933575" cy="3295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 editAs="oneCell">
    <xdr:from>
      <xdr:col>0</xdr:col>
      <xdr:colOff>85725</xdr:colOff>
      <xdr:row>0</xdr:row>
      <xdr:rowOff>47625</xdr:rowOff>
    </xdr:from>
    <xdr:to>
      <xdr:col>1</xdr:col>
      <xdr:colOff>561975</xdr:colOff>
      <xdr:row>8</xdr:row>
      <xdr:rowOff>76200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008853E-97D6-954D-596C-8B3704C8BEC8}"/>
            </a:ext>
            <a:ext uri="{147F2762-F138-4A5C-976F-8EAC2B608ADB}">
              <a16:predDERef xmlns:a16="http://schemas.microsoft.com/office/drawing/2014/main" pred="{C8542F01-F5B4-EE94-A37A-86399A937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725" y="47625"/>
          <a:ext cx="1809750" cy="1609725"/>
        </a:xfrm>
        <a:prstGeom prst="rect">
          <a:avLst/>
        </a:prstGeom>
      </xdr:spPr>
    </xdr:pic>
    <xdr:clientData/>
  </xdr:twoCellAnchor>
  <xdr:twoCellAnchor>
    <xdr:from>
      <xdr:col>2</xdr:col>
      <xdr:colOff>600075</xdr:colOff>
      <xdr:row>5</xdr:row>
      <xdr:rowOff>104775</xdr:rowOff>
    </xdr:from>
    <xdr:to>
      <xdr:col>5</xdr:col>
      <xdr:colOff>0</xdr:colOff>
      <xdr:row>7</xdr:row>
      <xdr:rowOff>19050</xdr:rowOff>
    </xdr:to>
    <xdr:sp macro="" textlink="">
      <xdr:nvSpPr>
        <xdr:cNvPr id="7" name="Retângulo com Canto Redondo do Mesmo Lado 6">
          <a:extLst>
            <a:ext uri="{FF2B5EF4-FFF2-40B4-BE49-F238E27FC236}">
              <a16:creationId xmlns:a16="http://schemas.microsoft.com/office/drawing/2014/main" id="{8D177544-FEA3-12A0-D154-FC5E9FC748C5}"/>
            </a:ext>
            <a:ext uri="{147F2762-F138-4A5C-976F-8EAC2B608ADB}">
              <a16:predDERef xmlns:a16="http://schemas.microsoft.com/office/drawing/2014/main" pred="{C008853E-97D6-954D-596C-8B3704C8BEC8}"/>
            </a:ext>
          </a:extLst>
        </xdr:cNvPr>
        <xdr:cNvSpPr/>
      </xdr:nvSpPr>
      <xdr:spPr>
        <a:xfrm>
          <a:off x="2581275" y="1114425"/>
          <a:ext cx="3448050" cy="295275"/>
        </a:xfrm>
        <a:prstGeom prst="round2SameRect">
          <a:avLst/>
        </a:prstGeom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FATURAMENTO TOTAL 2020</a:t>
          </a:r>
        </a:p>
      </xdr:txBody>
    </xdr:sp>
    <xdr:clientData/>
  </xdr:twoCellAnchor>
  <xdr:twoCellAnchor editAs="oneCell">
    <xdr:from>
      <xdr:col>3</xdr:col>
      <xdr:colOff>180975</xdr:colOff>
      <xdr:row>7</xdr:row>
      <xdr:rowOff>85725</xdr:rowOff>
    </xdr:from>
    <xdr:to>
      <xdr:col>3</xdr:col>
      <xdr:colOff>962025</xdr:colOff>
      <xdr:row>9</xdr:row>
      <xdr:rowOff>114300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1CFD25E8-449E-4838-9915-B37EEB174722}"/>
            </a:ext>
            <a:ext uri="{147F2762-F138-4A5C-976F-8EAC2B608ADB}">
              <a16:predDERef xmlns:a16="http://schemas.microsoft.com/office/drawing/2014/main" pred="{8D177544-FEA3-12A0-D154-FC5E9FC74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71775" y="1476375"/>
          <a:ext cx="781050" cy="695325"/>
        </a:xfrm>
        <a:prstGeom prst="rect">
          <a:avLst/>
        </a:prstGeom>
      </xdr:spPr>
    </xdr:pic>
    <xdr:clientData/>
  </xdr:twoCellAnchor>
  <xdr:twoCellAnchor>
    <xdr:from>
      <xdr:col>5</xdr:col>
      <xdr:colOff>685800</xdr:colOff>
      <xdr:row>5</xdr:row>
      <xdr:rowOff>104775</xdr:rowOff>
    </xdr:from>
    <xdr:to>
      <xdr:col>10</xdr:col>
      <xdr:colOff>923925</xdr:colOff>
      <xdr:row>7</xdr:row>
      <xdr:rowOff>19050</xdr:rowOff>
    </xdr:to>
    <xdr:sp macro="" textlink="">
      <xdr:nvSpPr>
        <xdr:cNvPr id="9" name="Retângulo com Canto Redondo do Mesmo Lado 8">
          <a:extLst>
            <a:ext uri="{FF2B5EF4-FFF2-40B4-BE49-F238E27FC236}">
              <a16:creationId xmlns:a16="http://schemas.microsoft.com/office/drawing/2014/main" id="{41CF358D-E6E0-498D-BAAE-E718AD168154}"/>
            </a:ext>
            <a:ext uri="{147F2762-F138-4A5C-976F-8EAC2B608ADB}">
              <a16:predDERef xmlns:a16="http://schemas.microsoft.com/office/drawing/2014/main" pred="{1CFD25E8-449E-4838-9915-B37EEB174722}"/>
            </a:ext>
          </a:extLst>
        </xdr:cNvPr>
        <xdr:cNvSpPr/>
      </xdr:nvSpPr>
      <xdr:spPr>
        <a:xfrm>
          <a:off x="6715125" y="1257300"/>
          <a:ext cx="3371850" cy="295275"/>
        </a:xfrm>
        <a:prstGeom prst="round2SameRect">
          <a:avLst/>
        </a:prstGeom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TOTAL DE PRODUTOS VENDIDOS</a:t>
          </a:r>
        </a:p>
      </xdr:txBody>
    </xdr:sp>
    <xdr:clientData/>
  </xdr:twoCellAnchor>
  <xdr:twoCellAnchor editAs="oneCell">
    <xdr:from>
      <xdr:col>6</xdr:col>
      <xdr:colOff>285750</xdr:colOff>
      <xdr:row>7</xdr:row>
      <xdr:rowOff>104775</xdr:rowOff>
    </xdr:from>
    <xdr:to>
      <xdr:col>9</xdr:col>
      <xdr:colOff>171450</xdr:colOff>
      <xdr:row>9</xdr:row>
      <xdr:rowOff>85725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B3D0E30-F5EF-D76C-ED1D-4EDD83A6BDCF}"/>
            </a:ext>
            <a:ext uri="{147F2762-F138-4A5C-976F-8EAC2B608ADB}">
              <a16:predDERef xmlns:a16="http://schemas.microsoft.com/office/drawing/2014/main" pred="{41CF358D-E6E0-498D-BAAE-E718AD168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10400" y="1638300"/>
          <a:ext cx="1714500" cy="647700"/>
        </a:xfrm>
        <a:prstGeom prst="rect">
          <a:avLst/>
        </a:prstGeom>
      </xdr:spPr>
    </xdr:pic>
    <xdr:clientData/>
  </xdr:twoCellAnchor>
  <xdr:twoCellAnchor>
    <xdr:from>
      <xdr:col>3</xdr:col>
      <xdr:colOff>19050</xdr:colOff>
      <xdr:row>13</xdr:row>
      <xdr:rowOff>47625</xdr:rowOff>
    </xdr:from>
    <xdr:to>
      <xdr:col>10</xdr:col>
      <xdr:colOff>885825</xdr:colOff>
      <xdr:row>14</xdr:row>
      <xdr:rowOff>152400</xdr:rowOff>
    </xdr:to>
    <xdr:sp macro="" textlink="">
      <xdr:nvSpPr>
        <xdr:cNvPr id="11" name="Retângulo com Canto Redondo do Mesmo Lado 10">
          <a:extLst>
            <a:ext uri="{FF2B5EF4-FFF2-40B4-BE49-F238E27FC236}">
              <a16:creationId xmlns:a16="http://schemas.microsoft.com/office/drawing/2014/main" id="{FC84202C-CFDF-411E-878D-ABEDD5B37789}"/>
            </a:ext>
            <a:ext uri="{147F2762-F138-4A5C-976F-8EAC2B608ADB}">
              <a16:predDERef xmlns:a16="http://schemas.microsoft.com/office/drawing/2014/main" pred="{BB3D0E30-F5EF-D76C-ED1D-4EDD83A6BDCF}"/>
            </a:ext>
          </a:extLst>
        </xdr:cNvPr>
        <xdr:cNvSpPr/>
      </xdr:nvSpPr>
      <xdr:spPr>
        <a:xfrm>
          <a:off x="2609850" y="2867025"/>
          <a:ext cx="7439025" cy="295275"/>
        </a:xfrm>
        <a:prstGeom prst="round2SameRect">
          <a:avLst/>
        </a:prstGeom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QUANTIDADE DE PRODUTOS VENDIDOS</a:t>
          </a:r>
        </a:p>
      </xdr:txBody>
    </xdr:sp>
    <xdr:clientData/>
  </xdr:twoCellAnchor>
  <xdr:twoCellAnchor>
    <xdr:from>
      <xdr:col>3</xdr:col>
      <xdr:colOff>9525</xdr:colOff>
      <xdr:row>32</xdr:row>
      <xdr:rowOff>9525</xdr:rowOff>
    </xdr:from>
    <xdr:to>
      <xdr:col>4</xdr:col>
      <xdr:colOff>2371725</xdr:colOff>
      <xdr:row>46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2D1AF85-4076-4F33-AAFF-3020261EFBF7}"/>
            </a:ext>
            <a:ext uri="{147F2762-F138-4A5C-976F-8EAC2B608ADB}">
              <a16:predDERef xmlns:a16="http://schemas.microsoft.com/office/drawing/2014/main" pred="{FC84202C-CFDF-411E-878D-ABEDD5B37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9525</xdr:colOff>
      <xdr:row>30</xdr:row>
      <xdr:rowOff>171450</xdr:rowOff>
    </xdr:from>
    <xdr:to>
      <xdr:col>4</xdr:col>
      <xdr:colOff>2381250</xdr:colOff>
      <xdr:row>32</xdr:row>
      <xdr:rowOff>85725</xdr:rowOff>
    </xdr:to>
    <xdr:sp macro="" textlink="">
      <xdr:nvSpPr>
        <xdr:cNvPr id="6" name="Retângulo com Canto Redondo do Mesmo Lado 5">
          <a:extLst>
            <a:ext uri="{FF2B5EF4-FFF2-40B4-BE49-F238E27FC236}">
              <a16:creationId xmlns:a16="http://schemas.microsoft.com/office/drawing/2014/main" id="{E3A5FB13-42E5-4775-99BB-6C84B6ED6EB8}"/>
            </a:ext>
            <a:ext uri="{147F2762-F138-4A5C-976F-8EAC2B608ADB}">
              <a16:predDERef xmlns:a16="http://schemas.microsoft.com/office/drawing/2014/main" pred="{F2D1AF85-4076-4F33-AAFF-3020261EFBF7}"/>
            </a:ext>
          </a:extLst>
        </xdr:cNvPr>
        <xdr:cNvSpPr/>
      </xdr:nvSpPr>
      <xdr:spPr>
        <a:xfrm>
          <a:off x="2600325" y="6229350"/>
          <a:ext cx="3352800" cy="295275"/>
        </a:xfrm>
        <a:prstGeom prst="round2SameRect">
          <a:avLst/>
        </a:prstGeom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CIDADES COM MAIOR NÚMERO DE VENDAS</a:t>
          </a:r>
        </a:p>
      </xdr:txBody>
    </xdr:sp>
    <xdr:clientData/>
  </xdr:twoCellAnchor>
  <xdr:twoCellAnchor>
    <xdr:from>
      <xdr:col>5</xdr:col>
      <xdr:colOff>114300</xdr:colOff>
      <xdr:row>32</xdr:row>
      <xdr:rowOff>28575</xdr:rowOff>
    </xdr:from>
    <xdr:to>
      <xdr:col>10</xdr:col>
      <xdr:colOff>885825</xdr:colOff>
      <xdr:row>46</xdr:row>
      <xdr:rowOff>85725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2" name="Gráfico 10">
              <a:extLst>
                <a:ext uri="{FF2B5EF4-FFF2-40B4-BE49-F238E27FC236}">
                  <a16:creationId xmlns:a16="http://schemas.microsoft.com/office/drawing/2014/main" id="{91A217E7-F27F-4B88-A8FD-5C6F4C3D939A}"/>
                </a:ext>
                <a:ext uri="{147F2762-F138-4A5C-976F-8EAC2B608ADB}">
                  <a16:predDERef xmlns:a16="http://schemas.microsoft.com/office/drawing/2014/main" pred="{E3A5FB13-42E5-4775-99BB-6C84B6ED6E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43625" y="6467475"/>
              <a:ext cx="3905250" cy="2724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Este gráfico não está disponível na sua versão do Excel.
Editar esta forma ou salvar esta pasta de trabalho em um formato de arquivo diferente dividirá o gráfico permanentemente.</a:t>
              </a:r>
            </a:p>
          </xdr:txBody>
        </xdr:sp>
      </mc:Fallback>
    </mc:AlternateContent>
    <xdr:clientData/>
  </xdr:twoCellAnchor>
  <xdr:twoCellAnchor>
    <xdr:from>
      <xdr:col>5</xdr:col>
      <xdr:colOff>114300</xdr:colOff>
      <xdr:row>30</xdr:row>
      <xdr:rowOff>161925</xdr:rowOff>
    </xdr:from>
    <xdr:to>
      <xdr:col>10</xdr:col>
      <xdr:colOff>895350</xdr:colOff>
      <xdr:row>32</xdr:row>
      <xdr:rowOff>76200</xdr:rowOff>
    </xdr:to>
    <xdr:sp macro="" textlink="">
      <xdr:nvSpPr>
        <xdr:cNvPr id="13" name="Retângulo com Canto Redondo do Mesmo Lado 12">
          <a:extLst>
            <a:ext uri="{FF2B5EF4-FFF2-40B4-BE49-F238E27FC236}">
              <a16:creationId xmlns:a16="http://schemas.microsoft.com/office/drawing/2014/main" id="{7BCDD2A6-549B-4679-98F0-816D09CC1E59}"/>
            </a:ext>
            <a:ext uri="{147F2762-F138-4A5C-976F-8EAC2B608ADB}">
              <a16:predDERef xmlns:a16="http://schemas.microsoft.com/office/drawing/2014/main" pred="{91A217E7-F27F-4B88-A8FD-5C6F4C3D939A}"/>
            </a:ext>
          </a:extLst>
        </xdr:cNvPr>
        <xdr:cNvSpPr/>
      </xdr:nvSpPr>
      <xdr:spPr>
        <a:xfrm>
          <a:off x="6143625" y="6219825"/>
          <a:ext cx="3914775" cy="295275"/>
        </a:xfrm>
        <a:prstGeom prst="round2SameRect">
          <a:avLst/>
        </a:prstGeom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VENDEDORES DESTAQUE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754.637224652775" createdVersion="8" refreshedVersion="8" minRefreshableVersion="3" recordCount="1013" xr:uid="{3E8C37D7-8A2C-4F56-8C59-D6E0ADBC0836}">
  <cacheSource type="worksheet">
    <worksheetSource ref="A1:U1048576" sheet="@Hastro.club (2)"/>
  </cacheSource>
  <cacheFields count="21">
    <cacheField name="Seq." numFmtId="0">
      <sharedItems containsString="0" containsBlank="1" containsNumber="1" containsInteger="1" minValue="1" maxValue="1012"/>
    </cacheField>
    <cacheField name="Data" numFmtId="14">
      <sharedItems containsNonDate="0" containsDate="1" containsString="0" containsBlank="1" minDate="2020-01-01T00:00:00" maxDate="2021-06-30T00:00:00"/>
    </cacheField>
    <cacheField name="Mês" numFmtId="14">
      <sharedItems containsBlank="1" count="13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  <m/>
      </sharedItems>
    </cacheField>
    <cacheField name="Cód. Cliente" numFmtId="0">
      <sharedItems containsString="0" containsBlank="1" containsNumber="1" containsInteger="1" minValue="1" maxValue="100"/>
    </cacheField>
    <cacheField name="Cidade" numFmtId="0">
      <sharedItems containsBlank="1" count="68">
        <s v="Paranavaí"/>
        <s v="São Luís"/>
        <s v="Recife"/>
        <s v="Eunápolis"/>
        <s v="Gurupi"/>
        <s v="Salvador"/>
        <s v="Laranjeiras do Sul"/>
        <s v="Governador Valadares"/>
        <s v="São Paulo"/>
        <s v="São Bernardo do Campo"/>
        <s v="Fortaleza"/>
        <s v="Santana de Parnaíba"/>
        <s v="Manaus"/>
        <s v="São José do Rio Preto"/>
        <s v="Arcoverde"/>
        <s v="Goiânia"/>
        <s v="Núcleo Bandeirante"/>
        <s v="Avaré"/>
        <s v="Petrópolis"/>
        <s v="Piraquara"/>
        <s v="Brusque"/>
        <s v="Cachoeiro de Itapemirim"/>
        <s v="Guarulhos"/>
        <s v="Itaquaquecetuba"/>
        <s v="Belém"/>
        <s v="Ariquemes"/>
        <s v="Sorocaba"/>
        <s v="Franca"/>
        <s v="Rio de Janeiro"/>
        <s v="São João Del Rei"/>
        <s v="Campo Largo"/>
        <s v="Atibaia"/>
        <s v="Natal"/>
        <s v="Belo Horizonte"/>
        <s v="Viamão"/>
        <s v="Contagem"/>
        <s v="Ituiutaba"/>
        <s v="Vila Velha"/>
        <s v="Juazeiro"/>
        <s v="São Gonçalo"/>
        <s v="Catanduva"/>
        <s v="Patos de Minas"/>
        <s v="Serra"/>
        <s v="Bagé"/>
        <s v="Foz do Iguaçu"/>
        <s v="Juiz de Fora"/>
        <s v="João Pessoa"/>
        <s v="Vitória"/>
        <s v="Jaú"/>
        <s v="Campinas"/>
        <s v="Jataí"/>
        <s v="Barbacena"/>
        <s v="Mauá"/>
        <s v="Santos"/>
        <s v="Curitiba"/>
        <s v="Araçatuba"/>
        <s v="Vitória da Conquista"/>
        <s v="Garanhuns"/>
        <s v="Teófilo Otoni"/>
        <s v="Dourados"/>
        <s v="Queimados"/>
        <s v="Praia Grande"/>
        <s v="Cabo de Santo Agostinho"/>
        <s v="Duque de Caxias"/>
        <s v="Coronel Fabriciano"/>
        <s v="Santa Bárbara D'Oeste"/>
        <s v="Barra do Piraí"/>
        <m/>
      </sharedItems>
    </cacheField>
    <cacheField name="Produto" numFmtId="0">
      <sharedItems containsBlank="1" count="11">
        <s v="Cueca"/>
        <s v="Sapato"/>
        <s v="Camisa social"/>
        <s v="Boné"/>
        <s v="Tênis"/>
        <s v="Bermuda"/>
        <s v="Chinela"/>
        <s v="Blusa"/>
        <s v="Casaco"/>
        <s v="Moletom"/>
        <m/>
      </sharedItems>
    </cacheField>
    <cacheField name="Qtde." numFmtId="1">
      <sharedItems containsString="0" containsBlank="1" containsNumber="1" containsInteger="1" minValue="10" maxValue="50" count="42">
        <n v="37"/>
        <n v="47"/>
        <n v="34"/>
        <n v="44"/>
        <n v="24"/>
        <n v="11"/>
        <n v="20"/>
        <n v="10"/>
        <n v="22"/>
        <n v="45"/>
        <n v="14"/>
        <n v="27"/>
        <n v="18"/>
        <n v="31"/>
        <n v="25"/>
        <n v="30"/>
        <n v="21"/>
        <n v="39"/>
        <n v="49"/>
        <n v="29"/>
        <n v="23"/>
        <n v="17"/>
        <n v="28"/>
        <n v="19"/>
        <n v="50"/>
        <n v="41"/>
        <n v="16"/>
        <n v="46"/>
        <n v="38"/>
        <n v="48"/>
        <n v="33"/>
        <n v="26"/>
        <n v="35"/>
        <n v="15"/>
        <n v="13"/>
        <n v="43"/>
        <n v="42"/>
        <n v="32"/>
        <n v="40"/>
        <n v="36"/>
        <n v="12"/>
        <m/>
      </sharedItems>
    </cacheField>
    <cacheField name="Preço Unitário" numFmtId="44">
      <sharedItems containsString="0" containsBlank="1" containsNumber="1" containsInteger="1" minValue="90" maxValue="120"/>
    </cacheField>
    <cacheField name="Valor Bruto" numFmtId="44">
      <sharedItems containsString="0" containsBlank="1" containsNumber="1" containsInteger="1" minValue="910" maxValue="6000"/>
    </cacheField>
    <cacheField name="% Desconto" numFmtId="9">
      <sharedItems containsString="0" containsBlank="1" containsNumber="1" minValue="0" maxValue="0.15"/>
    </cacheField>
    <cacheField name="Valor Venda" numFmtId="44">
      <sharedItems containsString="0" containsBlank="1" containsNumber="1" minValue="799.8" maxValue="5712"/>
    </cacheField>
    <cacheField name="Valor Desconto" numFmtId="44">
      <sharedItems containsString="0" containsBlank="1" containsNumber="1" minValue="0" maxValue="845.25"/>
    </cacheField>
    <cacheField name="Vencimento" numFmtId="14">
      <sharedItems containsNonDate="0" containsDate="1" containsString="0" containsBlank="1" minDate="2020-01-03T00:00:00" maxDate="2021-07-24T00:00:00"/>
    </cacheField>
    <cacheField name="Data Pagamento" numFmtId="14">
      <sharedItems containsNonDate="0" containsDate="1" containsString="0" containsBlank="1" minDate="2020-01-03T00:00:00" maxDate="2021-07-24T00:00:00"/>
    </cacheField>
    <cacheField name="Documento" numFmtId="0">
      <sharedItems containsString="0" containsBlank="1" containsNumber="1" containsInteger="1" minValue="1" maxValue="1012"/>
    </cacheField>
    <cacheField name="Canal de Venda" numFmtId="0">
      <sharedItems containsString="0" containsBlank="1" containsNumber="1" containsInteger="1" minValue="1" maxValue="7"/>
    </cacheField>
    <cacheField name="Vendedor" numFmtId="0">
      <sharedItems containsBlank="1" count="11">
        <s v="Rebeca Melo"/>
        <s v="Ryan Azevedo"/>
        <s v="Larissa Martins"/>
        <s v="Marisa Alves"/>
        <s v="Carolina Cavalcanti"/>
        <s v="Isabella Cavalcanti"/>
        <s v="Ana Fernandes"/>
        <s v="Melissa Rocha"/>
        <s v="Cauã Barros"/>
        <s v="Beatrice Alves"/>
        <m/>
      </sharedItems>
    </cacheField>
    <cacheField name="% Comis." numFmtId="9">
      <sharedItems containsString="0" containsBlank="1" containsNumber="1" minValue="0.05" maxValue="0.1"/>
    </cacheField>
    <cacheField name="Comissão" numFmtId="44">
      <sharedItems containsString="0" containsBlank="1" containsNumber="1" minValue="43.164999999999999" maxValue="570"/>
    </cacheField>
    <cacheField name="Tipo de Pagamento" numFmtId="0">
      <sharedItems containsString="0" containsBlank="1" containsNumber="1" containsInteger="1" minValue="1" maxValue="7"/>
    </cacheField>
    <cacheField name="Mês2" numFmtId="0">
      <sharedItems containsBlank="1"/>
    </cacheField>
  </cacheFields>
  <extLst>
    <ext xmlns:x14="http://schemas.microsoft.com/office/spreadsheetml/2009/9/main" uri="{725AE2AE-9491-48be-B2B4-4EB974FC3084}">
      <x14:pivotCacheDefinition pivotCacheId="134183346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3">
  <r>
    <n v="1"/>
    <d v="2020-01-01T00:00:00"/>
    <x v="0"/>
    <n v="71"/>
    <x v="0"/>
    <x v="0"/>
    <x v="0"/>
    <n v="101"/>
    <n v="3737"/>
    <n v="0.02"/>
    <n v="3662.26"/>
    <n v="74.739999999999782"/>
    <d v="2020-01-12T00:00:00"/>
    <d v="2020-01-12T00:00:00"/>
    <n v="1"/>
    <n v="6"/>
    <x v="0"/>
    <n v="0.08"/>
    <n v="292.98080000000004"/>
    <n v="1"/>
    <s v="Janeiro"/>
  </r>
  <r>
    <n v="2"/>
    <d v="2020-01-01T00:00:00"/>
    <x v="0"/>
    <n v="52"/>
    <x v="1"/>
    <x v="1"/>
    <x v="1"/>
    <n v="93"/>
    <n v="4371"/>
    <n v="0.04"/>
    <n v="4196.16"/>
    <n v="174.84000000000015"/>
    <d v="2020-01-03T00:00:00"/>
    <d v="2020-01-03T00:00:00"/>
    <n v="2"/>
    <n v="2"/>
    <x v="1"/>
    <n v="0.1"/>
    <n v="419.61599999999999"/>
    <n v="2"/>
    <s v="Janeiro"/>
  </r>
  <r>
    <n v="3"/>
    <d v="2020-01-01T00:00:00"/>
    <x v="0"/>
    <n v="92"/>
    <x v="2"/>
    <x v="1"/>
    <x v="2"/>
    <n v="116"/>
    <n v="3944"/>
    <n v="0.01"/>
    <n v="3904.56"/>
    <n v="39.440000000000055"/>
    <d v="2020-01-24T00:00:00"/>
    <d v="2020-01-24T00:00:00"/>
    <n v="3"/>
    <n v="4"/>
    <x v="1"/>
    <n v="0.1"/>
    <n v="390.45600000000002"/>
    <n v="3"/>
    <s v="Janeiro"/>
  </r>
  <r>
    <n v="4"/>
    <d v="2020-01-04T00:00:00"/>
    <x v="0"/>
    <n v="16"/>
    <x v="3"/>
    <x v="2"/>
    <x v="3"/>
    <n v="113"/>
    <n v="4972"/>
    <n v="0.08"/>
    <n v="4574.24"/>
    <n v="397.76000000000022"/>
    <d v="2020-01-04T00:00:00"/>
    <d v="2020-01-04T00:00:00"/>
    <n v="4"/>
    <n v="3"/>
    <x v="2"/>
    <n v="7.0000000000000007E-2"/>
    <n v="320.1968"/>
    <n v="4"/>
    <s v="Janeiro"/>
  </r>
  <r>
    <n v="5"/>
    <d v="2020-01-05T00:00:00"/>
    <x v="0"/>
    <n v="66"/>
    <x v="4"/>
    <x v="3"/>
    <x v="4"/>
    <n v="97"/>
    <n v="2328"/>
    <n v="0.02"/>
    <n v="2281.44"/>
    <n v="46.559999999999945"/>
    <d v="2020-01-12T00:00:00"/>
    <d v="2020-01-12T00:00:00"/>
    <n v="5"/>
    <n v="6"/>
    <x v="3"/>
    <n v="7.0000000000000007E-2"/>
    <n v="159.70080000000002"/>
    <n v="5"/>
    <s v="Janeiro"/>
  </r>
  <r>
    <n v="6"/>
    <d v="2020-01-06T00:00:00"/>
    <x v="0"/>
    <n v="93"/>
    <x v="5"/>
    <x v="1"/>
    <x v="5"/>
    <n v="96"/>
    <n v="1056"/>
    <n v="0"/>
    <n v="1056"/>
    <n v="0"/>
    <d v="2020-01-27T00:00:00"/>
    <d v="2020-01-27T00:00:00"/>
    <n v="6"/>
    <n v="2"/>
    <x v="4"/>
    <n v="0.08"/>
    <n v="84.48"/>
    <n v="6"/>
    <s v="Janeiro"/>
  </r>
  <r>
    <n v="7"/>
    <d v="2020-01-06T00:00:00"/>
    <x v="0"/>
    <n v="2"/>
    <x v="6"/>
    <x v="3"/>
    <x v="6"/>
    <n v="112"/>
    <n v="2240"/>
    <n v="0.13"/>
    <n v="1948.8"/>
    <n v="291.20000000000005"/>
    <d v="2020-02-04T00:00:00"/>
    <d v="2020-02-04T00:00:00"/>
    <n v="7"/>
    <n v="4"/>
    <x v="2"/>
    <n v="0.08"/>
    <n v="155.904"/>
    <n v="7"/>
    <s v="Janeiro"/>
  </r>
  <r>
    <n v="8"/>
    <d v="2020-01-06T00:00:00"/>
    <x v="0"/>
    <n v="9"/>
    <x v="7"/>
    <x v="3"/>
    <x v="7"/>
    <n v="92"/>
    <n v="920"/>
    <n v="0"/>
    <n v="920"/>
    <n v="0"/>
    <d v="2020-01-31T00:00:00"/>
    <d v="2020-01-31T00:00:00"/>
    <n v="8"/>
    <n v="4"/>
    <x v="5"/>
    <n v="0.06"/>
    <n v="55.199999999999996"/>
    <n v="1"/>
    <s v="Janeiro"/>
  </r>
  <r>
    <n v="9"/>
    <d v="2020-01-06T00:00:00"/>
    <x v="0"/>
    <n v="39"/>
    <x v="8"/>
    <x v="1"/>
    <x v="8"/>
    <n v="99"/>
    <n v="2178"/>
    <n v="0.02"/>
    <n v="2134.44"/>
    <n v="43.559999999999945"/>
    <d v="2020-01-25T00:00:00"/>
    <d v="2020-01-25T00:00:00"/>
    <n v="9"/>
    <n v="7"/>
    <x v="4"/>
    <n v="0.09"/>
    <n v="192.09960000000001"/>
    <n v="2"/>
    <s v="Janeiro"/>
  </r>
  <r>
    <n v="10"/>
    <d v="2020-01-07T00:00:00"/>
    <x v="0"/>
    <n v="20"/>
    <x v="9"/>
    <x v="3"/>
    <x v="9"/>
    <n v="107"/>
    <n v="4815"/>
    <n v="0.02"/>
    <n v="4718.7"/>
    <n v="96.300000000000182"/>
    <d v="2020-01-12T00:00:00"/>
    <d v="2020-01-12T00:00:00"/>
    <n v="10"/>
    <n v="5"/>
    <x v="1"/>
    <n v="0.1"/>
    <n v="471.87"/>
    <n v="3"/>
    <s v="Janeiro"/>
  </r>
  <r>
    <n v="11"/>
    <d v="2020-01-07T00:00:00"/>
    <x v="0"/>
    <n v="87"/>
    <x v="10"/>
    <x v="4"/>
    <x v="10"/>
    <n v="105"/>
    <n v="1470"/>
    <n v="0"/>
    <n v="1470"/>
    <n v="0"/>
    <d v="2020-01-13T00:00:00"/>
    <d v="2020-01-13T00:00:00"/>
    <n v="11"/>
    <n v="6"/>
    <x v="2"/>
    <n v="0.1"/>
    <n v="147"/>
    <n v="4"/>
    <s v="Janeiro"/>
  </r>
  <r>
    <n v="12"/>
    <d v="2020-01-07T00:00:00"/>
    <x v="0"/>
    <n v="96"/>
    <x v="11"/>
    <x v="3"/>
    <x v="11"/>
    <n v="105"/>
    <n v="2835"/>
    <n v="0.09"/>
    <n v="2579.85"/>
    <n v="255.15000000000009"/>
    <d v="2020-01-12T00:00:00"/>
    <d v="2020-01-12T00:00:00"/>
    <n v="12"/>
    <n v="3"/>
    <x v="6"/>
    <n v="7.0000000000000007E-2"/>
    <n v="180.58950000000002"/>
    <n v="5"/>
    <s v="Janeiro"/>
  </r>
  <r>
    <n v="13"/>
    <d v="2020-01-09T00:00:00"/>
    <x v="0"/>
    <n v="55"/>
    <x v="12"/>
    <x v="3"/>
    <x v="12"/>
    <n v="110"/>
    <n v="1980"/>
    <n v="0.14000000000000001"/>
    <n v="1702.8"/>
    <n v="277.20000000000005"/>
    <d v="2020-02-07T00:00:00"/>
    <d v="2020-02-07T00:00:00"/>
    <n v="13"/>
    <n v="5"/>
    <x v="0"/>
    <n v="0.06"/>
    <n v="102.16799999999999"/>
    <n v="6"/>
    <s v="Janeiro"/>
  </r>
  <r>
    <n v="14"/>
    <d v="2020-01-09T00:00:00"/>
    <x v="0"/>
    <n v="73"/>
    <x v="8"/>
    <x v="1"/>
    <x v="13"/>
    <n v="117"/>
    <n v="3627"/>
    <n v="0.02"/>
    <n v="3554.46"/>
    <n v="72.539999999999964"/>
    <d v="2020-01-09T00:00:00"/>
    <d v="2020-01-09T00:00:00"/>
    <n v="14"/>
    <n v="4"/>
    <x v="1"/>
    <n v="0.06"/>
    <n v="213.26759999999999"/>
    <n v="7"/>
    <s v="Janeiro"/>
  </r>
  <r>
    <n v="15"/>
    <d v="2020-01-09T00:00:00"/>
    <x v="0"/>
    <n v="74"/>
    <x v="8"/>
    <x v="2"/>
    <x v="5"/>
    <n v="114"/>
    <n v="1254"/>
    <n v="0.04"/>
    <n v="1203.8399999999999"/>
    <n v="50.160000000000082"/>
    <d v="2020-01-17T00:00:00"/>
    <d v="2020-01-17T00:00:00"/>
    <n v="15"/>
    <n v="4"/>
    <x v="3"/>
    <n v="0.1"/>
    <n v="120.384"/>
    <n v="1"/>
    <s v="Janeiro"/>
  </r>
  <r>
    <n v="16"/>
    <d v="2020-01-11T00:00:00"/>
    <x v="0"/>
    <n v="12"/>
    <x v="13"/>
    <x v="3"/>
    <x v="14"/>
    <n v="110"/>
    <n v="2750"/>
    <n v="0.01"/>
    <n v="2722.5"/>
    <n v="27.5"/>
    <d v="2020-01-13T00:00:00"/>
    <d v="2020-01-13T00:00:00"/>
    <n v="16"/>
    <n v="6"/>
    <x v="3"/>
    <n v="0.1"/>
    <n v="272.25"/>
    <n v="2"/>
    <s v="Janeiro"/>
  </r>
  <r>
    <n v="17"/>
    <d v="2020-01-12T00:00:00"/>
    <x v="0"/>
    <n v="92"/>
    <x v="2"/>
    <x v="5"/>
    <x v="15"/>
    <n v="108"/>
    <n v="3240"/>
    <n v="0.06"/>
    <n v="3045.6"/>
    <n v="194.40000000000009"/>
    <d v="2020-02-04T00:00:00"/>
    <d v="2020-02-04T00:00:00"/>
    <n v="17"/>
    <n v="1"/>
    <x v="7"/>
    <n v="7.0000000000000007E-2"/>
    <n v="213.19200000000001"/>
    <n v="3"/>
    <s v="Janeiro"/>
  </r>
  <r>
    <n v="18"/>
    <d v="2020-01-15T00:00:00"/>
    <x v="0"/>
    <n v="37"/>
    <x v="14"/>
    <x v="2"/>
    <x v="16"/>
    <n v="109"/>
    <n v="2289"/>
    <n v="0.1"/>
    <n v="2060.1"/>
    <n v="228.90000000000009"/>
    <d v="2020-02-12T00:00:00"/>
    <d v="2020-02-12T00:00:00"/>
    <n v="18"/>
    <n v="4"/>
    <x v="7"/>
    <n v="7.0000000000000007E-2"/>
    <n v="144.20699999999999"/>
    <n v="4"/>
    <s v="Janeiro"/>
  </r>
  <r>
    <n v="19"/>
    <d v="2020-01-15T00:00:00"/>
    <x v="0"/>
    <n v="100"/>
    <x v="8"/>
    <x v="3"/>
    <x v="0"/>
    <n v="99"/>
    <n v="3663"/>
    <n v="0.12"/>
    <n v="3223.44"/>
    <n v="439.55999999999995"/>
    <d v="2020-02-02T00:00:00"/>
    <d v="2020-02-02T00:00:00"/>
    <n v="19"/>
    <n v="3"/>
    <x v="6"/>
    <n v="0.05"/>
    <n v="161.17200000000003"/>
    <n v="5"/>
    <s v="Janeiro"/>
  </r>
  <r>
    <n v="20"/>
    <d v="2020-01-15T00:00:00"/>
    <x v="0"/>
    <n v="94"/>
    <x v="15"/>
    <x v="6"/>
    <x v="17"/>
    <n v="103"/>
    <n v="4017"/>
    <n v="0.15"/>
    <n v="3414.45"/>
    <n v="602.55000000000018"/>
    <d v="2020-01-30T00:00:00"/>
    <d v="2020-01-30T00:00:00"/>
    <n v="20"/>
    <n v="6"/>
    <x v="4"/>
    <n v="0.08"/>
    <n v="273.15600000000001"/>
    <n v="6"/>
    <s v="Janeiro"/>
  </r>
  <r>
    <n v="21"/>
    <d v="2020-01-15T00:00:00"/>
    <x v="0"/>
    <n v="22"/>
    <x v="16"/>
    <x v="6"/>
    <x v="11"/>
    <n v="115"/>
    <n v="3105"/>
    <n v="0.12"/>
    <n v="2732.4"/>
    <n v="372.59999999999991"/>
    <d v="2020-01-25T00:00:00"/>
    <d v="2020-01-25T00:00:00"/>
    <n v="21"/>
    <n v="1"/>
    <x v="2"/>
    <n v="7.0000000000000007E-2"/>
    <n v="191.26800000000003"/>
    <n v="7"/>
    <s v="Janeiro"/>
  </r>
  <r>
    <n v="22"/>
    <d v="2020-01-16T00:00:00"/>
    <x v="0"/>
    <n v="35"/>
    <x v="8"/>
    <x v="3"/>
    <x v="18"/>
    <n v="105"/>
    <n v="5145"/>
    <n v="0.03"/>
    <n v="4990.6499999999996"/>
    <n v="154.35000000000036"/>
    <d v="2020-01-22T00:00:00"/>
    <d v="2020-01-22T00:00:00"/>
    <n v="22"/>
    <n v="2"/>
    <x v="2"/>
    <n v="0.09"/>
    <n v="449.15849999999995"/>
    <n v="1"/>
    <s v="Janeiro"/>
  </r>
  <r>
    <n v="23"/>
    <d v="2020-01-16T00:00:00"/>
    <x v="0"/>
    <n v="88"/>
    <x v="8"/>
    <x v="6"/>
    <x v="19"/>
    <n v="91"/>
    <n v="2639"/>
    <n v="0.1"/>
    <n v="2375.1"/>
    <n v="263.90000000000009"/>
    <d v="2020-02-12T00:00:00"/>
    <d v="2020-02-12T00:00:00"/>
    <n v="23"/>
    <n v="2"/>
    <x v="8"/>
    <n v="0.09"/>
    <n v="213.75899999999999"/>
    <n v="2"/>
    <s v="Janeiro"/>
  </r>
  <r>
    <n v="24"/>
    <d v="2020-01-16T00:00:00"/>
    <x v="0"/>
    <n v="51"/>
    <x v="17"/>
    <x v="7"/>
    <x v="20"/>
    <n v="90"/>
    <n v="2070"/>
    <n v="7.0000000000000007E-2"/>
    <n v="1925.1"/>
    <n v="144.90000000000009"/>
    <d v="2020-02-04T00:00:00"/>
    <d v="2020-02-04T00:00:00"/>
    <n v="24"/>
    <n v="5"/>
    <x v="1"/>
    <n v="7.0000000000000007E-2"/>
    <n v="134.75700000000001"/>
    <n v="3"/>
    <s v="Janeiro"/>
  </r>
  <r>
    <n v="25"/>
    <d v="2020-01-18T00:00:00"/>
    <x v="0"/>
    <n v="51"/>
    <x v="17"/>
    <x v="8"/>
    <x v="21"/>
    <n v="116"/>
    <n v="1972"/>
    <n v="0.08"/>
    <n v="1814.24"/>
    <n v="157.76"/>
    <d v="2020-01-23T00:00:00"/>
    <d v="2020-01-23T00:00:00"/>
    <n v="25"/>
    <n v="5"/>
    <x v="4"/>
    <n v="0.09"/>
    <n v="163.2816"/>
    <n v="4"/>
    <s v="Janeiro"/>
  </r>
  <r>
    <n v="26"/>
    <d v="2020-01-18T00:00:00"/>
    <x v="0"/>
    <n v="61"/>
    <x v="18"/>
    <x v="8"/>
    <x v="22"/>
    <n v="109"/>
    <n v="3052"/>
    <n v="0.09"/>
    <n v="2777.32"/>
    <n v="274.67999999999984"/>
    <d v="2020-02-08T00:00:00"/>
    <d v="2020-02-08T00:00:00"/>
    <n v="26"/>
    <n v="5"/>
    <x v="7"/>
    <n v="0.05"/>
    <n v="138.86600000000001"/>
    <n v="5"/>
    <s v="Janeiro"/>
  </r>
  <r>
    <n v="27"/>
    <d v="2020-01-18T00:00:00"/>
    <x v="0"/>
    <n v="85"/>
    <x v="19"/>
    <x v="2"/>
    <x v="5"/>
    <n v="101"/>
    <n v="1111"/>
    <n v="0.11"/>
    <n v="988.79"/>
    <n v="122.21000000000004"/>
    <d v="2020-02-17T00:00:00"/>
    <d v="2020-02-17T00:00:00"/>
    <n v="27"/>
    <n v="6"/>
    <x v="1"/>
    <n v="0.06"/>
    <n v="59.327399999999997"/>
    <n v="6"/>
    <s v="Janeiro"/>
  </r>
  <r>
    <n v="28"/>
    <d v="2020-01-19T00:00:00"/>
    <x v="0"/>
    <n v="34"/>
    <x v="20"/>
    <x v="9"/>
    <x v="11"/>
    <n v="96"/>
    <n v="2592"/>
    <n v="0.13"/>
    <n v="2255.04"/>
    <n v="336.96000000000004"/>
    <d v="2020-02-07T00:00:00"/>
    <d v="2020-02-07T00:00:00"/>
    <n v="28"/>
    <n v="6"/>
    <x v="3"/>
    <n v="0.06"/>
    <n v="135.30240000000001"/>
    <n v="7"/>
    <s v="Janeiro"/>
  </r>
  <r>
    <n v="29"/>
    <d v="2020-01-19T00:00:00"/>
    <x v="0"/>
    <n v="90"/>
    <x v="21"/>
    <x v="2"/>
    <x v="6"/>
    <n v="95"/>
    <n v="1900"/>
    <n v="7.0000000000000007E-2"/>
    <n v="1767"/>
    <n v="133"/>
    <d v="2020-01-24T00:00:00"/>
    <d v="2020-01-24T00:00:00"/>
    <n v="29"/>
    <n v="7"/>
    <x v="6"/>
    <n v="0.1"/>
    <n v="176.70000000000002"/>
    <n v="1"/>
    <s v="Janeiro"/>
  </r>
  <r>
    <n v="30"/>
    <d v="2020-01-20T00:00:00"/>
    <x v="0"/>
    <n v="48"/>
    <x v="22"/>
    <x v="6"/>
    <x v="23"/>
    <n v="114"/>
    <n v="2166"/>
    <n v="0.05"/>
    <n v="2057.6999999999998"/>
    <n v="108.30000000000018"/>
    <d v="2020-02-18T00:00:00"/>
    <d v="2020-02-18T00:00:00"/>
    <n v="30"/>
    <n v="5"/>
    <x v="3"/>
    <n v="0.1"/>
    <n v="205.76999999999998"/>
    <n v="2"/>
    <s v="Janeiro"/>
  </r>
  <r>
    <n v="31"/>
    <d v="2020-01-20T00:00:00"/>
    <x v="0"/>
    <n v="91"/>
    <x v="23"/>
    <x v="7"/>
    <x v="24"/>
    <n v="96"/>
    <n v="4800"/>
    <n v="0.05"/>
    <n v="4560"/>
    <n v="240"/>
    <d v="2020-02-18T00:00:00"/>
    <d v="2020-02-18T00:00:00"/>
    <n v="31"/>
    <n v="3"/>
    <x v="0"/>
    <n v="0.08"/>
    <n v="364.8"/>
    <n v="3"/>
    <s v="Janeiro"/>
  </r>
  <r>
    <n v="32"/>
    <d v="2020-01-20T00:00:00"/>
    <x v="0"/>
    <n v="25"/>
    <x v="24"/>
    <x v="6"/>
    <x v="6"/>
    <n v="108"/>
    <n v="2160"/>
    <n v="0"/>
    <n v="2160"/>
    <n v="0"/>
    <d v="2020-02-01T00:00:00"/>
    <d v="2020-02-01T00:00:00"/>
    <n v="32"/>
    <n v="6"/>
    <x v="3"/>
    <n v="7.0000000000000007E-2"/>
    <n v="151.20000000000002"/>
    <n v="4"/>
    <s v="Janeiro"/>
  </r>
  <r>
    <n v="33"/>
    <d v="2020-01-21T00:00:00"/>
    <x v="0"/>
    <n v="65"/>
    <x v="25"/>
    <x v="3"/>
    <x v="12"/>
    <n v="102"/>
    <n v="1836"/>
    <n v="0.11"/>
    <n v="1634.04"/>
    <n v="201.96000000000004"/>
    <d v="2020-02-17T00:00:00"/>
    <d v="2020-02-17T00:00:00"/>
    <n v="33"/>
    <n v="3"/>
    <x v="0"/>
    <n v="0.06"/>
    <n v="98.042400000000001"/>
    <n v="5"/>
    <s v="Janeiro"/>
  </r>
  <r>
    <n v="34"/>
    <d v="2020-01-21T00:00:00"/>
    <x v="0"/>
    <n v="52"/>
    <x v="1"/>
    <x v="3"/>
    <x v="3"/>
    <n v="106"/>
    <n v="4664"/>
    <n v="0.08"/>
    <n v="4290.88"/>
    <n v="373.11999999999989"/>
    <d v="2020-02-02T00:00:00"/>
    <d v="2020-02-02T00:00:00"/>
    <n v="34"/>
    <n v="1"/>
    <x v="3"/>
    <n v="7.0000000000000007E-2"/>
    <n v="300.36160000000001"/>
    <n v="6"/>
    <s v="Janeiro"/>
  </r>
  <r>
    <n v="35"/>
    <d v="2020-01-21T00:00:00"/>
    <x v="0"/>
    <n v="74"/>
    <x v="8"/>
    <x v="6"/>
    <x v="25"/>
    <n v="105"/>
    <n v="4305"/>
    <n v="0.13"/>
    <n v="3745.35"/>
    <n v="559.65000000000009"/>
    <d v="2020-02-18T00:00:00"/>
    <d v="2020-02-18T00:00:00"/>
    <n v="35"/>
    <n v="6"/>
    <x v="8"/>
    <n v="0.09"/>
    <n v="337.08150000000001"/>
    <n v="7"/>
    <s v="Janeiro"/>
  </r>
  <r>
    <n v="36"/>
    <d v="2020-01-22T00:00:00"/>
    <x v="0"/>
    <n v="77"/>
    <x v="26"/>
    <x v="1"/>
    <x v="23"/>
    <n v="111"/>
    <n v="2109"/>
    <n v="0.08"/>
    <n v="1940.28"/>
    <n v="168.72000000000003"/>
    <d v="2020-02-05T00:00:00"/>
    <d v="2020-02-05T00:00:00"/>
    <n v="36"/>
    <n v="2"/>
    <x v="5"/>
    <n v="0.06"/>
    <n v="116.41679999999999"/>
    <n v="1"/>
    <s v="Janeiro"/>
  </r>
  <r>
    <n v="37"/>
    <d v="2020-01-22T00:00:00"/>
    <x v="0"/>
    <n v="72"/>
    <x v="8"/>
    <x v="3"/>
    <x v="10"/>
    <n v="94"/>
    <n v="1316"/>
    <n v="0.09"/>
    <n v="1197.56"/>
    <n v="118.44000000000005"/>
    <d v="2020-02-09T00:00:00"/>
    <d v="2020-02-09T00:00:00"/>
    <n v="37"/>
    <n v="7"/>
    <x v="7"/>
    <n v="0.09"/>
    <n v="107.78039999999999"/>
    <n v="2"/>
    <s v="Janeiro"/>
  </r>
  <r>
    <n v="38"/>
    <d v="2020-01-23T00:00:00"/>
    <x v="0"/>
    <n v="97"/>
    <x v="27"/>
    <x v="0"/>
    <x v="26"/>
    <n v="108"/>
    <n v="1728"/>
    <n v="0.08"/>
    <n v="1589.76"/>
    <n v="138.24"/>
    <d v="2020-02-01T00:00:00"/>
    <d v="2020-02-01T00:00:00"/>
    <n v="38"/>
    <n v="4"/>
    <x v="7"/>
    <n v="0.06"/>
    <n v="95.385599999999997"/>
    <n v="3"/>
    <s v="Janeiro"/>
  </r>
  <r>
    <n v="39"/>
    <d v="2020-01-23T00:00:00"/>
    <x v="0"/>
    <n v="82"/>
    <x v="28"/>
    <x v="1"/>
    <x v="25"/>
    <n v="102"/>
    <n v="4182"/>
    <n v="0.04"/>
    <n v="4014.72"/>
    <n v="167.2800000000002"/>
    <d v="2020-02-17T00:00:00"/>
    <d v="2020-02-17T00:00:00"/>
    <n v="39"/>
    <n v="7"/>
    <x v="2"/>
    <n v="0.09"/>
    <n v="361.32479999999998"/>
    <n v="4"/>
    <s v="Janeiro"/>
  </r>
  <r>
    <n v="40"/>
    <d v="2020-01-24T00:00:00"/>
    <x v="0"/>
    <n v="47"/>
    <x v="10"/>
    <x v="9"/>
    <x v="27"/>
    <n v="107"/>
    <n v="4922"/>
    <n v="0.15"/>
    <n v="4183.7"/>
    <n v="738.30000000000018"/>
    <d v="2020-02-06T00:00:00"/>
    <d v="2020-02-06T00:00:00"/>
    <n v="40"/>
    <n v="6"/>
    <x v="1"/>
    <n v="0.05"/>
    <n v="209.185"/>
    <n v="5"/>
    <s v="Janeiro"/>
  </r>
  <r>
    <n v="41"/>
    <d v="2020-01-24T00:00:00"/>
    <x v="0"/>
    <n v="77"/>
    <x v="26"/>
    <x v="6"/>
    <x v="28"/>
    <n v="105"/>
    <n v="3990"/>
    <n v="0.05"/>
    <n v="3790.5"/>
    <n v="199.5"/>
    <d v="2020-02-20T00:00:00"/>
    <d v="2020-02-20T00:00:00"/>
    <n v="41"/>
    <n v="7"/>
    <x v="6"/>
    <n v="0.09"/>
    <n v="341.14499999999998"/>
    <n v="6"/>
    <s v="Janeiro"/>
  </r>
  <r>
    <n v="42"/>
    <d v="2020-01-24T00:00:00"/>
    <x v="0"/>
    <n v="8"/>
    <x v="8"/>
    <x v="4"/>
    <x v="29"/>
    <n v="111"/>
    <n v="5328"/>
    <n v="0.11"/>
    <n v="4741.92"/>
    <n v="586.07999999999993"/>
    <d v="2020-02-06T00:00:00"/>
    <d v="2020-02-06T00:00:00"/>
    <n v="42"/>
    <n v="7"/>
    <x v="5"/>
    <n v="0.09"/>
    <n v="426.77280000000002"/>
    <n v="7"/>
    <s v="Janeiro"/>
  </r>
  <r>
    <n v="43"/>
    <d v="2020-01-24T00:00:00"/>
    <x v="0"/>
    <n v="41"/>
    <x v="29"/>
    <x v="2"/>
    <x v="30"/>
    <n v="99"/>
    <n v="3267"/>
    <n v="0.02"/>
    <n v="3201.66"/>
    <n v="65.340000000000146"/>
    <d v="2020-02-16T00:00:00"/>
    <d v="2020-02-16T00:00:00"/>
    <n v="43"/>
    <n v="5"/>
    <x v="0"/>
    <n v="0.05"/>
    <n v="160.083"/>
    <n v="1"/>
    <s v="Janeiro"/>
  </r>
  <r>
    <n v="44"/>
    <d v="2020-01-25T00:00:00"/>
    <x v="0"/>
    <n v="41"/>
    <x v="29"/>
    <x v="5"/>
    <x v="8"/>
    <n v="117"/>
    <n v="2574"/>
    <n v="0.12"/>
    <n v="2265.12"/>
    <n v="308.88000000000011"/>
    <d v="2020-02-23T00:00:00"/>
    <d v="2020-02-23T00:00:00"/>
    <n v="44"/>
    <n v="7"/>
    <x v="2"/>
    <n v="7.0000000000000007E-2"/>
    <n v="158.55840000000001"/>
    <n v="2"/>
    <s v="Janeiro"/>
  </r>
  <r>
    <n v="45"/>
    <d v="2020-01-25T00:00:00"/>
    <x v="0"/>
    <n v="55"/>
    <x v="12"/>
    <x v="4"/>
    <x v="13"/>
    <n v="110"/>
    <n v="3410"/>
    <n v="0.04"/>
    <n v="3273.6"/>
    <n v="136.40000000000009"/>
    <d v="2020-01-28T00:00:00"/>
    <d v="2020-01-28T00:00:00"/>
    <n v="45"/>
    <n v="6"/>
    <x v="6"/>
    <n v="0.06"/>
    <n v="196.416"/>
    <n v="3"/>
    <s v="Janeiro"/>
  </r>
  <r>
    <n v="46"/>
    <d v="2020-01-25T00:00:00"/>
    <x v="0"/>
    <n v="40"/>
    <x v="15"/>
    <x v="4"/>
    <x v="0"/>
    <n v="90"/>
    <n v="3330"/>
    <n v="0.15"/>
    <n v="2830.5"/>
    <n v="499.5"/>
    <d v="2020-02-15T00:00:00"/>
    <d v="2020-02-15T00:00:00"/>
    <n v="46"/>
    <n v="1"/>
    <x v="4"/>
    <n v="0.1"/>
    <n v="283.05"/>
    <n v="4"/>
    <s v="Janeiro"/>
  </r>
  <r>
    <n v="47"/>
    <d v="2020-01-25T00:00:00"/>
    <x v="0"/>
    <n v="47"/>
    <x v="10"/>
    <x v="4"/>
    <x v="9"/>
    <n v="108"/>
    <n v="4860"/>
    <n v="0.11"/>
    <n v="4325.3999999999996"/>
    <n v="534.60000000000036"/>
    <d v="2020-01-30T00:00:00"/>
    <d v="2020-01-30T00:00:00"/>
    <n v="47"/>
    <n v="6"/>
    <x v="9"/>
    <n v="0.1"/>
    <n v="432.53999999999996"/>
    <n v="5"/>
    <s v="Janeiro"/>
  </r>
  <r>
    <n v="48"/>
    <d v="2020-01-27T00:00:00"/>
    <x v="0"/>
    <n v="36"/>
    <x v="30"/>
    <x v="5"/>
    <x v="31"/>
    <n v="93"/>
    <n v="2418"/>
    <n v="0.05"/>
    <n v="2297.1"/>
    <n v="120.90000000000009"/>
    <d v="2020-02-17T00:00:00"/>
    <d v="2020-02-17T00:00:00"/>
    <n v="48"/>
    <n v="7"/>
    <x v="4"/>
    <n v="0.09"/>
    <n v="206.73899999999998"/>
    <n v="6"/>
    <s v="Janeiro"/>
  </r>
  <r>
    <n v="49"/>
    <d v="2020-01-29T00:00:00"/>
    <x v="0"/>
    <n v="44"/>
    <x v="31"/>
    <x v="8"/>
    <x v="3"/>
    <n v="92"/>
    <n v="4048"/>
    <n v="0.04"/>
    <n v="3886.08"/>
    <n v="161.92000000000007"/>
    <d v="2020-02-28T00:00:00"/>
    <d v="2020-02-28T00:00:00"/>
    <n v="49"/>
    <n v="5"/>
    <x v="8"/>
    <n v="0.1"/>
    <n v="388.608"/>
    <n v="7"/>
    <s v="Janeiro"/>
  </r>
  <r>
    <n v="50"/>
    <d v="2020-01-29T00:00:00"/>
    <x v="0"/>
    <n v="58"/>
    <x v="32"/>
    <x v="5"/>
    <x v="31"/>
    <n v="116"/>
    <n v="3016"/>
    <n v="0"/>
    <n v="3016"/>
    <n v="0"/>
    <d v="2020-02-23T00:00:00"/>
    <d v="2020-02-23T00:00:00"/>
    <n v="50"/>
    <n v="1"/>
    <x v="1"/>
    <n v="0.1"/>
    <n v="301.60000000000002"/>
    <n v="1"/>
    <s v="Janeiro"/>
  </r>
  <r>
    <n v="51"/>
    <d v="2020-01-29T00:00:00"/>
    <x v="0"/>
    <n v="38"/>
    <x v="33"/>
    <x v="3"/>
    <x v="24"/>
    <n v="91"/>
    <n v="4550"/>
    <n v="0.12"/>
    <n v="4004"/>
    <n v="546"/>
    <d v="2020-01-30T00:00:00"/>
    <d v="2020-01-30T00:00:00"/>
    <n v="51"/>
    <n v="7"/>
    <x v="0"/>
    <n v="0.09"/>
    <n v="360.36"/>
    <n v="2"/>
    <s v="Janeiro"/>
  </r>
  <r>
    <n v="52"/>
    <d v="2020-01-29T00:00:00"/>
    <x v="0"/>
    <n v="94"/>
    <x v="15"/>
    <x v="6"/>
    <x v="15"/>
    <n v="103"/>
    <n v="3090"/>
    <n v="0.06"/>
    <n v="2904.6"/>
    <n v="185.40000000000009"/>
    <d v="2020-02-10T00:00:00"/>
    <d v="2020-02-10T00:00:00"/>
    <n v="52"/>
    <n v="3"/>
    <x v="9"/>
    <n v="7.0000000000000007E-2"/>
    <n v="203.322"/>
    <n v="3"/>
    <s v="Janeiro"/>
  </r>
  <r>
    <n v="53"/>
    <d v="2020-01-30T00:00:00"/>
    <x v="0"/>
    <n v="24"/>
    <x v="34"/>
    <x v="3"/>
    <x v="3"/>
    <n v="94"/>
    <n v="4136"/>
    <n v="0.08"/>
    <n v="3805.12"/>
    <n v="330.88000000000011"/>
    <d v="2020-02-25T00:00:00"/>
    <d v="2020-02-25T00:00:00"/>
    <n v="53"/>
    <n v="6"/>
    <x v="5"/>
    <n v="0.06"/>
    <n v="228.30719999999999"/>
    <n v="4"/>
    <s v="Janeiro"/>
  </r>
  <r>
    <n v="54"/>
    <d v="2020-01-31T00:00:00"/>
    <x v="0"/>
    <n v="93"/>
    <x v="5"/>
    <x v="5"/>
    <x v="25"/>
    <n v="103"/>
    <n v="4223"/>
    <n v="0.1"/>
    <n v="3800.7"/>
    <n v="422.30000000000018"/>
    <d v="2020-02-08T00:00:00"/>
    <d v="2020-02-08T00:00:00"/>
    <n v="54"/>
    <n v="2"/>
    <x v="0"/>
    <n v="0.08"/>
    <n v="304.05599999999998"/>
    <n v="5"/>
    <s v="Janeiro"/>
  </r>
  <r>
    <n v="55"/>
    <d v="2020-01-31T00:00:00"/>
    <x v="0"/>
    <n v="95"/>
    <x v="8"/>
    <x v="4"/>
    <x v="5"/>
    <n v="105"/>
    <n v="1155"/>
    <n v="0.06"/>
    <n v="1085.7"/>
    <n v="69.299999999999955"/>
    <d v="2020-02-11T00:00:00"/>
    <d v="2020-02-11T00:00:00"/>
    <n v="55"/>
    <n v="4"/>
    <x v="2"/>
    <n v="7.0000000000000007E-2"/>
    <n v="75.999000000000009"/>
    <n v="6"/>
    <s v="Janeiro"/>
  </r>
  <r>
    <n v="56"/>
    <d v="2020-01-31T00:00:00"/>
    <x v="0"/>
    <n v="13"/>
    <x v="35"/>
    <x v="1"/>
    <x v="9"/>
    <n v="106"/>
    <n v="4770"/>
    <n v="0.12"/>
    <n v="4197.6000000000004"/>
    <n v="572.39999999999964"/>
    <d v="2020-02-25T00:00:00"/>
    <d v="2020-02-25T00:00:00"/>
    <n v="56"/>
    <n v="6"/>
    <x v="1"/>
    <n v="0.05"/>
    <n v="209.88000000000002"/>
    <n v="7"/>
    <s v="Janeiro"/>
  </r>
  <r>
    <n v="57"/>
    <d v="2020-02-01T00:00:00"/>
    <x v="1"/>
    <n v="33"/>
    <x v="36"/>
    <x v="6"/>
    <x v="32"/>
    <n v="101"/>
    <n v="3535"/>
    <n v="0.13"/>
    <n v="3075.45"/>
    <n v="459.55000000000018"/>
    <d v="2020-02-27T00:00:00"/>
    <d v="2020-02-27T00:00:00"/>
    <n v="57"/>
    <n v="4"/>
    <x v="3"/>
    <n v="0.08"/>
    <n v="246.036"/>
    <n v="1"/>
    <s v="Fevereiro"/>
  </r>
  <r>
    <n v="58"/>
    <d v="2020-02-01T00:00:00"/>
    <x v="1"/>
    <n v="52"/>
    <x v="1"/>
    <x v="7"/>
    <x v="33"/>
    <n v="104"/>
    <n v="1560"/>
    <n v="0.12"/>
    <n v="1372.8"/>
    <n v="187.20000000000005"/>
    <d v="2020-02-21T00:00:00"/>
    <d v="2020-02-21T00:00:00"/>
    <n v="58"/>
    <n v="4"/>
    <x v="6"/>
    <n v="0.08"/>
    <n v="109.824"/>
    <n v="2"/>
    <s v="Fevereiro"/>
  </r>
  <r>
    <n v="59"/>
    <d v="2020-02-02T00:00:00"/>
    <x v="1"/>
    <n v="15"/>
    <x v="37"/>
    <x v="1"/>
    <x v="34"/>
    <n v="116"/>
    <n v="1508"/>
    <n v="0.14000000000000001"/>
    <n v="1296.8799999999999"/>
    <n v="211.12000000000012"/>
    <d v="2020-03-01T00:00:00"/>
    <d v="2020-03-01T00:00:00"/>
    <n v="59"/>
    <n v="3"/>
    <x v="2"/>
    <n v="7.0000000000000007E-2"/>
    <n v="90.781599999999997"/>
    <n v="3"/>
    <s v="Fevereiro"/>
  </r>
  <r>
    <n v="60"/>
    <d v="2020-02-03T00:00:00"/>
    <x v="1"/>
    <n v="13"/>
    <x v="35"/>
    <x v="3"/>
    <x v="35"/>
    <n v="98"/>
    <n v="4214"/>
    <n v="0.08"/>
    <n v="3876.88"/>
    <n v="337.11999999999989"/>
    <d v="2020-02-18T00:00:00"/>
    <d v="2020-02-18T00:00:00"/>
    <n v="60"/>
    <n v="1"/>
    <x v="4"/>
    <n v="7.0000000000000007E-2"/>
    <n v="271.38160000000005"/>
    <n v="4"/>
    <s v="Fevereiro"/>
  </r>
  <r>
    <n v="61"/>
    <d v="2020-02-03T00:00:00"/>
    <x v="1"/>
    <n v="89"/>
    <x v="15"/>
    <x v="4"/>
    <x v="22"/>
    <n v="102"/>
    <n v="2856"/>
    <n v="0"/>
    <n v="2856"/>
    <n v="0"/>
    <d v="2020-02-29T00:00:00"/>
    <d v="2020-02-29T00:00:00"/>
    <n v="61"/>
    <n v="2"/>
    <x v="7"/>
    <n v="0.09"/>
    <n v="257.03999999999996"/>
    <n v="5"/>
    <s v="Fevereiro"/>
  </r>
  <r>
    <n v="62"/>
    <d v="2020-02-04T00:00:00"/>
    <x v="1"/>
    <n v="64"/>
    <x v="38"/>
    <x v="6"/>
    <x v="26"/>
    <n v="112"/>
    <n v="1792"/>
    <n v="0.04"/>
    <n v="1720.32"/>
    <n v="71.680000000000064"/>
    <d v="2020-02-08T00:00:00"/>
    <d v="2020-02-08T00:00:00"/>
    <n v="62"/>
    <n v="4"/>
    <x v="8"/>
    <n v="0.05"/>
    <n v="86.016000000000005"/>
    <n v="6"/>
    <s v="Fevereiro"/>
  </r>
  <r>
    <n v="63"/>
    <d v="2020-02-04T00:00:00"/>
    <x v="1"/>
    <n v="54"/>
    <x v="39"/>
    <x v="7"/>
    <x v="36"/>
    <n v="102"/>
    <n v="4284"/>
    <n v="0.05"/>
    <n v="4069.8"/>
    <n v="214.19999999999982"/>
    <d v="2020-02-24T00:00:00"/>
    <d v="2020-02-24T00:00:00"/>
    <n v="63"/>
    <n v="2"/>
    <x v="6"/>
    <n v="0.05"/>
    <n v="203.49"/>
    <n v="7"/>
    <s v="Fevereiro"/>
  </r>
  <r>
    <n v="64"/>
    <d v="2020-02-05T00:00:00"/>
    <x v="1"/>
    <n v="41"/>
    <x v="29"/>
    <x v="2"/>
    <x v="37"/>
    <n v="110"/>
    <n v="3520"/>
    <n v="0"/>
    <n v="3520"/>
    <n v="0"/>
    <d v="2020-02-16T00:00:00"/>
    <d v="2020-02-16T00:00:00"/>
    <n v="64"/>
    <n v="4"/>
    <x v="6"/>
    <n v="0.06"/>
    <n v="211.2"/>
    <n v="1"/>
    <s v="Fevereiro"/>
  </r>
  <r>
    <n v="65"/>
    <d v="2020-02-05T00:00:00"/>
    <x v="1"/>
    <n v="65"/>
    <x v="25"/>
    <x v="0"/>
    <x v="21"/>
    <n v="93"/>
    <n v="1581"/>
    <n v="0.02"/>
    <n v="1549.38"/>
    <n v="31.619999999999891"/>
    <d v="2020-02-10T00:00:00"/>
    <d v="2020-02-10T00:00:00"/>
    <n v="65"/>
    <n v="5"/>
    <x v="4"/>
    <n v="0.05"/>
    <n v="77.469000000000008"/>
    <n v="2"/>
    <s v="Fevereiro"/>
  </r>
  <r>
    <n v="66"/>
    <d v="2020-02-05T00:00:00"/>
    <x v="1"/>
    <n v="94"/>
    <x v="15"/>
    <x v="3"/>
    <x v="20"/>
    <n v="107"/>
    <n v="2461"/>
    <n v="0.1"/>
    <n v="2214.9"/>
    <n v="246.09999999999991"/>
    <d v="2020-02-16T00:00:00"/>
    <d v="2020-02-16T00:00:00"/>
    <n v="66"/>
    <n v="1"/>
    <x v="1"/>
    <n v="0.05"/>
    <n v="110.745"/>
    <n v="3"/>
    <s v="Fevereiro"/>
  </r>
  <r>
    <n v="67"/>
    <d v="2020-02-05T00:00:00"/>
    <x v="1"/>
    <n v="47"/>
    <x v="10"/>
    <x v="3"/>
    <x v="32"/>
    <n v="93"/>
    <n v="3255"/>
    <n v="0.14000000000000001"/>
    <n v="2799.3"/>
    <n v="455.69999999999982"/>
    <d v="2020-02-25T00:00:00"/>
    <d v="2020-02-25T00:00:00"/>
    <n v="67"/>
    <n v="5"/>
    <x v="8"/>
    <n v="0.1"/>
    <n v="279.93"/>
    <n v="4"/>
    <s v="Fevereiro"/>
  </r>
  <r>
    <n v="68"/>
    <d v="2020-02-05T00:00:00"/>
    <x v="1"/>
    <n v="69"/>
    <x v="28"/>
    <x v="6"/>
    <x v="9"/>
    <n v="119"/>
    <n v="5355"/>
    <n v="0.05"/>
    <n v="5087.25"/>
    <n v="267.75"/>
    <d v="2020-02-24T00:00:00"/>
    <d v="2020-02-24T00:00:00"/>
    <n v="68"/>
    <n v="1"/>
    <x v="1"/>
    <n v="0.05"/>
    <n v="254.36250000000001"/>
    <n v="5"/>
    <s v="Fevereiro"/>
  </r>
  <r>
    <n v="69"/>
    <d v="2020-02-05T00:00:00"/>
    <x v="1"/>
    <n v="39"/>
    <x v="8"/>
    <x v="7"/>
    <x v="37"/>
    <n v="117"/>
    <n v="3744"/>
    <n v="0.14000000000000001"/>
    <n v="3219.84"/>
    <n v="524.15999999999985"/>
    <d v="2020-02-23T00:00:00"/>
    <d v="2020-02-23T00:00:00"/>
    <n v="69"/>
    <n v="1"/>
    <x v="7"/>
    <n v="0.09"/>
    <n v="289.78559999999999"/>
    <n v="6"/>
    <s v="Fevereiro"/>
  </r>
  <r>
    <n v="70"/>
    <d v="2020-02-06T00:00:00"/>
    <x v="1"/>
    <n v="94"/>
    <x v="15"/>
    <x v="3"/>
    <x v="38"/>
    <n v="99"/>
    <n v="3960"/>
    <n v="0.01"/>
    <n v="3920.4"/>
    <n v="39.599999999999909"/>
    <d v="2020-02-14T00:00:00"/>
    <d v="2020-02-14T00:00:00"/>
    <n v="70"/>
    <n v="3"/>
    <x v="4"/>
    <n v="0.08"/>
    <n v="313.63200000000001"/>
    <n v="7"/>
    <s v="Fevereiro"/>
  </r>
  <r>
    <n v="71"/>
    <d v="2020-02-06T00:00:00"/>
    <x v="1"/>
    <n v="17"/>
    <x v="28"/>
    <x v="9"/>
    <x v="35"/>
    <n v="106"/>
    <n v="4558"/>
    <n v="0.08"/>
    <n v="4193.3599999999997"/>
    <n v="364.64000000000033"/>
    <d v="2020-02-19T00:00:00"/>
    <d v="2020-02-19T00:00:00"/>
    <n v="71"/>
    <n v="7"/>
    <x v="0"/>
    <n v="0.09"/>
    <n v="377.40239999999994"/>
    <n v="1"/>
    <s v="Fevereiro"/>
  </r>
  <r>
    <n v="72"/>
    <d v="2020-02-07T00:00:00"/>
    <x v="1"/>
    <n v="73"/>
    <x v="8"/>
    <x v="4"/>
    <x v="5"/>
    <n v="120"/>
    <n v="1320"/>
    <n v="0.02"/>
    <n v="1293.5999999999999"/>
    <n v="26.400000000000091"/>
    <d v="2020-02-26T00:00:00"/>
    <d v="2020-02-26T00:00:00"/>
    <n v="72"/>
    <n v="4"/>
    <x v="2"/>
    <n v="0.1"/>
    <n v="129.35999999999999"/>
    <n v="2"/>
    <s v="Fevereiro"/>
  </r>
  <r>
    <n v="73"/>
    <d v="2020-02-07T00:00:00"/>
    <x v="1"/>
    <n v="63"/>
    <x v="40"/>
    <x v="1"/>
    <x v="15"/>
    <n v="107"/>
    <n v="3210"/>
    <n v="0"/>
    <n v="3210"/>
    <n v="0"/>
    <d v="2020-02-18T00:00:00"/>
    <d v="2020-02-18T00:00:00"/>
    <n v="73"/>
    <n v="1"/>
    <x v="8"/>
    <n v="7.0000000000000007E-2"/>
    <n v="224.70000000000002"/>
    <n v="3"/>
    <s v="Fevereiro"/>
  </r>
  <r>
    <n v="74"/>
    <d v="2020-02-10T00:00:00"/>
    <x v="1"/>
    <n v="69"/>
    <x v="28"/>
    <x v="2"/>
    <x v="20"/>
    <n v="94"/>
    <n v="2162"/>
    <n v="0.12"/>
    <n v="1902.56"/>
    <n v="259.44000000000005"/>
    <d v="2020-02-24T00:00:00"/>
    <d v="2020-02-24T00:00:00"/>
    <n v="74"/>
    <n v="3"/>
    <x v="2"/>
    <n v="0.06"/>
    <n v="114.1536"/>
    <n v="4"/>
    <s v="Fevereiro"/>
  </r>
  <r>
    <n v="75"/>
    <d v="2020-02-10T00:00:00"/>
    <x v="1"/>
    <n v="19"/>
    <x v="8"/>
    <x v="0"/>
    <x v="2"/>
    <n v="104"/>
    <n v="3536"/>
    <n v="0.1"/>
    <n v="3182.4"/>
    <n v="353.59999999999991"/>
    <d v="2020-02-24T00:00:00"/>
    <d v="2020-02-24T00:00:00"/>
    <n v="75"/>
    <n v="2"/>
    <x v="7"/>
    <n v="7.0000000000000007E-2"/>
    <n v="222.76800000000003"/>
    <n v="5"/>
    <s v="Fevereiro"/>
  </r>
  <r>
    <n v="76"/>
    <d v="2020-02-11T00:00:00"/>
    <x v="1"/>
    <n v="87"/>
    <x v="10"/>
    <x v="8"/>
    <x v="36"/>
    <n v="106"/>
    <n v="4452"/>
    <n v="0.06"/>
    <n v="4184.88"/>
    <n v="267.11999999999989"/>
    <d v="2020-03-12T00:00:00"/>
    <d v="2020-03-12T00:00:00"/>
    <n v="76"/>
    <n v="3"/>
    <x v="6"/>
    <n v="7.0000000000000007E-2"/>
    <n v="292.94160000000005"/>
    <n v="6"/>
    <s v="Fevereiro"/>
  </r>
  <r>
    <n v="77"/>
    <d v="2020-02-11T00:00:00"/>
    <x v="1"/>
    <n v="33"/>
    <x v="36"/>
    <x v="1"/>
    <x v="7"/>
    <n v="91"/>
    <n v="910"/>
    <n v="0.1"/>
    <n v="819"/>
    <n v="91"/>
    <d v="2020-03-07T00:00:00"/>
    <d v="2020-03-07T00:00:00"/>
    <n v="77"/>
    <n v="4"/>
    <x v="8"/>
    <n v="0.09"/>
    <n v="73.709999999999994"/>
    <n v="7"/>
    <s v="Fevereiro"/>
  </r>
  <r>
    <n v="78"/>
    <d v="2020-02-14T00:00:00"/>
    <x v="1"/>
    <n v="9"/>
    <x v="7"/>
    <x v="0"/>
    <x v="2"/>
    <n v="99"/>
    <n v="3366"/>
    <n v="0.14000000000000001"/>
    <n v="2894.7599999999998"/>
    <n v="471.24000000000024"/>
    <d v="2020-02-25T00:00:00"/>
    <d v="2020-02-25T00:00:00"/>
    <n v="78"/>
    <n v="1"/>
    <x v="3"/>
    <n v="7.0000000000000007E-2"/>
    <n v="202.63320000000002"/>
    <n v="1"/>
    <s v="Fevereiro"/>
  </r>
  <r>
    <n v="79"/>
    <d v="2020-02-15T00:00:00"/>
    <x v="1"/>
    <n v="50"/>
    <x v="41"/>
    <x v="7"/>
    <x v="34"/>
    <n v="112"/>
    <n v="1456"/>
    <n v="0.05"/>
    <n v="1383.2"/>
    <n v="72.799999999999955"/>
    <d v="2020-03-02T00:00:00"/>
    <d v="2020-03-02T00:00:00"/>
    <n v="79"/>
    <n v="2"/>
    <x v="5"/>
    <n v="0.06"/>
    <n v="82.992000000000004"/>
    <n v="2"/>
    <s v="Fevereiro"/>
  </r>
  <r>
    <n v="80"/>
    <d v="2020-02-16T00:00:00"/>
    <x v="1"/>
    <n v="75"/>
    <x v="8"/>
    <x v="9"/>
    <x v="39"/>
    <n v="105"/>
    <n v="3780"/>
    <n v="0.04"/>
    <n v="3628.8"/>
    <n v="151.19999999999982"/>
    <d v="2020-03-11T00:00:00"/>
    <d v="2020-03-11T00:00:00"/>
    <n v="80"/>
    <n v="1"/>
    <x v="7"/>
    <n v="0.05"/>
    <n v="181.44000000000003"/>
    <n v="3"/>
    <s v="Fevereiro"/>
  </r>
  <r>
    <n v="81"/>
    <d v="2020-02-16T00:00:00"/>
    <x v="1"/>
    <n v="40"/>
    <x v="15"/>
    <x v="8"/>
    <x v="21"/>
    <n v="95"/>
    <n v="1615"/>
    <n v="0.1"/>
    <n v="1453.5"/>
    <n v="161.5"/>
    <d v="2020-02-23T00:00:00"/>
    <d v="2020-02-23T00:00:00"/>
    <n v="81"/>
    <n v="1"/>
    <x v="7"/>
    <n v="0.08"/>
    <n v="116.28"/>
    <n v="4"/>
    <s v="Fevereiro"/>
  </r>
  <r>
    <n v="82"/>
    <d v="2020-02-16T00:00:00"/>
    <x v="1"/>
    <n v="60"/>
    <x v="42"/>
    <x v="0"/>
    <x v="3"/>
    <n v="97"/>
    <n v="4268"/>
    <n v="0.08"/>
    <n v="3926.56"/>
    <n v="341.44000000000005"/>
    <d v="2020-03-17T00:00:00"/>
    <d v="2020-03-17T00:00:00"/>
    <n v="82"/>
    <n v="1"/>
    <x v="5"/>
    <n v="0.1"/>
    <n v="392.65600000000001"/>
    <n v="5"/>
    <s v="Fevereiro"/>
  </r>
  <r>
    <n v="83"/>
    <d v="2020-02-18T00:00:00"/>
    <x v="1"/>
    <n v="95"/>
    <x v="8"/>
    <x v="4"/>
    <x v="32"/>
    <n v="99"/>
    <n v="3465"/>
    <n v="0.15"/>
    <n v="2945.25"/>
    <n v="519.75"/>
    <d v="2020-03-19T00:00:00"/>
    <d v="2020-03-19T00:00:00"/>
    <n v="83"/>
    <n v="6"/>
    <x v="8"/>
    <n v="0.08"/>
    <n v="235.62"/>
    <n v="6"/>
    <s v="Fevereiro"/>
  </r>
  <r>
    <n v="84"/>
    <d v="2020-02-18T00:00:00"/>
    <x v="1"/>
    <n v="79"/>
    <x v="5"/>
    <x v="1"/>
    <x v="5"/>
    <n v="102"/>
    <n v="1122"/>
    <n v="0.13"/>
    <n v="976.14"/>
    <n v="145.86000000000001"/>
    <d v="2020-03-17T00:00:00"/>
    <d v="2020-03-17T00:00:00"/>
    <n v="84"/>
    <n v="5"/>
    <x v="3"/>
    <n v="0.1"/>
    <n v="97.614000000000004"/>
    <n v="7"/>
    <s v="Fevereiro"/>
  </r>
  <r>
    <n v="85"/>
    <d v="2020-02-18T00:00:00"/>
    <x v="1"/>
    <n v="60"/>
    <x v="42"/>
    <x v="3"/>
    <x v="11"/>
    <n v="103"/>
    <n v="2781"/>
    <n v="0.08"/>
    <n v="2558.52"/>
    <n v="222.48000000000002"/>
    <d v="2020-02-24T00:00:00"/>
    <d v="2020-02-24T00:00:00"/>
    <n v="85"/>
    <n v="4"/>
    <x v="4"/>
    <n v="0.09"/>
    <n v="230.26679999999999"/>
    <n v="1"/>
    <s v="Fevereiro"/>
  </r>
  <r>
    <n v="86"/>
    <d v="2020-02-18T00:00:00"/>
    <x v="1"/>
    <n v="47"/>
    <x v="10"/>
    <x v="9"/>
    <x v="10"/>
    <n v="94"/>
    <n v="1316"/>
    <n v="0.08"/>
    <n v="1210.72"/>
    <n v="105.27999999999997"/>
    <d v="2020-03-15T00:00:00"/>
    <d v="2020-03-15T00:00:00"/>
    <n v="86"/>
    <n v="3"/>
    <x v="1"/>
    <n v="0.1"/>
    <n v="121.072"/>
    <n v="2"/>
    <s v="Fevereiro"/>
  </r>
  <r>
    <n v="87"/>
    <d v="2020-02-19T00:00:00"/>
    <x v="1"/>
    <n v="38"/>
    <x v="33"/>
    <x v="9"/>
    <x v="3"/>
    <n v="118"/>
    <n v="5192"/>
    <n v="0.15"/>
    <n v="4413.2"/>
    <n v="778.80000000000018"/>
    <d v="2020-03-20T00:00:00"/>
    <d v="2020-03-20T00:00:00"/>
    <n v="87"/>
    <n v="2"/>
    <x v="2"/>
    <n v="0.06"/>
    <n v="264.79199999999997"/>
    <n v="3"/>
    <s v="Fevereiro"/>
  </r>
  <r>
    <n v="88"/>
    <d v="2020-02-19T00:00:00"/>
    <x v="1"/>
    <n v="47"/>
    <x v="10"/>
    <x v="6"/>
    <x v="3"/>
    <n v="111"/>
    <n v="4884"/>
    <n v="0.03"/>
    <n v="4737.4799999999996"/>
    <n v="146.52000000000044"/>
    <d v="2020-03-18T00:00:00"/>
    <d v="2020-03-18T00:00:00"/>
    <n v="88"/>
    <n v="6"/>
    <x v="8"/>
    <n v="0.06"/>
    <n v="284.24879999999996"/>
    <n v="4"/>
    <s v="Fevereiro"/>
  </r>
  <r>
    <n v="89"/>
    <d v="2020-02-19T00:00:00"/>
    <x v="1"/>
    <n v="18"/>
    <x v="43"/>
    <x v="5"/>
    <x v="4"/>
    <n v="116"/>
    <n v="2784"/>
    <n v="0.13"/>
    <n v="2422.08"/>
    <n v="361.92000000000007"/>
    <d v="2020-03-09T00:00:00"/>
    <d v="2020-03-09T00:00:00"/>
    <n v="89"/>
    <n v="4"/>
    <x v="4"/>
    <n v="0.06"/>
    <n v="145.32479999999998"/>
    <n v="5"/>
    <s v="Fevereiro"/>
  </r>
  <r>
    <n v="90"/>
    <d v="2020-02-19T00:00:00"/>
    <x v="1"/>
    <n v="99"/>
    <x v="44"/>
    <x v="4"/>
    <x v="1"/>
    <n v="105"/>
    <n v="4935"/>
    <n v="0.02"/>
    <n v="4836.3"/>
    <n v="98.699999999999818"/>
    <d v="2020-02-19T00:00:00"/>
    <d v="2020-02-19T00:00:00"/>
    <n v="90"/>
    <n v="1"/>
    <x v="9"/>
    <n v="7.0000000000000007E-2"/>
    <n v="338.54100000000005"/>
    <n v="6"/>
    <s v="Fevereiro"/>
  </r>
  <r>
    <n v="91"/>
    <d v="2020-02-20T00:00:00"/>
    <x v="1"/>
    <n v="31"/>
    <x v="45"/>
    <x v="1"/>
    <x v="12"/>
    <n v="100"/>
    <n v="1800"/>
    <n v="0.02"/>
    <n v="1764"/>
    <n v="36"/>
    <d v="2020-02-23T00:00:00"/>
    <d v="2020-02-23T00:00:00"/>
    <n v="91"/>
    <n v="2"/>
    <x v="0"/>
    <n v="7.0000000000000007E-2"/>
    <n v="123.48000000000002"/>
    <n v="7"/>
    <s v="Fevereiro"/>
  </r>
  <r>
    <n v="92"/>
    <d v="2020-02-21T00:00:00"/>
    <x v="1"/>
    <n v="61"/>
    <x v="18"/>
    <x v="9"/>
    <x v="0"/>
    <n v="96"/>
    <n v="3552"/>
    <n v="0.15"/>
    <n v="3019.2"/>
    <n v="532.80000000000018"/>
    <d v="2020-02-21T00:00:00"/>
    <d v="2020-02-21T00:00:00"/>
    <n v="92"/>
    <n v="4"/>
    <x v="0"/>
    <n v="7.0000000000000007E-2"/>
    <n v="211.34399999999999"/>
    <n v="1"/>
    <s v="Fevereiro"/>
  </r>
  <r>
    <n v="93"/>
    <d v="2020-02-22T00:00:00"/>
    <x v="1"/>
    <n v="52"/>
    <x v="1"/>
    <x v="3"/>
    <x v="2"/>
    <n v="112"/>
    <n v="3808"/>
    <n v="0.08"/>
    <n v="3503.36"/>
    <n v="304.63999999999987"/>
    <d v="2020-03-14T00:00:00"/>
    <d v="2020-03-14T00:00:00"/>
    <n v="93"/>
    <n v="3"/>
    <x v="8"/>
    <n v="0.06"/>
    <n v="210.20160000000001"/>
    <n v="2"/>
    <s v="Fevereiro"/>
  </r>
  <r>
    <n v="94"/>
    <d v="2020-02-22T00:00:00"/>
    <x v="1"/>
    <n v="41"/>
    <x v="29"/>
    <x v="0"/>
    <x v="25"/>
    <n v="107"/>
    <n v="4387"/>
    <n v="7.0000000000000007E-2"/>
    <n v="4079.91"/>
    <n v="307.09000000000015"/>
    <d v="2020-02-29T00:00:00"/>
    <d v="2020-02-29T00:00:00"/>
    <n v="94"/>
    <n v="5"/>
    <x v="7"/>
    <n v="0.05"/>
    <n v="203.99549999999999"/>
    <n v="3"/>
    <s v="Fevereiro"/>
  </r>
  <r>
    <n v="95"/>
    <d v="2020-02-22T00:00:00"/>
    <x v="1"/>
    <n v="35"/>
    <x v="8"/>
    <x v="3"/>
    <x v="37"/>
    <n v="118"/>
    <n v="3776"/>
    <n v="0.01"/>
    <n v="3738.24"/>
    <n v="37.760000000000218"/>
    <d v="2020-03-05T00:00:00"/>
    <d v="2020-03-05T00:00:00"/>
    <n v="95"/>
    <n v="6"/>
    <x v="1"/>
    <n v="0.1"/>
    <n v="373.82400000000001"/>
    <n v="4"/>
    <s v="Fevereiro"/>
  </r>
  <r>
    <n v="96"/>
    <d v="2020-02-23T00:00:00"/>
    <x v="1"/>
    <n v="89"/>
    <x v="15"/>
    <x v="3"/>
    <x v="3"/>
    <n v="96"/>
    <n v="4224"/>
    <n v="0.13"/>
    <n v="3674.88"/>
    <n v="549.11999999999989"/>
    <d v="2020-02-24T00:00:00"/>
    <d v="2020-02-24T00:00:00"/>
    <n v="96"/>
    <n v="6"/>
    <x v="8"/>
    <n v="0.06"/>
    <n v="220.49279999999999"/>
    <n v="5"/>
    <s v="Fevereiro"/>
  </r>
  <r>
    <n v="97"/>
    <d v="2020-02-23T00:00:00"/>
    <x v="1"/>
    <n v="8"/>
    <x v="8"/>
    <x v="2"/>
    <x v="32"/>
    <n v="90"/>
    <n v="3150"/>
    <n v="0.02"/>
    <n v="3087"/>
    <n v="63"/>
    <d v="2020-03-24T00:00:00"/>
    <d v="2020-03-24T00:00:00"/>
    <n v="97"/>
    <n v="6"/>
    <x v="0"/>
    <n v="0.05"/>
    <n v="154.35000000000002"/>
    <n v="6"/>
    <s v="Fevereiro"/>
  </r>
  <r>
    <n v="98"/>
    <d v="2020-02-23T00:00:00"/>
    <x v="1"/>
    <n v="28"/>
    <x v="46"/>
    <x v="3"/>
    <x v="10"/>
    <n v="112"/>
    <n v="1568"/>
    <n v="0.14000000000000001"/>
    <n v="1348.48"/>
    <n v="219.51999999999998"/>
    <d v="2020-02-27T00:00:00"/>
    <d v="2020-02-27T00:00:00"/>
    <n v="98"/>
    <n v="6"/>
    <x v="7"/>
    <n v="0.05"/>
    <n v="67.424000000000007"/>
    <n v="7"/>
    <s v="Fevereiro"/>
  </r>
  <r>
    <n v="99"/>
    <d v="2020-02-23T00:00:00"/>
    <x v="1"/>
    <n v="31"/>
    <x v="45"/>
    <x v="9"/>
    <x v="34"/>
    <n v="111"/>
    <n v="1443"/>
    <n v="0.02"/>
    <n v="1414.14"/>
    <n v="28.8599999999999"/>
    <d v="2020-02-25T00:00:00"/>
    <d v="2020-02-25T00:00:00"/>
    <n v="99"/>
    <n v="1"/>
    <x v="6"/>
    <n v="0.06"/>
    <n v="84.848399999999998"/>
    <n v="1"/>
    <s v="Fevereiro"/>
  </r>
  <r>
    <n v="100"/>
    <d v="2020-02-24T00:00:00"/>
    <x v="1"/>
    <n v="25"/>
    <x v="24"/>
    <x v="6"/>
    <x v="6"/>
    <n v="116"/>
    <n v="2320"/>
    <n v="0.1"/>
    <n v="2088"/>
    <n v="232"/>
    <d v="2020-02-25T00:00:00"/>
    <d v="2020-02-25T00:00:00"/>
    <n v="100"/>
    <n v="2"/>
    <x v="8"/>
    <n v="0.1"/>
    <n v="208.8"/>
    <n v="2"/>
    <s v="Fevereiro"/>
  </r>
  <r>
    <n v="101"/>
    <d v="2020-02-25T00:00:00"/>
    <x v="1"/>
    <n v="85"/>
    <x v="19"/>
    <x v="8"/>
    <x v="11"/>
    <n v="119"/>
    <n v="3213"/>
    <n v="0.1"/>
    <n v="2891.7"/>
    <n v="321.30000000000018"/>
    <d v="2020-03-26T00:00:00"/>
    <d v="2020-03-26T00:00:00"/>
    <n v="101"/>
    <n v="4"/>
    <x v="1"/>
    <n v="0.06"/>
    <n v="173.50199999999998"/>
    <n v="3"/>
    <s v="Fevereiro"/>
  </r>
  <r>
    <n v="102"/>
    <d v="2020-02-25T00:00:00"/>
    <x v="1"/>
    <n v="8"/>
    <x v="8"/>
    <x v="2"/>
    <x v="7"/>
    <n v="111"/>
    <n v="1110"/>
    <n v="0.11"/>
    <n v="987.9"/>
    <n v="122.10000000000002"/>
    <d v="2020-03-16T00:00:00"/>
    <d v="2020-03-16T00:00:00"/>
    <n v="102"/>
    <n v="1"/>
    <x v="6"/>
    <n v="0.08"/>
    <n v="79.031999999999996"/>
    <n v="4"/>
    <s v="Fevereiro"/>
  </r>
  <r>
    <n v="103"/>
    <d v="2020-02-26T00:00:00"/>
    <x v="1"/>
    <n v="21"/>
    <x v="47"/>
    <x v="6"/>
    <x v="34"/>
    <n v="112"/>
    <n v="1456"/>
    <n v="0.15"/>
    <n v="1237.5999999999999"/>
    <n v="218.40000000000009"/>
    <d v="2020-03-16T00:00:00"/>
    <d v="2020-03-16T00:00:00"/>
    <n v="103"/>
    <n v="3"/>
    <x v="6"/>
    <n v="0.08"/>
    <n v="99.007999999999996"/>
    <n v="5"/>
    <s v="Fevereiro"/>
  </r>
  <r>
    <n v="104"/>
    <d v="2020-02-27T00:00:00"/>
    <x v="1"/>
    <n v="34"/>
    <x v="20"/>
    <x v="5"/>
    <x v="21"/>
    <n v="96"/>
    <n v="1632"/>
    <n v="7.0000000000000007E-2"/>
    <n v="1517.76"/>
    <n v="114.24000000000001"/>
    <d v="2020-03-01T00:00:00"/>
    <d v="2020-03-01T00:00:00"/>
    <n v="104"/>
    <n v="4"/>
    <x v="1"/>
    <n v="7.0000000000000007E-2"/>
    <n v="106.24320000000002"/>
    <n v="6"/>
    <s v="Fevereiro"/>
  </r>
  <r>
    <n v="105"/>
    <d v="2020-02-27T00:00:00"/>
    <x v="1"/>
    <n v="53"/>
    <x v="48"/>
    <x v="4"/>
    <x v="19"/>
    <n v="102"/>
    <n v="2958"/>
    <n v="0.13"/>
    <n v="2573.46"/>
    <n v="384.53999999999996"/>
    <d v="2020-03-21T00:00:00"/>
    <d v="2020-03-21T00:00:00"/>
    <n v="105"/>
    <n v="7"/>
    <x v="7"/>
    <n v="0.05"/>
    <n v="128.673"/>
    <n v="7"/>
    <s v="Fevereiro"/>
  </r>
  <r>
    <n v="106"/>
    <d v="2020-03-01T00:00:00"/>
    <x v="2"/>
    <n v="10"/>
    <x v="49"/>
    <x v="8"/>
    <x v="7"/>
    <n v="98"/>
    <n v="980"/>
    <n v="7.0000000000000007E-2"/>
    <n v="911.4"/>
    <n v="68.600000000000023"/>
    <d v="2020-03-09T00:00:00"/>
    <d v="2020-03-09T00:00:00"/>
    <n v="106"/>
    <n v="1"/>
    <x v="0"/>
    <n v="0.1"/>
    <n v="91.14"/>
    <n v="1"/>
    <s v="Março"/>
  </r>
  <r>
    <n v="107"/>
    <d v="2020-03-02T00:00:00"/>
    <x v="2"/>
    <n v="70"/>
    <x v="28"/>
    <x v="2"/>
    <x v="6"/>
    <n v="119"/>
    <n v="2380"/>
    <n v="0.05"/>
    <n v="2261"/>
    <n v="119"/>
    <d v="2020-03-24T00:00:00"/>
    <d v="2020-03-24T00:00:00"/>
    <n v="107"/>
    <n v="3"/>
    <x v="9"/>
    <n v="0.09"/>
    <n v="203.48999999999998"/>
    <n v="2"/>
    <s v="Março"/>
  </r>
  <r>
    <n v="108"/>
    <d v="2020-03-03T00:00:00"/>
    <x v="2"/>
    <n v="95"/>
    <x v="8"/>
    <x v="0"/>
    <x v="13"/>
    <n v="115"/>
    <n v="3565"/>
    <n v="0.09"/>
    <n v="3244.15"/>
    <n v="320.84999999999991"/>
    <d v="2020-03-19T00:00:00"/>
    <d v="2020-03-19T00:00:00"/>
    <n v="108"/>
    <n v="4"/>
    <x v="6"/>
    <n v="0.06"/>
    <n v="194.649"/>
    <n v="3"/>
    <s v="Março"/>
  </r>
  <r>
    <n v="109"/>
    <d v="2020-03-04T00:00:00"/>
    <x v="2"/>
    <n v="69"/>
    <x v="28"/>
    <x v="0"/>
    <x v="32"/>
    <n v="116"/>
    <n v="4060"/>
    <n v="0.14000000000000001"/>
    <n v="3491.6"/>
    <n v="568.40000000000009"/>
    <d v="2020-03-27T00:00:00"/>
    <d v="2020-03-27T00:00:00"/>
    <n v="109"/>
    <n v="1"/>
    <x v="1"/>
    <n v="0.06"/>
    <n v="209.49599999999998"/>
    <n v="4"/>
    <s v="Março"/>
  </r>
  <r>
    <n v="110"/>
    <d v="2020-03-04T00:00:00"/>
    <x v="2"/>
    <n v="18"/>
    <x v="43"/>
    <x v="5"/>
    <x v="30"/>
    <n v="105"/>
    <n v="3465"/>
    <n v="0.03"/>
    <n v="3361.05"/>
    <n v="103.94999999999982"/>
    <d v="2020-04-03T00:00:00"/>
    <d v="2020-04-03T00:00:00"/>
    <n v="110"/>
    <n v="3"/>
    <x v="6"/>
    <n v="0.09"/>
    <n v="302.49450000000002"/>
    <n v="5"/>
    <s v="Março"/>
  </r>
  <r>
    <n v="111"/>
    <d v="2020-03-04T00:00:00"/>
    <x v="2"/>
    <n v="86"/>
    <x v="50"/>
    <x v="3"/>
    <x v="24"/>
    <n v="103"/>
    <n v="5150"/>
    <n v="0.11"/>
    <n v="4583.5"/>
    <n v="566.5"/>
    <d v="2020-03-25T00:00:00"/>
    <d v="2020-03-25T00:00:00"/>
    <n v="111"/>
    <n v="2"/>
    <x v="7"/>
    <n v="0.1"/>
    <n v="458.35"/>
    <n v="6"/>
    <s v="Março"/>
  </r>
  <r>
    <n v="112"/>
    <d v="2020-03-05T00:00:00"/>
    <x v="2"/>
    <n v="18"/>
    <x v="43"/>
    <x v="1"/>
    <x v="36"/>
    <n v="98"/>
    <n v="4116"/>
    <n v="0.11"/>
    <n v="3663.24"/>
    <n v="452.76000000000022"/>
    <d v="2020-03-10T00:00:00"/>
    <d v="2020-03-10T00:00:00"/>
    <n v="112"/>
    <n v="5"/>
    <x v="1"/>
    <n v="0.09"/>
    <n v="329.69159999999999"/>
    <n v="7"/>
    <s v="Março"/>
  </r>
  <r>
    <n v="113"/>
    <d v="2020-03-05T00:00:00"/>
    <x v="2"/>
    <n v="41"/>
    <x v="29"/>
    <x v="7"/>
    <x v="18"/>
    <n v="102"/>
    <n v="4998"/>
    <n v="0.09"/>
    <n v="4548.18"/>
    <n v="449.81999999999971"/>
    <d v="2020-03-15T00:00:00"/>
    <d v="2020-03-15T00:00:00"/>
    <n v="113"/>
    <n v="4"/>
    <x v="5"/>
    <n v="0.06"/>
    <n v="272.89080000000001"/>
    <n v="1"/>
    <s v="Março"/>
  </r>
  <r>
    <n v="114"/>
    <d v="2020-03-05T00:00:00"/>
    <x v="2"/>
    <n v="3"/>
    <x v="51"/>
    <x v="1"/>
    <x v="5"/>
    <n v="109"/>
    <n v="1199"/>
    <n v="0.02"/>
    <n v="1175.02"/>
    <n v="23.980000000000018"/>
    <d v="2020-03-17T00:00:00"/>
    <d v="2020-03-17T00:00:00"/>
    <n v="114"/>
    <n v="5"/>
    <x v="2"/>
    <n v="7.0000000000000007E-2"/>
    <n v="82.251400000000004"/>
    <n v="2"/>
    <s v="Março"/>
  </r>
  <r>
    <n v="115"/>
    <d v="2020-03-06T00:00:00"/>
    <x v="2"/>
    <n v="56"/>
    <x v="28"/>
    <x v="0"/>
    <x v="24"/>
    <n v="98"/>
    <n v="4900"/>
    <n v="0.04"/>
    <n v="4704"/>
    <n v="196"/>
    <d v="2020-03-26T00:00:00"/>
    <d v="2020-03-26T00:00:00"/>
    <n v="115"/>
    <n v="2"/>
    <x v="6"/>
    <n v="0.08"/>
    <n v="376.32"/>
    <n v="3"/>
    <s v="Março"/>
  </r>
  <r>
    <n v="116"/>
    <d v="2020-03-06T00:00:00"/>
    <x v="2"/>
    <n v="42"/>
    <x v="52"/>
    <x v="0"/>
    <x v="24"/>
    <n v="99"/>
    <n v="4950"/>
    <n v="0.08"/>
    <n v="4554"/>
    <n v="396"/>
    <d v="2020-03-28T00:00:00"/>
    <d v="2020-03-28T00:00:00"/>
    <n v="116"/>
    <n v="4"/>
    <x v="1"/>
    <n v="0.09"/>
    <n v="409.85999999999996"/>
    <n v="4"/>
    <s v="Março"/>
  </r>
  <r>
    <n v="117"/>
    <d v="2020-03-07T00:00:00"/>
    <x v="2"/>
    <n v="32"/>
    <x v="37"/>
    <x v="3"/>
    <x v="13"/>
    <n v="117"/>
    <n v="3627"/>
    <n v="0.14000000000000001"/>
    <n v="3119.22"/>
    <n v="507.7800000000002"/>
    <d v="2020-03-15T00:00:00"/>
    <d v="2020-03-15T00:00:00"/>
    <n v="117"/>
    <n v="4"/>
    <x v="1"/>
    <n v="0.05"/>
    <n v="155.96100000000001"/>
    <n v="5"/>
    <s v="Março"/>
  </r>
  <r>
    <n v="118"/>
    <d v="2020-03-07T00:00:00"/>
    <x v="2"/>
    <n v="36"/>
    <x v="30"/>
    <x v="1"/>
    <x v="15"/>
    <n v="99"/>
    <n v="2970"/>
    <n v="7.0000000000000007E-2"/>
    <n v="2762.1"/>
    <n v="207.90000000000009"/>
    <d v="2020-03-08T00:00:00"/>
    <d v="2020-03-08T00:00:00"/>
    <n v="118"/>
    <n v="5"/>
    <x v="5"/>
    <n v="0.05"/>
    <n v="138.10499999999999"/>
    <n v="6"/>
    <s v="Março"/>
  </r>
  <r>
    <n v="119"/>
    <d v="2020-03-07T00:00:00"/>
    <x v="2"/>
    <n v="78"/>
    <x v="7"/>
    <x v="2"/>
    <x v="20"/>
    <n v="92"/>
    <n v="2116"/>
    <n v="0.02"/>
    <n v="2073.6799999999998"/>
    <n v="42.320000000000164"/>
    <d v="2020-04-05T00:00:00"/>
    <d v="2020-04-05T00:00:00"/>
    <n v="119"/>
    <n v="3"/>
    <x v="4"/>
    <n v="0.08"/>
    <n v="165.89439999999999"/>
    <n v="7"/>
    <s v="Março"/>
  </r>
  <r>
    <n v="120"/>
    <d v="2020-03-07T00:00:00"/>
    <x v="2"/>
    <n v="13"/>
    <x v="35"/>
    <x v="5"/>
    <x v="37"/>
    <n v="99"/>
    <n v="3168"/>
    <n v="0.11"/>
    <n v="2819.52"/>
    <n v="348.48"/>
    <d v="2020-03-12T00:00:00"/>
    <d v="2020-03-12T00:00:00"/>
    <n v="120"/>
    <n v="6"/>
    <x v="7"/>
    <n v="0.09"/>
    <n v="253.7568"/>
    <n v="1"/>
    <s v="Março"/>
  </r>
  <r>
    <n v="121"/>
    <d v="2020-03-08T00:00:00"/>
    <x v="2"/>
    <n v="49"/>
    <x v="8"/>
    <x v="6"/>
    <x v="13"/>
    <n v="103"/>
    <n v="3193"/>
    <n v="0.09"/>
    <n v="2905.63"/>
    <n v="287.36999999999989"/>
    <d v="2020-03-12T00:00:00"/>
    <d v="2020-03-12T00:00:00"/>
    <n v="121"/>
    <n v="5"/>
    <x v="5"/>
    <n v="0.05"/>
    <n v="145.28150000000002"/>
    <n v="2"/>
    <s v="Março"/>
  </r>
  <r>
    <n v="122"/>
    <d v="2020-03-08T00:00:00"/>
    <x v="2"/>
    <n v="1"/>
    <x v="53"/>
    <x v="5"/>
    <x v="31"/>
    <n v="97"/>
    <n v="2522"/>
    <n v="0.14000000000000001"/>
    <n v="2168.92"/>
    <n v="353.07999999999993"/>
    <d v="2020-03-09T00:00:00"/>
    <d v="2020-03-09T00:00:00"/>
    <n v="122"/>
    <n v="2"/>
    <x v="7"/>
    <n v="0.1"/>
    <n v="216.89200000000002"/>
    <n v="3"/>
    <s v="Março"/>
  </r>
  <r>
    <n v="123"/>
    <d v="2020-03-08T00:00:00"/>
    <x v="2"/>
    <n v="33"/>
    <x v="36"/>
    <x v="1"/>
    <x v="34"/>
    <n v="111"/>
    <n v="1443"/>
    <n v="0.01"/>
    <n v="1428.57"/>
    <n v="14.430000000000064"/>
    <d v="2020-03-11T00:00:00"/>
    <d v="2020-03-11T00:00:00"/>
    <n v="123"/>
    <n v="4"/>
    <x v="3"/>
    <n v="0.05"/>
    <n v="71.4285"/>
    <n v="4"/>
    <s v="Março"/>
  </r>
  <r>
    <n v="124"/>
    <d v="2020-03-08T00:00:00"/>
    <x v="2"/>
    <n v="50"/>
    <x v="41"/>
    <x v="2"/>
    <x v="32"/>
    <n v="102"/>
    <n v="3570"/>
    <n v="0.09"/>
    <n v="3248.7"/>
    <n v="321.30000000000018"/>
    <d v="2020-03-23T00:00:00"/>
    <m/>
    <n v="124"/>
    <n v="7"/>
    <x v="1"/>
    <n v="0.09"/>
    <n v="292.38299999999998"/>
    <n v="5"/>
    <s v="Março"/>
  </r>
  <r>
    <n v="125"/>
    <d v="2020-03-09T00:00:00"/>
    <x v="2"/>
    <n v="46"/>
    <x v="54"/>
    <x v="7"/>
    <x v="23"/>
    <n v="104"/>
    <n v="1976"/>
    <n v="0.09"/>
    <n v="1798.16"/>
    <n v="177.83999999999992"/>
    <d v="2020-04-07T00:00:00"/>
    <d v="2020-04-07T00:00:00"/>
    <n v="125"/>
    <n v="5"/>
    <x v="8"/>
    <n v="0.09"/>
    <n v="161.83439999999999"/>
    <n v="6"/>
    <s v="Março"/>
  </r>
  <r>
    <n v="126"/>
    <d v="2020-03-09T00:00:00"/>
    <x v="2"/>
    <n v="26"/>
    <x v="55"/>
    <x v="2"/>
    <x v="33"/>
    <n v="119"/>
    <n v="1785"/>
    <n v="0.15"/>
    <n v="1517.25"/>
    <n v="267.75"/>
    <d v="2020-03-22T00:00:00"/>
    <d v="2020-03-22T00:00:00"/>
    <n v="126"/>
    <n v="7"/>
    <x v="5"/>
    <n v="0.05"/>
    <n v="75.862499999999997"/>
    <n v="7"/>
    <s v="Março"/>
  </r>
  <r>
    <n v="127"/>
    <d v="2020-03-11T00:00:00"/>
    <x v="2"/>
    <n v="48"/>
    <x v="22"/>
    <x v="3"/>
    <x v="34"/>
    <n v="99"/>
    <n v="1287"/>
    <n v="0.15"/>
    <n v="1093.95"/>
    <n v="193.04999999999995"/>
    <d v="2020-04-08T00:00:00"/>
    <d v="2020-04-08T00:00:00"/>
    <n v="127"/>
    <n v="6"/>
    <x v="5"/>
    <n v="0.08"/>
    <n v="87.516000000000005"/>
    <n v="1"/>
    <s v="Março"/>
  </r>
  <r>
    <n v="128"/>
    <d v="2020-03-11T00:00:00"/>
    <x v="2"/>
    <n v="22"/>
    <x v="16"/>
    <x v="3"/>
    <x v="13"/>
    <n v="104"/>
    <n v="3224"/>
    <n v="0.13"/>
    <n v="2804.88"/>
    <n v="419.11999999999989"/>
    <d v="2020-03-29T00:00:00"/>
    <d v="2020-03-29T00:00:00"/>
    <n v="128"/>
    <n v="6"/>
    <x v="9"/>
    <n v="0.06"/>
    <n v="168.2928"/>
    <n v="2"/>
    <s v="Março"/>
  </r>
  <r>
    <n v="129"/>
    <d v="2020-03-12T00:00:00"/>
    <x v="2"/>
    <n v="30"/>
    <x v="56"/>
    <x v="5"/>
    <x v="39"/>
    <n v="109"/>
    <n v="3924"/>
    <n v="7.0000000000000007E-2"/>
    <n v="3649.32"/>
    <n v="274.67999999999984"/>
    <d v="2020-03-14T00:00:00"/>
    <d v="2020-03-14T00:00:00"/>
    <n v="129"/>
    <n v="3"/>
    <x v="4"/>
    <n v="0.08"/>
    <n v="291.94560000000001"/>
    <n v="3"/>
    <s v="Março"/>
  </r>
  <r>
    <n v="130"/>
    <d v="2020-03-12T00:00:00"/>
    <x v="2"/>
    <n v="97"/>
    <x v="27"/>
    <x v="9"/>
    <x v="4"/>
    <n v="105"/>
    <n v="2520"/>
    <n v="0.03"/>
    <n v="2444.4"/>
    <n v="75.599999999999909"/>
    <d v="2020-03-16T00:00:00"/>
    <d v="2020-03-16T00:00:00"/>
    <n v="130"/>
    <n v="1"/>
    <x v="6"/>
    <n v="0.09"/>
    <n v="219.99600000000001"/>
    <n v="4"/>
    <s v="Março"/>
  </r>
  <r>
    <n v="131"/>
    <d v="2020-03-12T00:00:00"/>
    <x v="2"/>
    <n v="64"/>
    <x v="38"/>
    <x v="2"/>
    <x v="4"/>
    <n v="118"/>
    <n v="2832"/>
    <n v="0.13"/>
    <n v="2463.84"/>
    <n v="368.15999999999985"/>
    <d v="2020-04-09T00:00:00"/>
    <d v="2020-04-09T00:00:00"/>
    <n v="131"/>
    <n v="5"/>
    <x v="8"/>
    <n v="7.0000000000000007E-2"/>
    <n v="172.46880000000002"/>
    <n v="5"/>
    <s v="Março"/>
  </r>
  <r>
    <n v="132"/>
    <d v="2020-03-13T00:00:00"/>
    <x v="2"/>
    <n v="98"/>
    <x v="2"/>
    <x v="2"/>
    <x v="29"/>
    <n v="119"/>
    <n v="5712"/>
    <n v="0"/>
    <n v="5712"/>
    <n v="0"/>
    <d v="2020-04-10T00:00:00"/>
    <d v="2020-04-10T00:00:00"/>
    <n v="132"/>
    <n v="1"/>
    <x v="7"/>
    <n v="0.08"/>
    <n v="456.96000000000004"/>
    <n v="6"/>
    <s v="Março"/>
  </r>
  <r>
    <n v="133"/>
    <d v="2020-03-13T00:00:00"/>
    <x v="2"/>
    <n v="37"/>
    <x v="14"/>
    <x v="2"/>
    <x v="34"/>
    <n v="120"/>
    <n v="1560"/>
    <n v="0.14000000000000001"/>
    <n v="1341.6"/>
    <n v="218.40000000000009"/>
    <d v="2020-04-06T00:00:00"/>
    <d v="2020-04-06T00:00:00"/>
    <n v="133"/>
    <n v="4"/>
    <x v="0"/>
    <n v="0.06"/>
    <n v="80.495999999999995"/>
    <n v="7"/>
    <s v="Março"/>
  </r>
  <r>
    <n v="134"/>
    <d v="2020-03-13T00:00:00"/>
    <x v="2"/>
    <n v="15"/>
    <x v="37"/>
    <x v="2"/>
    <x v="5"/>
    <n v="113"/>
    <n v="1243"/>
    <n v="0.12"/>
    <n v="1093.8399999999999"/>
    <n v="149.16000000000008"/>
    <d v="2020-04-03T00:00:00"/>
    <d v="2020-04-03T00:00:00"/>
    <n v="134"/>
    <n v="7"/>
    <x v="6"/>
    <n v="0.1"/>
    <n v="109.384"/>
    <n v="1"/>
    <s v="Março"/>
  </r>
  <r>
    <n v="135"/>
    <d v="2020-03-15T00:00:00"/>
    <x v="2"/>
    <n v="6"/>
    <x v="48"/>
    <x v="5"/>
    <x v="12"/>
    <n v="104"/>
    <n v="1872"/>
    <n v="0.01"/>
    <n v="1853.28"/>
    <n v="18.720000000000027"/>
    <d v="2020-04-07T00:00:00"/>
    <d v="2020-04-07T00:00:00"/>
    <n v="135"/>
    <n v="1"/>
    <x v="7"/>
    <n v="0.1"/>
    <n v="185.328"/>
    <n v="2"/>
    <s v="Março"/>
  </r>
  <r>
    <n v="136"/>
    <d v="2020-03-16T00:00:00"/>
    <x v="2"/>
    <n v="94"/>
    <x v="15"/>
    <x v="0"/>
    <x v="14"/>
    <n v="115"/>
    <n v="2875"/>
    <n v="7.0000000000000007E-2"/>
    <n v="2673.75"/>
    <n v="201.25"/>
    <d v="2020-04-09T00:00:00"/>
    <d v="2020-04-09T00:00:00"/>
    <n v="136"/>
    <n v="1"/>
    <x v="6"/>
    <n v="7.0000000000000007E-2"/>
    <n v="187.16250000000002"/>
    <n v="3"/>
    <s v="Março"/>
  </r>
  <r>
    <n v="137"/>
    <d v="2020-03-17T00:00:00"/>
    <x v="2"/>
    <n v="80"/>
    <x v="8"/>
    <x v="5"/>
    <x v="18"/>
    <n v="107"/>
    <n v="5243"/>
    <n v="0.04"/>
    <n v="5033.28"/>
    <n v="209.72000000000025"/>
    <d v="2020-04-09T00:00:00"/>
    <d v="2020-04-09T00:00:00"/>
    <n v="137"/>
    <n v="3"/>
    <x v="3"/>
    <n v="0.06"/>
    <n v="301.99679999999995"/>
    <n v="4"/>
    <s v="Março"/>
  </r>
  <r>
    <n v="138"/>
    <d v="2020-03-17T00:00:00"/>
    <x v="2"/>
    <n v="94"/>
    <x v="15"/>
    <x v="6"/>
    <x v="26"/>
    <n v="106"/>
    <n v="1696"/>
    <n v="0.11"/>
    <n v="1509.44"/>
    <n v="186.55999999999995"/>
    <d v="2020-04-03T00:00:00"/>
    <d v="2020-04-03T00:00:00"/>
    <n v="138"/>
    <n v="7"/>
    <x v="9"/>
    <n v="0.05"/>
    <n v="75.472000000000008"/>
    <n v="5"/>
    <s v="Março"/>
  </r>
  <r>
    <n v="139"/>
    <d v="2020-03-18T00:00:00"/>
    <x v="2"/>
    <n v="80"/>
    <x v="8"/>
    <x v="9"/>
    <x v="24"/>
    <n v="119"/>
    <n v="5950"/>
    <n v="0.1"/>
    <n v="5355"/>
    <n v="595"/>
    <d v="2020-03-21T00:00:00"/>
    <d v="2020-03-21T00:00:00"/>
    <n v="139"/>
    <n v="3"/>
    <x v="5"/>
    <n v="0.1"/>
    <n v="535.5"/>
    <n v="6"/>
    <s v="Março"/>
  </r>
  <r>
    <n v="140"/>
    <d v="2020-03-19T00:00:00"/>
    <x v="2"/>
    <n v="73"/>
    <x v="8"/>
    <x v="4"/>
    <x v="39"/>
    <n v="111"/>
    <n v="3996"/>
    <n v="0.08"/>
    <n v="3676.32"/>
    <n v="319.67999999999984"/>
    <d v="2020-04-10T00:00:00"/>
    <d v="2020-04-10T00:00:00"/>
    <n v="140"/>
    <n v="1"/>
    <x v="5"/>
    <n v="0.1"/>
    <n v="367.63200000000006"/>
    <n v="7"/>
    <s v="Março"/>
  </r>
  <r>
    <n v="141"/>
    <d v="2020-03-19T00:00:00"/>
    <x v="2"/>
    <n v="17"/>
    <x v="28"/>
    <x v="9"/>
    <x v="7"/>
    <n v="96"/>
    <n v="960"/>
    <n v="0.1"/>
    <n v="864"/>
    <n v="96"/>
    <d v="2020-04-01T00:00:00"/>
    <d v="2020-04-01T00:00:00"/>
    <n v="141"/>
    <n v="2"/>
    <x v="3"/>
    <n v="0.05"/>
    <n v="43.2"/>
    <n v="1"/>
    <s v="Março"/>
  </r>
  <r>
    <n v="142"/>
    <d v="2020-03-21T00:00:00"/>
    <x v="2"/>
    <n v="14"/>
    <x v="3"/>
    <x v="6"/>
    <x v="6"/>
    <n v="113"/>
    <n v="2260"/>
    <n v="0.09"/>
    <n v="2056.6"/>
    <n v="203.40000000000009"/>
    <d v="2020-03-23T00:00:00"/>
    <d v="2020-03-23T00:00:00"/>
    <n v="142"/>
    <n v="6"/>
    <x v="1"/>
    <n v="7.0000000000000007E-2"/>
    <n v="143.96200000000002"/>
    <n v="2"/>
    <s v="Março"/>
  </r>
  <r>
    <n v="143"/>
    <d v="2020-03-21T00:00:00"/>
    <x v="2"/>
    <n v="16"/>
    <x v="3"/>
    <x v="5"/>
    <x v="27"/>
    <n v="98"/>
    <n v="4508"/>
    <n v="0"/>
    <n v="4508"/>
    <n v="0"/>
    <d v="2020-04-11T00:00:00"/>
    <d v="2020-04-11T00:00:00"/>
    <n v="143"/>
    <n v="1"/>
    <x v="4"/>
    <n v="0.06"/>
    <n v="270.48"/>
    <n v="3"/>
    <s v="Março"/>
  </r>
  <r>
    <n v="144"/>
    <d v="2020-03-21T00:00:00"/>
    <x v="2"/>
    <n v="41"/>
    <x v="29"/>
    <x v="4"/>
    <x v="10"/>
    <n v="92"/>
    <n v="1288"/>
    <n v="7.0000000000000007E-2"/>
    <n v="1197.8399999999999"/>
    <n v="90.160000000000082"/>
    <d v="2020-04-06T00:00:00"/>
    <d v="2020-04-06T00:00:00"/>
    <n v="144"/>
    <n v="7"/>
    <x v="4"/>
    <n v="7.0000000000000007E-2"/>
    <n v="83.848799999999997"/>
    <n v="4"/>
    <s v="Março"/>
  </r>
  <r>
    <n v="145"/>
    <d v="2020-03-22T00:00:00"/>
    <x v="2"/>
    <n v="34"/>
    <x v="20"/>
    <x v="6"/>
    <x v="36"/>
    <n v="91"/>
    <n v="3822"/>
    <n v="0.14000000000000001"/>
    <n v="3286.92"/>
    <n v="535.07999999999993"/>
    <d v="2020-03-31T00:00:00"/>
    <d v="2020-03-31T00:00:00"/>
    <n v="145"/>
    <n v="1"/>
    <x v="7"/>
    <n v="0.06"/>
    <n v="197.21520000000001"/>
    <n v="5"/>
    <s v="Março"/>
  </r>
  <r>
    <n v="146"/>
    <d v="2020-03-22T00:00:00"/>
    <x v="2"/>
    <n v="88"/>
    <x v="8"/>
    <x v="3"/>
    <x v="18"/>
    <n v="113"/>
    <n v="5537"/>
    <n v="0.02"/>
    <n v="5426.26"/>
    <n v="110.73999999999978"/>
    <d v="2020-04-10T00:00:00"/>
    <d v="2020-04-10T00:00:00"/>
    <n v="146"/>
    <n v="7"/>
    <x v="8"/>
    <n v="0.08"/>
    <n v="434.10080000000005"/>
    <n v="6"/>
    <s v="Março"/>
  </r>
  <r>
    <n v="147"/>
    <d v="2020-03-22T00:00:00"/>
    <x v="2"/>
    <n v="59"/>
    <x v="57"/>
    <x v="6"/>
    <x v="24"/>
    <n v="103"/>
    <n v="5150"/>
    <n v="0.02"/>
    <n v="5047"/>
    <n v="103"/>
    <d v="2020-03-24T00:00:00"/>
    <d v="2020-03-24T00:00:00"/>
    <n v="147"/>
    <n v="3"/>
    <x v="5"/>
    <n v="0.06"/>
    <n v="302.82"/>
    <n v="7"/>
    <s v="Março"/>
  </r>
  <r>
    <n v="148"/>
    <d v="2020-03-22T00:00:00"/>
    <x v="2"/>
    <n v="91"/>
    <x v="23"/>
    <x v="2"/>
    <x v="2"/>
    <n v="117"/>
    <n v="3978"/>
    <n v="0.14000000000000001"/>
    <n v="3421.08"/>
    <n v="556.92000000000007"/>
    <d v="2020-03-23T00:00:00"/>
    <d v="2020-03-23T00:00:00"/>
    <n v="148"/>
    <n v="6"/>
    <x v="9"/>
    <n v="0.06"/>
    <n v="205.26479999999998"/>
    <n v="1"/>
    <s v="Março"/>
  </r>
  <r>
    <n v="149"/>
    <d v="2020-03-22T00:00:00"/>
    <x v="2"/>
    <n v="54"/>
    <x v="39"/>
    <x v="2"/>
    <x v="32"/>
    <n v="93"/>
    <n v="3255"/>
    <n v="0.02"/>
    <n v="3189.9"/>
    <n v="65.099999999999909"/>
    <d v="2020-04-13T00:00:00"/>
    <d v="2020-04-13T00:00:00"/>
    <n v="149"/>
    <n v="6"/>
    <x v="0"/>
    <n v="0.05"/>
    <n v="159.495"/>
    <n v="2"/>
    <s v="Março"/>
  </r>
  <r>
    <n v="150"/>
    <d v="2020-03-23T00:00:00"/>
    <x v="2"/>
    <n v="71"/>
    <x v="0"/>
    <x v="2"/>
    <x v="38"/>
    <n v="113"/>
    <n v="4520"/>
    <n v="0"/>
    <n v="4520"/>
    <n v="0"/>
    <d v="2020-04-21T00:00:00"/>
    <d v="2020-04-21T00:00:00"/>
    <n v="150"/>
    <n v="6"/>
    <x v="9"/>
    <n v="0.08"/>
    <n v="361.6"/>
    <n v="3"/>
    <s v="Março"/>
  </r>
  <r>
    <n v="151"/>
    <d v="2020-03-25T00:00:00"/>
    <x v="2"/>
    <n v="29"/>
    <x v="58"/>
    <x v="7"/>
    <x v="10"/>
    <n v="119"/>
    <n v="1666"/>
    <n v="7.0000000000000007E-2"/>
    <n v="1549.38"/>
    <n v="116.61999999999989"/>
    <d v="2020-04-12T00:00:00"/>
    <d v="2020-04-12T00:00:00"/>
    <n v="151"/>
    <n v="3"/>
    <x v="2"/>
    <n v="0.05"/>
    <n v="77.469000000000008"/>
    <n v="4"/>
    <s v="Março"/>
  </r>
  <r>
    <n v="152"/>
    <d v="2020-03-25T00:00:00"/>
    <x v="2"/>
    <n v="91"/>
    <x v="23"/>
    <x v="9"/>
    <x v="5"/>
    <n v="109"/>
    <n v="1199"/>
    <n v="0.06"/>
    <n v="1127.06"/>
    <n v="71.940000000000055"/>
    <d v="2020-04-01T00:00:00"/>
    <d v="2020-04-01T00:00:00"/>
    <n v="152"/>
    <n v="1"/>
    <x v="7"/>
    <n v="0.08"/>
    <n v="90.1648"/>
    <n v="5"/>
    <s v="Março"/>
  </r>
  <r>
    <n v="153"/>
    <d v="2020-03-25T00:00:00"/>
    <x v="2"/>
    <n v="36"/>
    <x v="30"/>
    <x v="5"/>
    <x v="2"/>
    <n v="112"/>
    <n v="3808"/>
    <n v="0.12"/>
    <n v="3351.04"/>
    <n v="456.96000000000004"/>
    <d v="2020-04-08T00:00:00"/>
    <d v="2020-04-08T00:00:00"/>
    <n v="153"/>
    <n v="1"/>
    <x v="4"/>
    <n v="0.05"/>
    <n v="167.55200000000002"/>
    <n v="6"/>
    <s v="Março"/>
  </r>
  <r>
    <n v="154"/>
    <d v="2020-03-25T00:00:00"/>
    <x v="2"/>
    <n v="71"/>
    <x v="0"/>
    <x v="6"/>
    <x v="20"/>
    <n v="117"/>
    <n v="2691"/>
    <n v="0.03"/>
    <n v="2610.27"/>
    <n v="80.730000000000018"/>
    <d v="2020-04-24T00:00:00"/>
    <d v="2020-04-24T00:00:00"/>
    <n v="154"/>
    <n v="4"/>
    <x v="2"/>
    <n v="0.08"/>
    <n v="208.82159999999999"/>
    <n v="7"/>
    <s v="Março"/>
  </r>
  <r>
    <n v="155"/>
    <d v="2020-03-25T00:00:00"/>
    <x v="2"/>
    <n v="4"/>
    <x v="46"/>
    <x v="4"/>
    <x v="13"/>
    <n v="94"/>
    <n v="2914"/>
    <n v="0.11"/>
    <n v="2593.46"/>
    <n v="320.53999999999996"/>
    <d v="2020-04-05T00:00:00"/>
    <d v="2020-04-05T00:00:00"/>
    <n v="155"/>
    <n v="3"/>
    <x v="0"/>
    <n v="0.1"/>
    <n v="259.346"/>
    <n v="1"/>
    <s v="Março"/>
  </r>
  <r>
    <n v="156"/>
    <d v="2020-03-25T00:00:00"/>
    <x v="2"/>
    <n v="75"/>
    <x v="8"/>
    <x v="9"/>
    <x v="36"/>
    <n v="98"/>
    <n v="4116"/>
    <n v="0.15"/>
    <n v="3498.6"/>
    <n v="617.40000000000009"/>
    <d v="2020-03-27T00:00:00"/>
    <d v="2020-03-27T00:00:00"/>
    <n v="156"/>
    <n v="6"/>
    <x v="4"/>
    <n v="0.08"/>
    <n v="279.88799999999998"/>
    <n v="2"/>
    <s v="Março"/>
  </r>
  <r>
    <n v="157"/>
    <d v="2020-03-27T00:00:00"/>
    <x v="2"/>
    <n v="12"/>
    <x v="13"/>
    <x v="5"/>
    <x v="29"/>
    <n v="109"/>
    <n v="5232"/>
    <n v="0.04"/>
    <n v="5022.72"/>
    <n v="209.27999999999975"/>
    <d v="2020-04-24T00:00:00"/>
    <d v="2020-04-24T00:00:00"/>
    <n v="157"/>
    <n v="1"/>
    <x v="0"/>
    <n v="0.08"/>
    <n v="401.81760000000003"/>
    <n v="3"/>
    <s v="Março"/>
  </r>
  <r>
    <n v="158"/>
    <d v="2020-03-28T00:00:00"/>
    <x v="2"/>
    <n v="97"/>
    <x v="27"/>
    <x v="2"/>
    <x v="26"/>
    <n v="97"/>
    <n v="1552"/>
    <n v="0.09"/>
    <n v="1412.32"/>
    <n v="139.68000000000006"/>
    <d v="2020-04-21T00:00:00"/>
    <d v="2020-04-21T00:00:00"/>
    <n v="158"/>
    <n v="6"/>
    <x v="0"/>
    <n v="0.06"/>
    <n v="84.739199999999997"/>
    <n v="4"/>
    <s v="Março"/>
  </r>
  <r>
    <n v="159"/>
    <d v="2020-03-28T00:00:00"/>
    <x v="2"/>
    <n v="38"/>
    <x v="33"/>
    <x v="6"/>
    <x v="24"/>
    <n v="111"/>
    <n v="5550"/>
    <n v="0.1"/>
    <n v="4995"/>
    <n v="555"/>
    <d v="2020-04-25T00:00:00"/>
    <d v="2020-04-25T00:00:00"/>
    <n v="159"/>
    <n v="1"/>
    <x v="1"/>
    <n v="0.05"/>
    <n v="249.75"/>
    <n v="5"/>
    <s v="Março"/>
  </r>
  <r>
    <n v="160"/>
    <d v="2020-03-28T00:00:00"/>
    <x v="2"/>
    <n v="16"/>
    <x v="3"/>
    <x v="6"/>
    <x v="9"/>
    <n v="90"/>
    <n v="4050"/>
    <n v="0.04"/>
    <n v="3888"/>
    <n v="162"/>
    <d v="2020-04-06T00:00:00"/>
    <d v="2020-04-06T00:00:00"/>
    <n v="160"/>
    <n v="6"/>
    <x v="3"/>
    <n v="7.0000000000000007E-2"/>
    <n v="272.16000000000003"/>
    <n v="6"/>
    <s v="Março"/>
  </r>
  <r>
    <n v="161"/>
    <d v="2020-03-28T00:00:00"/>
    <x v="2"/>
    <n v="90"/>
    <x v="21"/>
    <x v="6"/>
    <x v="22"/>
    <n v="91"/>
    <n v="2548"/>
    <n v="0.13"/>
    <n v="2216.7600000000002"/>
    <n v="331.23999999999978"/>
    <d v="2020-04-03T00:00:00"/>
    <d v="2020-04-03T00:00:00"/>
    <n v="161"/>
    <n v="7"/>
    <x v="1"/>
    <n v="7.0000000000000007E-2"/>
    <n v="155.17320000000004"/>
    <n v="7"/>
    <s v="Março"/>
  </r>
  <r>
    <n v="162"/>
    <d v="2020-03-29T00:00:00"/>
    <x v="2"/>
    <n v="73"/>
    <x v="8"/>
    <x v="1"/>
    <x v="14"/>
    <n v="115"/>
    <n v="2875"/>
    <n v="0.13"/>
    <n v="2501.25"/>
    <n v="373.75"/>
    <d v="2020-04-19T00:00:00"/>
    <d v="2020-04-19T00:00:00"/>
    <n v="162"/>
    <n v="4"/>
    <x v="3"/>
    <n v="0.09"/>
    <n v="225.11249999999998"/>
    <n v="1"/>
    <s v="Março"/>
  </r>
  <r>
    <n v="163"/>
    <d v="2020-03-30T00:00:00"/>
    <x v="2"/>
    <n v="34"/>
    <x v="20"/>
    <x v="3"/>
    <x v="17"/>
    <n v="106"/>
    <n v="4134"/>
    <n v="0.05"/>
    <n v="3927.3"/>
    <n v="206.69999999999982"/>
    <d v="2020-04-23T00:00:00"/>
    <d v="2020-04-23T00:00:00"/>
    <n v="163"/>
    <n v="3"/>
    <x v="8"/>
    <n v="0.1"/>
    <n v="392.73"/>
    <n v="2"/>
    <s v="Março"/>
  </r>
  <r>
    <n v="164"/>
    <d v="2020-03-30T00:00:00"/>
    <x v="2"/>
    <n v="79"/>
    <x v="5"/>
    <x v="9"/>
    <x v="33"/>
    <n v="100"/>
    <n v="1500"/>
    <n v="7.0000000000000007E-2"/>
    <n v="1395"/>
    <n v="105"/>
    <d v="2020-04-25T00:00:00"/>
    <d v="2020-04-25T00:00:00"/>
    <n v="164"/>
    <n v="4"/>
    <x v="7"/>
    <n v="0.09"/>
    <n v="125.55"/>
    <n v="3"/>
    <s v="Março"/>
  </r>
  <r>
    <n v="165"/>
    <d v="2020-03-31T00:00:00"/>
    <x v="2"/>
    <n v="78"/>
    <x v="7"/>
    <x v="2"/>
    <x v="16"/>
    <n v="119"/>
    <n v="2499"/>
    <n v="0.02"/>
    <n v="2449.02"/>
    <n v="49.980000000000018"/>
    <d v="2020-04-21T00:00:00"/>
    <d v="2020-04-21T00:00:00"/>
    <n v="165"/>
    <n v="4"/>
    <x v="9"/>
    <n v="0.06"/>
    <n v="146.94119999999998"/>
    <n v="4"/>
    <s v="Março"/>
  </r>
  <r>
    <n v="166"/>
    <d v="2020-03-31T00:00:00"/>
    <x v="2"/>
    <n v="19"/>
    <x v="8"/>
    <x v="3"/>
    <x v="10"/>
    <n v="116"/>
    <n v="1624"/>
    <n v="7.0000000000000007E-2"/>
    <n v="1510.32"/>
    <n v="113.68000000000006"/>
    <d v="2020-04-08T00:00:00"/>
    <d v="2020-04-08T00:00:00"/>
    <n v="166"/>
    <n v="3"/>
    <x v="7"/>
    <n v="7.0000000000000007E-2"/>
    <n v="105.72240000000001"/>
    <n v="5"/>
    <s v="Março"/>
  </r>
  <r>
    <n v="167"/>
    <d v="2020-03-31T00:00:00"/>
    <x v="2"/>
    <n v="72"/>
    <x v="8"/>
    <x v="4"/>
    <x v="4"/>
    <n v="98"/>
    <n v="2352"/>
    <n v="0.1"/>
    <n v="2116.8000000000002"/>
    <n v="235.19999999999982"/>
    <d v="2020-04-10T00:00:00"/>
    <d v="2020-04-10T00:00:00"/>
    <n v="167"/>
    <n v="6"/>
    <x v="3"/>
    <n v="0.09"/>
    <n v="190.512"/>
    <n v="6"/>
    <s v="Março"/>
  </r>
  <r>
    <n v="168"/>
    <d v="2020-03-31T00:00:00"/>
    <x v="2"/>
    <n v="63"/>
    <x v="40"/>
    <x v="3"/>
    <x v="11"/>
    <n v="116"/>
    <n v="3132"/>
    <n v="0"/>
    <n v="3132"/>
    <n v="0"/>
    <d v="2020-04-16T00:00:00"/>
    <d v="2020-04-16T00:00:00"/>
    <n v="168"/>
    <n v="6"/>
    <x v="0"/>
    <n v="0.05"/>
    <n v="156.60000000000002"/>
    <n v="7"/>
    <s v="Março"/>
  </r>
  <r>
    <n v="169"/>
    <d v="2020-04-01T00:00:00"/>
    <x v="3"/>
    <n v="90"/>
    <x v="21"/>
    <x v="2"/>
    <x v="13"/>
    <n v="103"/>
    <n v="3193"/>
    <n v="0.11"/>
    <n v="2841.77"/>
    <n v="351.23"/>
    <d v="2020-04-01T00:00:00"/>
    <d v="2020-04-01T00:00:00"/>
    <n v="169"/>
    <n v="5"/>
    <x v="2"/>
    <n v="0.1"/>
    <n v="284.17700000000002"/>
    <n v="1"/>
    <s v="Abril"/>
  </r>
  <r>
    <n v="170"/>
    <d v="2020-04-01T00:00:00"/>
    <x v="3"/>
    <n v="26"/>
    <x v="55"/>
    <x v="6"/>
    <x v="3"/>
    <n v="114"/>
    <n v="5016"/>
    <n v="0.01"/>
    <n v="4965.84"/>
    <n v="50.159999999999854"/>
    <d v="2020-04-23T00:00:00"/>
    <d v="2020-04-23T00:00:00"/>
    <n v="170"/>
    <n v="4"/>
    <x v="5"/>
    <n v="0.05"/>
    <n v="248.29200000000003"/>
    <n v="2"/>
    <s v="Abril"/>
  </r>
  <r>
    <n v="171"/>
    <d v="2020-04-01T00:00:00"/>
    <x v="3"/>
    <n v="86"/>
    <x v="50"/>
    <x v="8"/>
    <x v="7"/>
    <n v="93"/>
    <n v="930"/>
    <n v="0.1"/>
    <n v="837"/>
    <n v="93"/>
    <d v="2020-04-06T00:00:00"/>
    <d v="2020-04-06T00:00:00"/>
    <n v="171"/>
    <n v="7"/>
    <x v="2"/>
    <n v="7.0000000000000007E-2"/>
    <n v="58.59"/>
    <n v="3"/>
    <s v="Abril"/>
  </r>
  <r>
    <n v="172"/>
    <d v="2020-04-01T00:00:00"/>
    <x v="3"/>
    <n v="4"/>
    <x v="46"/>
    <x v="8"/>
    <x v="8"/>
    <n v="116"/>
    <n v="2552"/>
    <n v="0.03"/>
    <n v="2475.44"/>
    <n v="76.559999999999945"/>
    <d v="2020-04-17T00:00:00"/>
    <d v="2020-04-17T00:00:00"/>
    <n v="172"/>
    <n v="3"/>
    <x v="3"/>
    <n v="0.06"/>
    <n v="148.5264"/>
    <n v="4"/>
    <s v="Abril"/>
  </r>
  <r>
    <n v="173"/>
    <d v="2020-04-01T00:00:00"/>
    <x v="3"/>
    <n v="88"/>
    <x v="8"/>
    <x v="2"/>
    <x v="18"/>
    <n v="109"/>
    <n v="5341"/>
    <n v="0.01"/>
    <n v="5287.59"/>
    <n v="53.409999999999854"/>
    <d v="2020-04-01T00:00:00"/>
    <d v="2020-04-01T00:00:00"/>
    <n v="173"/>
    <n v="3"/>
    <x v="1"/>
    <n v="0.09"/>
    <n v="475.88310000000001"/>
    <n v="5"/>
    <s v="Abril"/>
  </r>
  <r>
    <n v="174"/>
    <d v="2020-04-02T00:00:00"/>
    <x v="3"/>
    <n v="64"/>
    <x v="38"/>
    <x v="7"/>
    <x v="1"/>
    <n v="107"/>
    <n v="5029"/>
    <n v="0.09"/>
    <n v="4576.3900000000003"/>
    <n v="452.60999999999967"/>
    <d v="2020-04-30T00:00:00"/>
    <d v="2020-04-30T00:00:00"/>
    <n v="174"/>
    <n v="6"/>
    <x v="7"/>
    <n v="0.06"/>
    <n v="274.58339999999998"/>
    <n v="6"/>
    <s v="Abril"/>
  </r>
  <r>
    <n v="175"/>
    <d v="2020-04-03T00:00:00"/>
    <x v="3"/>
    <n v="52"/>
    <x v="1"/>
    <x v="5"/>
    <x v="3"/>
    <n v="104"/>
    <n v="4576"/>
    <n v="0"/>
    <n v="4576"/>
    <n v="0"/>
    <d v="2020-04-21T00:00:00"/>
    <d v="2020-04-21T00:00:00"/>
    <n v="175"/>
    <n v="5"/>
    <x v="4"/>
    <n v="0.06"/>
    <n v="274.56"/>
    <n v="7"/>
    <s v="Abril"/>
  </r>
  <r>
    <n v="176"/>
    <d v="2020-04-05T00:00:00"/>
    <x v="3"/>
    <n v="70"/>
    <x v="28"/>
    <x v="5"/>
    <x v="33"/>
    <n v="101"/>
    <n v="1515"/>
    <n v="0.1"/>
    <n v="1363.5"/>
    <n v="151.5"/>
    <d v="2020-04-16T00:00:00"/>
    <d v="2020-04-16T00:00:00"/>
    <n v="176"/>
    <n v="6"/>
    <x v="8"/>
    <n v="7.0000000000000007E-2"/>
    <n v="95.445000000000007"/>
    <n v="1"/>
    <s v="Abril"/>
  </r>
  <r>
    <n v="177"/>
    <d v="2020-04-06T00:00:00"/>
    <x v="3"/>
    <n v="74"/>
    <x v="8"/>
    <x v="2"/>
    <x v="22"/>
    <n v="98"/>
    <n v="2744"/>
    <n v="0.08"/>
    <n v="2524.48"/>
    <n v="219.51999999999998"/>
    <d v="2020-04-21T00:00:00"/>
    <d v="2020-04-21T00:00:00"/>
    <n v="177"/>
    <n v="4"/>
    <x v="5"/>
    <n v="0.1"/>
    <n v="252.44800000000001"/>
    <n v="2"/>
    <s v="Abril"/>
  </r>
  <r>
    <n v="178"/>
    <d v="2020-04-07T00:00:00"/>
    <x v="3"/>
    <n v="1"/>
    <x v="53"/>
    <x v="4"/>
    <x v="2"/>
    <n v="92"/>
    <n v="3128"/>
    <n v="0.03"/>
    <n v="3034.16"/>
    <n v="93.840000000000146"/>
    <d v="2020-04-22T00:00:00"/>
    <d v="2020-04-22T00:00:00"/>
    <n v="178"/>
    <n v="1"/>
    <x v="3"/>
    <n v="0.06"/>
    <n v="182.0496"/>
    <n v="3"/>
    <s v="Abril"/>
  </r>
  <r>
    <n v="179"/>
    <d v="2020-04-09T00:00:00"/>
    <x v="3"/>
    <n v="87"/>
    <x v="10"/>
    <x v="1"/>
    <x v="3"/>
    <n v="97"/>
    <n v="4268"/>
    <n v="0.06"/>
    <n v="4011.92"/>
    <n v="256.07999999999993"/>
    <d v="2020-04-22T00:00:00"/>
    <d v="2020-04-22T00:00:00"/>
    <n v="179"/>
    <n v="5"/>
    <x v="8"/>
    <n v="0.09"/>
    <n v="361.07279999999997"/>
    <n v="4"/>
    <s v="Abril"/>
  </r>
  <r>
    <n v="180"/>
    <d v="2020-04-09T00:00:00"/>
    <x v="3"/>
    <n v="2"/>
    <x v="6"/>
    <x v="9"/>
    <x v="15"/>
    <n v="96"/>
    <n v="2880"/>
    <n v="0.15"/>
    <n v="2448"/>
    <n v="432"/>
    <d v="2020-04-26T00:00:00"/>
    <d v="2020-04-26T00:00:00"/>
    <n v="180"/>
    <n v="3"/>
    <x v="5"/>
    <n v="0.06"/>
    <n v="146.88"/>
    <n v="5"/>
    <s v="Abril"/>
  </r>
  <r>
    <n v="181"/>
    <d v="2020-04-10T00:00:00"/>
    <x v="3"/>
    <n v="11"/>
    <x v="21"/>
    <x v="8"/>
    <x v="32"/>
    <n v="93"/>
    <n v="3255"/>
    <n v="0.06"/>
    <n v="3059.7"/>
    <n v="195.30000000000018"/>
    <d v="2020-05-04T00:00:00"/>
    <d v="2020-05-04T00:00:00"/>
    <n v="181"/>
    <n v="3"/>
    <x v="9"/>
    <n v="7.0000000000000007E-2"/>
    <n v="214.179"/>
    <n v="6"/>
    <s v="Abril"/>
  </r>
  <r>
    <n v="182"/>
    <d v="2020-04-10T00:00:00"/>
    <x v="3"/>
    <n v="22"/>
    <x v="16"/>
    <x v="3"/>
    <x v="40"/>
    <n v="98"/>
    <n v="1176"/>
    <n v="0.02"/>
    <n v="1152.48"/>
    <n v="23.519999999999982"/>
    <d v="2020-05-09T00:00:00"/>
    <d v="2020-05-09T00:00:00"/>
    <n v="182"/>
    <n v="7"/>
    <x v="8"/>
    <n v="0.09"/>
    <n v="103.72319999999999"/>
    <n v="7"/>
    <s v="Abril"/>
  </r>
  <r>
    <n v="183"/>
    <d v="2020-04-10T00:00:00"/>
    <x v="3"/>
    <n v="82"/>
    <x v="28"/>
    <x v="1"/>
    <x v="11"/>
    <n v="98"/>
    <n v="2646"/>
    <n v="0.04"/>
    <n v="2540.16"/>
    <n v="105.84000000000015"/>
    <d v="2020-05-06T00:00:00"/>
    <d v="2020-05-06T00:00:00"/>
    <n v="183"/>
    <n v="3"/>
    <x v="3"/>
    <n v="0.06"/>
    <n v="152.40959999999998"/>
    <n v="1"/>
    <s v="Abril"/>
  </r>
  <r>
    <n v="184"/>
    <d v="2020-04-11T00:00:00"/>
    <x v="3"/>
    <n v="43"/>
    <x v="59"/>
    <x v="2"/>
    <x v="31"/>
    <n v="96"/>
    <n v="2496"/>
    <n v="0.05"/>
    <n v="2371.1999999999998"/>
    <n v="124.80000000000018"/>
    <d v="2020-04-20T00:00:00"/>
    <d v="2020-04-20T00:00:00"/>
    <n v="184"/>
    <n v="5"/>
    <x v="8"/>
    <n v="0.09"/>
    <n v="213.40799999999999"/>
    <n v="2"/>
    <s v="Abril"/>
  </r>
  <r>
    <n v="185"/>
    <d v="2020-04-11T00:00:00"/>
    <x v="3"/>
    <n v="56"/>
    <x v="28"/>
    <x v="3"/>
    <x v="16"/>
    <n v="105"/>
    <n v="2205"/>
    <n v="0.04"/>
    <n v="2116.8000000000002"/>
    <n v="88.199999999999818"/>
    <d v="2020-05-09T00:00:00"/>
    <d v="2020-05-09T00:00:00"/>
    <n v="185"/>
    <n v="2"/>
    <x v="4"/>
    <n v="0.09"/>
    <n v="190.512"/>
    <n v="3"/>
    <s v="Abril"/>
  </r>
  <r>
    <n v="186"/>
    <d v="2020-04-12T00:00:00"/>
    <x v="3"/>
    <n v="70"/>
    <x v="28"/>
    <x v="9"/>
    <x v="22"/>
    <n v="105"/>
    <n v="2940"/>
    <n v="0.05"/>
    <n v="2793"/>
    <n v="147"/>
    <d v="2020-05-09T00:00:00"/>
    <d v="2020-05-09T00:00:00"/>
    <n v="186"/>
    <n v="1"/>
    <x v="8"/>
    <n v="7.0000000000000007E-2"/>
    <n v="195.51000000000002"/>
    <n v="4"/>
    <s v="Abril"/>
  </r>
  <r>
    <n v="187"/>
    <d v="2020-04-13T00:00:00"/>
    <x v="3"/>
    <n v="44"/>
    <x v="31"/>
    <x v="7"/>
    <x v="19"/>
    <n v="97"/>
    <n v="2813"/>
    <n v="0.02"/>
    <n v="2756.74"/>
    <n v="56.260000000000218"/>
    <d v="2020-05-12T00:00:00"/>
    <d v="2020-05-12T00:00:00"/>
    <n v="187"/>
    <n v="5"/>
    <x v="8"/>
    <n v="0.09"/>
    <n v="248.10659999999996"/>
    <n v="5"/>
    <s v="Abril"/>
  </r>
  <r>
    <n v="188"/>
    <d v="2020-04-13T00:00:00"/>
    <x v="3"/>
    <n v="83"/>
    <x v="60"/>
    <x v="6"/>
    <x v="26"/>
    <n v="110"/>
    <n v="1760"/>
    <n v="0.05"/>
    <n v="1672"/>
    <n v="88"/>
    <d v="2020-05-04T00:00:00"/>
    <d v="2020-05-04T00:00:00"/>
    <n v="188"/>
    <n v="4"/>
    <x v="6"/>
    <n v="0.06"/>
    <n v="100.32"/>
    <n v="6"/>
    <s v="Abril"/>
  </r>
  <r>
    <n v="189"/>
    <d v="2020-04-14T00:00:00"/>
    <x v="3"/>
    <n v="48"/>
    <x v="22"/>
    <x v="9"/>
    <x v="1"/>
    <n v="117"/>
    <n v="5499"/>
    <n v="0.11"/>
    <n v="4894.1099999999997"/>
    <n v="604.89000000000033"/>
    <d v="2020-05-05T00:00:00"/>
    <d v="2020-05-05T00:00:00"/>
    <n v="189"/>
    <n v="2"/>
    <x v="3"/>
    <n v="0.09"/>
    <n v="440.46989999999994"/>
    <n v="7"/>
    <s v="Abril"/>
  </r>
  <r>
    <n v="190"/>
    <d v="2020-04-14T00:00:00"/>
    <x v="3"/>
    <n v="2"/>
    <x v="6"/>
    <x v="0"/>
    <x v="38"/>
    <n v="110"/>
    <n v="4400"/>
    <n v="0"/>
    <n v="4400"/>
    <n v="0"/>
    <d v="2020-04-20T00:00:00"/>
    <d v="2020-04-20T00:00:00"/>
    <n v="190"/>
    <n v="1"/>
    <x v="6"/>
    <n v="0.09"/>
    <n v="396"/>
    <n v="1"/>
    <s v="Abril"/>
  </r>
  <r>
    <n v="191"/>
    <d v="2020-04-14T00:00:00"/>
    <x v="3"/>
    <n v="89"/>
    <x v="15"/>
    <x v="4"/>
    <x v="0"/>
    <n v="106"/>
    <n v="3922"/>
    <n v="0.04"/>
    <n v="3765.12"/>
    <n v="156.88000000000011"/>
    <d v="2020-05-10T00:00:00"/>
    <d v="2020-05-10T00:00:00"/>
    <n v="191"/>
    <n v="6"/>
    <x v="2"/>
    <n v="0.06"/>
    <n v="225.90719999999999"/>
    <n v="2"/>
    <s v="Abril"/>
  </r>
  <r>
    <n v="192"/>
    <d v="2020-04-15T00:00:00"/>
    <x v="3"/>
    <n v="35"/>
    <x v="8"/>
    <x v="5"/>
    <x v="3"/>
    <n v="115"/>
    <n v="5060"/>
    <n v="0.13"/>
    <n v="4402.2"/>
    <n v="657.80000000000018"/>
    <d v="2020-05-14T00:00:00"/>
    <d v="2020-05-14T00:00:00"/>
    <n v="192"/>
    <n v="2"/>
    <x v="6"/>
    <n v="0.1"/>
    <n v="440.22"/>
    <n v="3"/>
    <s v="Abril"/>
  </r>
  <r>
    <n v="193"/>
    <d v="2020-04-17T00:00:00"/>
    <x v="3"/>
    <n v="62"/>
    <x v="8"/>
    <x v="9"/>
    <x v="31"/>
    <n v="110"/>
    <n v="2860"/>
    <n v="0.15"/>
    <n v="2431"/>
    <n v="429"/>
    <d v="2020-04-29T00:00:00"/>
    <d v="2020-04-29T00:00:00"/>
    <n v="193"/>
    <n v="5"/>
    <x v="7"/>
    <n v="0.1"/>
    <n v="243.10000000000002"/>
    <n v="4"/>
    <s v="Abril"/>
  </r>
  <r>
    <n v="194"/>
    <d v="2020-04-18T00:00:00"/>
    <x v="3"/>
    <n v="69"/>
    <x v="28"/>
    <x v="6"/>
    <x v="22"/>
    <n v="90"/>
    <n v="2520"/>
    <n v="0.01"/>
    <n v="2494.8000000000002"/>
    <n v="25.199999999999818"/>
    <d v="2020-05-05T00:00:00"/>
    <d v="2020-05-05T00:00:00"/>
    <n v="194"/>
    <n v="6"/>
    <x v="8"/>
    <n v="0.08"/>
    <n v="199.58400000000003"/>
    <n v="5"/>
    <s v="Abril"/>
  </r>
  <r>
    <n v="195"/>
    <d v="2020-04-18T00:00:00"/>
    <x v="3"/>
    <n v="88"/>
    <x v="8"/>
    <x v="0"/>
    <x v="33"/>
    <n v="90"/>
    <n v="1350"/>
    <n v="0.14000000000000001"/>
    <n v="1161"/>
    <n v="189"/>
    <d v="2020-05-17T00:00:00"/>
    <d v="2020-05-17T00:00:00"/>
    <n v="195"/>
    <n v="6"/>
    <x v="1"/>
    <n v="0.08"/>
    <n v="92.88"/>
    <n v="6"/>
    <s v="Abril"/>
  </r>
  <r>
    <n v="196"/>
    <d v="2020-04-19T00:00:00"/>
    <x v="3"/>
    <n v="10"/>
    <x v="49"/>
    <x v="1"/>
    <x v="0"/>
    <n v="118"/>
    <n v="4366"/>
    <n v="0.06"/>
    <n v="4104.04"/>
    <n v="261.96000000000004"/>
    <d v="2020-05-11T00:00:00"/>
    <d v="2020-05-11T00:00:00"/>
    <n v="196"/>
    <n v="3"/>
    <x v="9"/>
    <n v="0.1"/>
    <n v="410.404"/>
    <n v="7"/>
    <s v="Abril"/>
  </r>
  <r>
    <n v="197"/>
    <d v="2020-04-19T00:00:00"/>
    <x v="3"/>
    <n v="48"/>
    <x v="22"/>
    <x v="2"/>
    <x v="30"/>
    <n v="108"/>
    <n v="3564"/>
    <n v="0.12"/>
    <n v="3136.32"/>
    <n v="427.67999999999984"/>
    <d v="2020-05-01T00:00:00"/>
    <d v="2020-05-01T00:00:00"/>
    <n v="197"/>
    <n v="7"/>
    <x v="7"/>
    <n v="7.0000000000000007E-2"/>
    <n v="219.54240000000004"/>
    <n v="1"/>
    <s v="Abril"/>
  </r>
  <r>
    <n v="198"/>
    <d v="2020-04-21T00:00:00"/>
    <x v="3"/>
    <n v="48"/>
    <x v="22"/>
    <x v="1"/>
    <x v="26"/>
    <n v="114"/>
    <n v="1824"/>
    <n v="0.12"/>
    <n v="1605.12"/>
    <n v="218.88000000000011"/>
    <d v="2020-05-12T00:00:00"/>
    <d v="2020-05-12T00:00:00"/>
    <n v="198"/>
    <n v="6"/>
    <x v="1"/>
    <n v="0.05"/>
    <n v="80.256"/>
    <n v="2"/>
    <s v="Abril"/>
  </r>
  <r>
    <n v="199"/>
    <d v="2020-04-21T00:00:00"/>
    <x v="3"/>
    <n v="91"/>
    <x v="23"/>
    <x v="0"/>
    <x v="29"/>
    <n v="109"/>
    <n v="5232"/>
    <n v="0.01"/>
    <n v="5179.68"/>
    <n v="52.319999999999709"/>
    <d v="2020-05-04T00:00:00"/>
    <d v="2020-05-04T00:00:00"/>
    <n v="199"/>
    <n v="6"/>
    <x v="2"/>
    <n v="0.09"/>
    <n v="466.1712"/>
    <n v="3"/>
    <s v="Abril"/>
  </r>
  <r>
    <n v="200"/>
    <d v="2020-04-21T00:00:00"/>
    <x v="3"/>
    <n v="91"/>
    <x v="23"/>
    <x v="8"/>
    <x v="25"/>
    <n v="95"/>
    <n v="3895"/>
    <n v="0.15"/>
    <n v="3310.75"/>
    <n v="584.25"/>
    <d v="2020-05-06T00:00:00"/>
    <d v="2020-05-06T00:00:00"/>
    <n v="200"/>
    <n v="3"/>
    <x v="0"/>
    <n v="0.08"/>
    <n v="264.86"/>
    <n v="4"/>
    <s v="Abril"/>
  </r>
  <r>
    <n v="201"/>
    <d v="2020-04-22T00:00:00"/>
    <x v="3"/>
    <n v="65"/>
    <x v="25"/>
    <x v="3"/>
    <x v="34"/>
    <n v="111"/>
    <n v="1443"/>
    <n v="0.06"/>
    <n v="1356.42"/>
    <n v="86.579999999999927"/>
    <d v="2020-05-05T00:00:00"/>
    <d v="2020-05-05T00:00:00"/>
    <n v="201"/>
    <n v="5"/>
    <x v="1"/>
    <n v="7.0000000000000007E-2"/>
    <n v="94.949400000000011"/>
    <n v="5"/>
    <s v="Abril"/>
  </r>
  <r>
    <n v="202"/>
    <d v="2020-04-22T00:00:00"/>
    <x v="3"/>
    <n v="100"/>
    <x v="8"/>
    <x v="7"/>
    <x v="32"/>
    <n v="92"/>
    <n v="3220"/>
    <n v="0.02"/>
    <n v="3155.6"/>
    <n v="64.400000000000091"/>
    <d v="2020-05-15T00:00:00"/>
    <d v="2020-05-15T00:00:00"/>
    <n v="202"/>
    <n v="6"/>
    <x v="8"/>
    <n v="7.0000000000000007E-2"/>
    <n v="220.89200000000002"/>
    <n v="6"/>
    <s v="Abril"/>
  </r>
  <r>
    <n v="203"/>
    <d v="2020-04-24T00:00:00"/>
    <x v="3"/>
    <n v="93"/>
    <x v="5"/>
    <x v="6"/>
    <x v="6"/>
    <n v="111"/>
    <n v="2220"/>
    <n v="0.14000000000000001"/>
    <n v="1909.2"/>
    <n v="310.79999999999995"/>
    <d v="2020-05-24T00:00:00"/>
    <d v="2020-05-24T00:00:00"/>
    <n v="203"/>
    <n v="3"/>
    <x v="9"/>
    <n v="7.0000000000000007E-2"/>
    <n v="133.64400000000001"/>
    <n v="7"/>
    <s v="Abril"/>
  </r>
  <r>
    <n v="204"/>
    <d v="2020-04-27T00:00:00"/>
    <x v="3"/>
    <n v="37"/>
    <x v="14"/>
    <x v="8"/>
    <x v="10"/>
    <n v="114"/>
    <n v="1596"/>
    <n v="0.05"/>
    <n v="1516.2"/>
    <n v="79.799999999999955"/>
    <d v="2020-05-07T00:00:00"/>
    <d v="2020-05-07T00:00:00"/>
    <n v="204"/>
    <n v="6"/>
    <x v="7"/>
    <n v="7.0000000000000007E-2"/>
    <n v="106.13400000000001"/>
    <n v="1"/>
    <s v="Abril"/>
  </r>
  <r>
    <n v="205"/>
    <d v="2020-04-27T00:00:00"/>
    <x v="3"/>
    <n v="72"/>
    <x v="8"/>
    <x v="5"/>
    <x v="34"/>
    <n v="91"/>
    <n v="1183"/>
    <n v="0.06"/>
    <n v="1112.02"/>
    <n v="70.980000000000018"/>
    <d v="2020-05-26T00:00:00"/>
    <d v="2020-05-26T00:00:00"/>
    <n v="205"/>
    <n v="1"/>
    <x v="6"/>
    <n v="0.09"/>
    <n v="100.0818"/>
    <n v="2"/>
    <s v="Abril"/>
  </r>
  <r>
    <n v="206"/>
    <d v="2020-04-28T00:00:00"/>
    <x v="3"/>
    <n v="16"/>
    <x v="3"/>
    <x v="4"/>
    <x v="2"/>
    <n v="113"/>
    <n v="3842"/>
    <n v="0.09"/>
    <n v="3496.2200000000003"/>
    <n v="345.77999999999975"/>
    <d v="2020-05-15T00:00:00"/>
    <d v="2020-05-15T00:00:00"/>
    <n v="206"/>
    <n v="5"/>
    <x v="8"/>
    <n v="0.08"/>
    <n v="279.69760000000002"/>
    <n v="3"/>
    <s v="Abril"/>
  </r>
  <r>
    <n v="207"/>
    <d v="2020-04-28T00:00:00"/>
    <x v="3"/>
    <n v="57"/>
    <x v="49"/>
    <x v="5"/>
    <x v="31"/>
    <n v="103"/>
    <n v="2678"/>
    <n v="0.05"/>
    <n v="2544.1"/>
    <n v="133.90000000000009"/>
    <d v="2020-05-20T00:00:00"/>
    <d v="2020-05-20T00:00:00"/>
    <n v="207"/>
    <n v="3"/>
    <x v="9"/>
    <n v="0.06"/>
    <n v="152.64599999999999"/>
    <n v="4"/>
    <s v="Abril"/>
  </r>
  <r>
    <n v="208"/>
    <d v="2020-04-29T00:00:00"/>
    <x v="3"/>
    <n v="13"/>
    <x v="35"/>
    <x v="0"/>
    <x v="31"/>
    <n v="112"/>
    <n v="2912"/>
    <n v="0.08"/>
    <n v="2679.04"/>
    <n v="232.96000000000004"/>
    <d v="2020-05-27T00:00:00"/>
    <d v="2020-05-27T00:00:00"/>
    <n v="208"/>
    <n v="6"/>
    <x v="2"/>
    <n v="7.0000000000000007E-2"/>
    <n v="187.53280000000001"/>
    <n v="5"/>
    <s v="Abril"/>
  </r>
  <r>
    <n v="209"/>
    <d v="2020-04-29T00:00:00"/>
    <x v="3"/>
    <n v="4"/>
    <x v="46"/>
    <x v="1"/>
    <x v="34"/>
    <n v="90"/>
    <n v="1170"/>
    <n v="7.0000000000000007E-2"/>
    <n v="1088.0999999999999"/>
    <n v="81.900000000000091"/>
    <d v="2020-05-03T00:00:00"/>
    <d v="2020-05-03T00:00:00"/>
    <n v="209"/>
    <n v="1"/>
    <x v="6"/>
    <n v="7.0000000000000007E-2"/>
    <n v="76.167000000000002"/>
    <n v="6"/>
    <s v="Abril"/>
  </r>
  <r>
    <n v="210"/>
    <d v="2020-04-30T00:00:00"/>
    <x v="3"/>
    <n v="51"/>
    <x v="17"/>
    <x v="1"/>
    <x v="3"/>
    <n v="113"/>
    <n v="4972"/>
    <n v="0.15"/>
    <n v="4226.2"/>
    <n v="745.80000000000018"/>
    <d v="2020-05-07T00:00:00"/>
    <d v="2020-05-07T00:00:00"/>
    <n v="210"/>
    <n v="5"/>
    <x v="9"/>
    <n v="7.0000000000000007E-2"/>
    <n v="295.834"/>
    <n v="7"/>
    <s v="Abril"/>
  </r>
  <r>
    <n v="211"/>
    <d v="2020-05-01T00:00:00"/>
    <x v="4"/>
    <n v="22"/>
    <x v="16"/>
    <x v="7"/>
    <x v="16"/>
    <n v="113"/>
    <n v="2373"/>
    <n v="0.06"/>
    <n v="2230.62"/>
    <n v="142.38000000000011"/>
    <d v="2020-05-21T00:00:00"/>
    <d v="2020-05-21T00:00:00"/>
    <n v="211"/>
    <n v="5"/>
    <x v="5"/>
    <n v="0.09"/>
    <n v="200.75579999999999"/>
    <n v="1"/>
    <s v="Maio"/>
  </r>
  <r>
    <n v="212"/>
    <d v="2020-05-01T00:00:00"/>
    <x v="4"/>
    <n v="27"/>
    <x v="61"/>
    <x v="0"/>
    <x v="21"/>
    <n v="90"/>
    <n v="1530"/>
    <n v="0.09"/>
    <n v="1392.3"/>
    <n v="137.70000000000005"/>
    <d v="2020-05-17T00:00:00"/>
    <d v="2020-05-17T00:00:00"/>
    <n v="212"/>
    <n v="3"/>
    <x v="0"/>
    <n v="0.1"/>
    <n v="139.22999999999999"/>
    <n v="2"/>
    <s v="Maio"/>
  </r>
  <r>
    <n v="213"/>
    <d v="2020-05-01T00:00:00"/>
    <x v="4"/>
    <n v="83"/>
    <x v="60"/>
    <x v="6"/>
    <x v="12"/>
    <n v="105"/>
    <n v="1890"/>
    <n v="0.13"/>
    <n v="1644.3"/>
    <n v="245.70000000000005"/>
    <d v="2020-05-13T00:00:00"/>
    <d v="2020-05-13T00:00:00"/>
    <n v="213"/>
    <n v="1"/>
    <x v="3"/>
    <n v="0.05"/>
    <n v="82.215000000000003"/>
    <n v="3"/>
    <s v="Maio"/>
  </r>
  <r>
    <n v="214"/>
    <d v="2020-05-02T00:00:00"/>
    <x v="4"/>
    <n v="38"/>
    <x v="33"/>
    <x v="4"/>
    <x v="38"/>
    <n v="98"/>
    <n v="3920"/>
    <n v="0.1"/>
    <n v="3528"/>
    <n v="392"/>
    <d v="2020-05-27T00:00:00"/>
    <d v="2020-05-27T00:00:00"/>
    <n v="214"/>
    <n v="7"/>
    <x v="7"/>
    <n v="7.0000000000000007E-2"/>
    <n v="246.96000000000004"/>
    <n v="4"/>
    <s v="Maio"/>
  </r>
  <r>
    <n v="215"/>
    <d v="2020-05-04T00:00:00"/>
    <x v="4"/>
    <n v="35"/>
    <x v="8"/>
    <x v="5"/>
    <x v="34"/>
    <n v="99"/>
    <n v="1287"/>
    <n v="0.04"/>
    <n v="1235.52"/>
    <n v="51.480000000000018"/>
    <d v="2020-05-15T00:00:00"/>
    <d v="2020-05-15T00:00:00"/>
    <n v="215"/>
    <n v="1"/>
    <x v="5"/>
    <n v="0.1"/>
    <n v="123.55200000000001"/>
    <n v="5"/>
    <s v="Maio"/>
  </r>
  <r>
    <n v="216"/>
    <d v="2020-05-04T00:00:00"/>
    <x v="4"/>
    <n v="3"/>
    <x v="51"/>
    <x v="5"/>
    <x v="13"/>
    <n v="105"/>
    <n v="3255"/>
    <n v="0.08"/>
    <n v="2994.6"/>
    <n v="260.40000000000009"/>
    <d v="2020-05-22T00:00:00"/>
    <d v="2020-05-22T00:00:00"/>
    <n v="216"/>
    <n v="2"/>
    <x v="3"/>
    <n v="0.09"/>
    <n v="269.51400000000001"/>
    <n v="6"/>
    <s v="Maio"/>
  </r>
  <r>
    <n v="217"/>
    <d v="2020-05-05T00:00:00"/>
    <x v="4"/>
    <n v="25"/>
    <x v="24"/>
    <x v="3"/>
    <x v="29"/>
    <n v="108"/>
    <n v="5184"/>
    <n v="0.13"/>
    <n v="4510.08"/>
    <n v="673.92000000000007"/>
    <d v="2020-05-23T00:00:00"/>
    <d v="2020-05-23T00:00:00"/>
    <n v="217"/>
    <n v="7"/>
    <x v="3"/>
    <n v="0.1"/>
    <n v="451.00800000000004"/>
    <n v="7"/>
    <s v="Maio"/>
  </r>
  <r>
    <n v="218"/>
    <d v="2020-05-05T00:00:00"/>
    <x v="4"/>
    <n v="8"/>
    <x v="8"/>
    <x v="6"/>
    <x v="12"/>
    <n v="90"/>
    <n v="1620"/>
    <n v="0.15"/>
    <n v="1377"/>
    <n v="243"/>
    <d v="2020-05-08T00:00:00"/>
    <d v="2020-05-08T00:00:00"/>
    <n v="218"/>
    <n v="6"/>
    <x v="9"/>
    <n v="0.08"/>
    <n v="110.16"/>
    <n v="1"/>
    <s v="Maio"/>
  </r>
  <r>
    <n v="219"/>
    <d v="2020-05-06T00:00:00"/>
    <x v="4"/>
    <n v="20"/>
    <x v="9"/>
    <x v="9"/>
    <x v="29"/>
    <n v="120"/>
    <n v="5760"/>
    <n v="0.05"/>
    <n v="5472"/>
    <n v="288"/>
    <d v="2020-05-06T00:00:00"/>
    <d v="2020-05-06T00:00:00"/>
    <n v="219"/>
    <n v="5"/>
    <x v="6"/>
    <n v="7.0000000000000007E-2"/>
    <n v="383.04"/>
    <n v="2"/>
    <s v="Maio"/>
  </r>
  <r>
    <n v="220"/>
    <d v="2020-05-07T00:00:00"/>
    <x v="4"/>
    <n v="78"/>
    <x v="7"/>
    <x v="3"/>
    <x v="36"/>
    <n v="104"/>
    <n v="4368"/>
    <n v="0.12"/>
    <n v="3843.84"/>
    <n v="524.15999999999985"/>
    <d v="2020-05-14T00:00:00"/>
    <d v="2020-05-14T00:00:00"/>
    <n v="220"/>
    <n v="3"/>
    <x v="1"/>
    <n v="0.06"/>
    <n v="230.63040000000001"/>
    <n v="3"/>
    <s v="Maio"/>
  </r>
  <r>
    <n v="221"/>
    <d v="2020-05-07T00:00:00"/>
    <x v="4"/>
    <n v="99"/>
    <x v="44"/>
    <x v="7"/>
    <x v="28"/>
    <n v="113"/>
    <n v="4294"/>
    <n v="0.1"/>
    <n v="3864.6"/>
    <n v="429.40000000000009"/>
    <d v="2020-05-25T00:00:00"/>
    <d v="2020-05-25T00:00:00"/>
    <n v="221"/>
    <n v="7"/>
    <x v="1"/>
    <n v="7.0000000000000007E-2"/>
    <n v="270.52199999999999"/>
    <n v="4"/>
    <s v="Maio"/>
  </r>
  <r>
    <n v="222"/>
    <d v="2020-05-07T00:00:00"/>
    <x v="4"/>
    <n v="98"/>
    <x v="2"/>
    <x v="9"/>
    <x v="21"/>
    <n v="120"/>
    <n v="2040"/>
    <n v="0.08"/>
    <n v="1876.8"/>
    <n v="163.20000000000005"/>
    <d v="2020-05-16T00:00:00"/>
    <d v="2020-05-16T00:00:00"/>
    <n v="222"/>
    <n v="2"/>
    <x v="4"/>
    <n v="0.08"/>
    <n v="150.14400000000001"/>
    <n v="5"/>
    <s v="Maio"/>
  </r>
  <r>
    <n v="223"/>
    <d v="2020-05-07T00:00:00"/>
    <x v="4"/>
    <n v="97"/>
    <x v="27"/>
    <x v="1"/>
    <x v="14"/>
    <n v="117"/>
    <n v="2925"/>
    <n v="0.01"/>
    <n v="2895.75"/>
    <n v="29.25"/>
    <d v="2020-05-25T00:00:00"/>
    <d v="2020-05-25T00:00:00"/>
    <n v="223"/>
    <n v="5"/>
    <x v="5"/>
    <n v="0.1"/>
    <n v="289.57499999999999"/>
    <n v="6"/>
    <s v="Maio"/>
  </r>
  <r>
    <n v="224"/>
    <d v="2020-05-08T00:00:00"/>
    <x v="4"/>
    <n v="61"/>
    <x v="18"/>
    <x v="2"/>
    <x v="32"/>
    <n v="104"/>
    <n v="3640"/>
    <n v="0.08"/>
    <n v="3348.8"/>
    <n v="291.19999999999982"/>
    <d v="2020-05-25T00:00:00"/>
    <d v="2020-05-25T00:00:00"/>
    <n v="224"/>
    <n v="3"/>
    <x v="1"/>
    <n v="0.05"/>
    <n v="167.44000000000003"/>
    <n v="7"/>
    <s v="Maio"/>
  </r>
  <r>
    <n v="225"/>
    <d v="2020-05-08T00:00:00"/>
    <x v="4"/>
    <n v="46"/>
    <x v="54"/>
    <x v="3"/>
    <x v="40"/>
    <n v="107"/>
    <n v="1284"/>
    <n v="0.08"/>
    <n v="1181.28"/>
    <n v="102.72000000000003"/>
    <d v="2020-05-23T00:00:00"/>
    <d v="2020-05-23T00:00:00"/>
    <n v="225"/>
    <n v="5"/>
    <x v="4"/>
    <n v="0.09"/>
    <n v="106.31519999999999"/>
    <n v="1"/>
    <s v="Maio"/>
  </r>
  <r>
    <n v="226"/>
    <d v="2020-05-09T00:00:00"/>
    <x v="4"/>
    <n v="8"/>
    <x v="8"/>
    <x v="1"/>
    <x v="30"/>
    <n v="107"/>
    <n v="3531"/>
    <n v="7.0000000000000007E-2"/>
    <n v="3283.83"/>
    <n v="247.17000000000007"/>
    <d v="2020-05-21T00:00:00"/>
    <d v="2020-05-21T00:00:00"/>
    <n v="226"/>
    <n v="2"/>
    <x v="9"/>
    <n v="0.08"/>
    <n v="262.70639999999997"/>
    <n v="2"/>
    <s v="Maio"/>
  </r>
  <r>
    <n v="227"/>
    <d v="2020-05-09T00:00:00"/>
    <x v="4"/>
    <n v="93"/>
    <x v="5"/>
    <x v="8"/>
    <x v="26"/>
    <n v="92"/>
    <n v="1472"/>
    <n v="0.01"/>
    <n v="1457.28"/>
    <n v="14.720000000000027"/>
    <d v="2020-05-31T00:00:00"/>
    <d v="2020-05-31T00:00:00"/>
    <n v="227"/>
    <n v="1"/>
    <x v="2"/>
    <n v="0.05"/>
    <n v="72.864000000000004"/>
    <n v="3"/>
    <s v="Maio"/>
  </r>
  <r>
    <n v="228"/>
    <d v="2020-05-10T00:00:00"/>
    <x v="4"/>
    <n v="72"/>
    <x v="8"/>
    <x v="8"/>
    <x v="32"/>
    <n v="91"/>
    <n v="3185"/>
    <n v="0.05"/>
    <n v="3025.75"/>
    <n v="159.25"/>
    <d v="2020-05-23T00:00:00"/>
    <d v="2020-05-23T00:00:00"/>
    <n v="228"/>
    <n v="3"/>
    <x v="5"/>
    <n v="0.1"/>
    <n v="302.57499999999999"/>
    <n v="4"/>
    <s v="Maio"/>
  </r>
  <r>
    <n v="229"/>
    <d v="2020-05-10T00:00:00"/>
    <x v="4"/>
    <n v="13"/>
    <x v="35"/>
    <x v="3"/>
    <x v="7"/>
    <n v="97"/>
    <n v="970"/>
    <n v="0.11"/>
    <n v="863.3"/>
    <n v="106.70000000000005"/>
    <d v="2020-06-01T00:00:00"/>
    <d v="2020-06-01T00:00:00"/>
    <n v="229"/>
    <n v="4"/>
    <x v="6"/>
    <n v="0.05"/>
    <n v="43.164999999999999"/>
    <n v="5"/>
    <s v="Maio"/>
  </r>
  <r>
    <n v="230"/>
    <d v="2020-05-10T00:00:00"/>
    <x v="4"/>
    <n v="39"/>
    <x v="8"/>
    <x v="1"/>
    <x v="24"/>
    <n v="114"/>
    <n v="5700"/>
    <n v="0.08"/>
    <n v="5244"/>
    <n v="456"/>
    <d v="2020-05-20T00:00:00"/>
    <d v="2020-05-20T00:00:00"/>
    <n v="230"/>
    <n v="4"/>
    <x v="2"/>
    <n v="0.09"/>
    <n v="471.96"/>
    <n v="6"/>
    <s v="Maio"/>
  </r>
  <r>
    <n v="231"/>
    <d v="2020-05-10T00:00:00"/>
    <x v="4"/>
    <n v="72"/>
    <x v="8"/>
    <x v="3"/>
    <x v="25"/>
    <n v="118"/>
    <n v="4838"/>
    <n v="0.13"/>
    <n v="4209.0599999999995"/>
    <n v="628.94000000000051"/>
    <d v="2020-05-30T00:00:00"/>
    <d v="2020-05-30T00:00:00"/>
    <n v="231"/>
    <n v="3"/>
    <x v="2"/>
    <n v="0.06"/>
    <n v="252.54359999999997"/>
    <n v="7"/>
    <s v="Maio"/>
  </r>
  <r>
    <n v="232"/>
    <d v="2020-05-11T00:00:00"/>
    <x v="4"/>
    <n v="3"/>
    <x v="51"/>
    <x v="9"/>
    <x v="32"/>
    <n v="91"/>
    <n v="3185"/>
    <n v="0.09"/>
    <n v="2898.35"/>
    <n v="286.65000000000009"/>
    <d v="2020-06-05T00:00:00"/>
    <d v="2020-06-05T00:00:00"/>
    <n v="232"/>
    <n v="1"/>
    <x v="2"/>
    <n v="0.06"/>
    <n v="173.90099999999998"/>
    <n v="1"/>
    <s v="Maio"/>
  </r>
  <r>
    <n v="233"/>
    <d v="2020-05-11T00:00:00"/>
    <x v="4"/>
    <n v="44"/>
    <x v="31"/>
    <x v="2"/>
    <x v="33"/>
    <n v="106"/>
    <n v="1590"/>
    <n v="0.1"/>
    <n v="1431"/>
    <n v="159"/>
    <d v="2020-05-26T00:00:00"/>
    <d v="2020-05-26T00:00:00"/>
    <n v="233"/>
    <n v="4"/>
    <x v="6"/>
    <n v="0.05"/>
    <n v="71.55"/>
    <n v="2"/>
    <s v="Maio"/>
  </r>
  <r>
    <n v="234"/>
    <d v="2020-05-12T00:00:00"/>
    <x v="4"/>
    <n v="32"/>
    <x v="37"/>
    <x v="2"/>
    <x v="13"/>
    <n v="118"/>
    <n v="3658"/>
    <n v="7.0000000000000007E-2"/>
    <n v="3401.94"/>
    <n v="256.05999999999995"/>
    <d v="2020-06-08T00:00:00"/>
    <d v="2020-06-08T00:00:00"/>
    <n v="234"/>
    <n v="3"/>
    <x v="7"/>
    <n v="0.1"/>
    <n v="340.19400000000002"/>
    <n v="3"/>
    <s v="Maio"/>
  </r>
  <r>
    <n v="235"/>
    <d v="2020-05-12T00:00:00"/>
    <x v="4"/>
    <n v="47"/>
    <x v="10"/>
    <x v="4"/>
    <x v="32"/>
    <n v="103"/>
    <n v="3605"/>
    <n v="7.0000000000000007E-2"/>
    <n v="3352.65"/>
    <n v="252.34999999999991"/>
    <d v="2020-05-30T00:00:00"/>
    <d v="2020-05-30T00:00:00"/>
    <n v="235"/>
    <n v="1"/>
    <x v="5"/>
    <n v="0.08"/>
    <n v="268.21199999999999"/>
    <n v="4"/>
    <s v="Maio"/>
  </r>
  <r>
    <n v="236"/>
    <d v="2020-05-13T00:00:00"/>
    <x v="4"/>
    <n v="29"/>
    <x v="58"/>
    <x v="6"/>
    <x v="21"/>
    <n v="100"/>
    <n v="1700"/>
    <n v="0.11"/>
    <n v="1513"/>
    <n v="187"/>
    <d v="2020-05-13T00:00:00"/>
    <d v="2020-05-13T00:00:00"/>
    <n v="236"/>
    <n v="1"/>
    <x v="8"/>
    <n v="7.0000000000000007E-2"/>
    <n v="105.91000000000001"/>
    <n v="5"/>
    <s v="Maio"/>
  </r>
  <r>
    <n v="237"/>
    <d v="2020-05-13T00:00:00"/>
    <x v="4"/>
    <n v="11"/>
    <x v="21"/>
    <x v="2"/>
    <x v="38"/>
    <n v="116"/>
    <n v="4640"/>
    <n v="0.02"/>
    <n v="4547.2"/>
    <n v="92.800000000000182"/>
    <d v="2020-05-22T00:00:00"/>
    <d v="2020-05-22T00:00:00"/>
    <n v="237"/>
    <n v="6"/>
    <x v="3"/>
    <n v="0.05"/>
    <n v="227.36"/>
    <n v="6"/>
    <s v="Maio"/>
  </r>
  <r>
    <n v="238"/>
    <d v="2020-05-13T00:00:00"/>
    <x v="4"/>
    <n v="66"/>
    <x v="4"/>
    <x v="1"/>
    <x v="27"/>
    <n v="113"/>
    <n v="5198"/>
    <n v="0.01"/>
    <n v="5146.0200000000004"/>
    <n v="51.979999999999563"/>
    <d v="2020-05-23T00:00:00"/>
    <d v="2020-05-23T00:00:00"/>
    <n v="238"/>
    <n v="7"/>
    <x v="2"/>
    <n v="7.0000000000000007E-2"/>
    <n v="360.22140000000007"/>
    <n v="7"/>
    <s v="Maio"/>
  </r>
  <r>
    <n v="239"/>
    <d v="2020-05-14T00:00:00"/>
    <x v="4"/>
    <n v="17"/>
    <x v="28"/>
    <x v="8"/>
    <x v="13"/>
    <n v="96"/>
    <n v="2976"/>
    <n v="0.11"/>
    <n v="2648.64"/>
    <n v="327.36000000000013"/>
    <d v="2020-06-05T00:00:00"/>
    <d v="2020-06-05T00:00:00"/>
    <n v="239"/>
    <n v="4"/>
    <x v="3"/>
    <n v="0.1"/>
    <n v="264.86399999999998"/>
    <n v="1"/>
    <s v="Maio"/>
  </r>
  <r>
    <n v="240"/>
    <d v="2020-05-14T00:00:00"/>
    <x v="4"/>
    <n v="12"/>
    <x v="13"/>
    <x v="6"/>
    <x v="9"/>
    <n v="119"/>
    <n v="5355"/>
    <n v="0.05"/>
    <n v="5087.25"/>
    <n v="267.75"/>
    <d v="2020-05-31T00:00:00"/>
    <d v="2020-05-31T00:00:00"/>
    <n v="240"/>
    <n v="7"/>
    <x v="7"/>
    <n v="0.05"/>
    <n v="254.36250000000001"/>
    <n v="2"/>
    <s v="Maio"/>
  </r>
  <r>
    <n v="241"/>
    <d v="2020-05-14T00:00:00"/>
    <x v="4"/>
    <n v="94"/>
    <x v="15"/>
    <x v="3"/>
    <x v="25"/>
    <n v="91"/>
    <n v="3731"/>
    <n v="0.11"/>
    <n v="3320.59"/>
    <n v="410.40999999999985"/>
    <d v="2020-06-01T00:00:00"/>
    <d v="2020-06-01T00:00:00"/>
    <n v="241"/>
    <n v="5"/>
    <x v="2"/>
    <n v="0.05"/>
    <n v="166.02950000000001"/>
    <n v="3"/>
    <s v="Maio"/>
  </r>
  <r>
    <n v="242"/>
    <d v="2020-05-15T00:00:00"/>
    <x v="4"/>
    <n v="60"/>
    <x v="42"/>
    <x v="7"/>
    <x v="16"/>
    <n v="107"/>
    <n v="2247"/>
    <n v="0.09"/>
    <n v="2044.77"/>
    <n v="202.23000000000002"/>
    <d v="2020-06-07T00:00:00"/>
    <d v="2020-06-07T00:00:00"/>
    <n v="242"/>
    <n v="7"/>
    <x v="9"/>
    <n v="0.1"/>
    <n v="204.477"/>
    <n v="4"/>
    <s v="Maio"/>
  </r>
  <r>
    <n v="243"/>
    <d v="2020-05-15T00:00:00"/>
    <x v="4"/>
    <n v="70"/>
    <x v="28"/>
    <x v="7"/>
    <x v="24"/>
    <n v="98"/>
    <n v="4900"/>
    <n v="0.13"/>
    <n v="4263"/>
    <n v="637"/>
    <d v="2020-05-27T00:00:00"/>
    <d v="2020-05-27T00:00:00"/>
    <n v="243"/>
    <n v="3"/>
    <x v="0"/>
    <n v="0.1"/>
    <n v="426.3"/>
    <n v="5"/>
    <s v="Maio"/>
  </r>
  <r>
    <n v="244"/>
    <d v="2020-05-15T00:00:00"/>
    <x v="4"/>
    <n v="41"/>
    <x v="29"/>
    <x v="3"/>
    <x v="26"/>
    <n v="107"/>
    <n v="1712"/>
    <n v="0.04"/>
    <n v="1643.52"/>
    <n v="68.480000000000018"/>
    <d v="2020-06-06T00:00:00"/>
    <d v="2020-06-06T00:00:00"/>
    <n v="244"/>
    <n v="4"/>
    <x v="7"/>
    <n v="0.08"/>
    <n v="131.48160000000001"/>
    <n v="6"/>
    <s v="Maio"/>
  </r>
  <r>
    <n v="245"/>
    <d v="2020-05-16T00:00:00"/>
    <x v="4"/>
    <n v="46"/>
    <x v="54"/>
    <x v="1"/>
    <x v="28"/>
    <n v="113"/>
    <n v="4294"/>
    <n v="0.11"/>
    <n v="3821.66"/>
    <n v="472.34000000000015"/>
    <d v="2020-05-19T00:00:00"/>
    <d v="2020-05-19T00:00:00"/>
    <n v="245"/>
    <n v="6"/>
    <x v="3"/>
    <n v="0.05"/>
    <n v="191.083"/>
    <n v="7"/>
    <s v="Maio"/>
  </r>
  <r>
    <n v="246"/>
    <d v="2020-05-16T00:00:00"/>
    <x v="4"/>
    <n v="61"/>
    <x v="18"/>
    <x v="5"/>
    <x v="37"/>
    <n v="98"/>
    <n v="3136"/>
    <n v="0.13"/>
    <n v="2728.32"/>
    <n v="407.67999999999984"/>
    <d v="2020-05-25T00:00:00"/>
    <d v="2020-05-25T00:00:00"/>
    <n v="246"/>
    <n v="7"/>
    <x v="1"/>
    <n v="7.0000000000000007E-2"/>
    <n v="190.98240000000004"/>
    <n v="1"/>
    <s v="Maio"/>
  </r>
  <r>
    <n v="247"/>
    <d v="2020-05-17T00:00:00"/>
    <x v="4"/>
    <n v="14"/>
    <x v="3"/>
    <x v="9"/>
    <x v="5"/>
    <n v="100"/>
    <n v="1100"/>
    <n v="0.12"/>
    <n v="968"/>
    <n v="132"/>
    <d v="2020-06-09T00:00:00"/>
    <d v="2020-06-09T00:00:00"/>
    <n v="247"/>
    <n v="4"/>
    <x v="1"/>
    <n v="0.09"/>
    <n v="87.11999999999999"/>
    <n v="2"/>
    <s v="Maio"/>
  </r>
  <r>
    <n v="248"/>
    <d v="2020-05-17T00:00:00"/>
    <x v="4"/>
    <n v="77"/>
    <x v="26"/>
    <x v="7"/>
    <x v="30"/>
    <n v="117"/>
    <n v="3861"/>
    <n v="0.04"/>
    <n v="3706.56"/>
    <n v="154.44000000000005"/>
    <d v="2020-06-14T00:00:00"/>
    <d v="2020-06-14T00:00:00"/>
    <n v="248"/>
    <n v="7"/>
    <x v="4"/>
    <n v="0.05"/>
    <n v="185.328"/>
    <n v="3"/>
    <s v="Maio"/>
  </r>
  <r>
    <n v="249"/>
    <d v="2020-05-19T00:00:00"/>
    <x v="4"/>
    <n v="69"/>
    <x v="28"/>
    <x v="3"/>
    <x v="0"/>
    <n v="102"/>
    <n v="3774"/>
    <n v="0.13"/>
    <n v="3283.38"/>
    <n v="490.61999999999989"/>
    <d v="2020-05-21T00:00:00"/>
    <d v="2020-05-21T00:00:00"/>
    <n v="249"/>
    <n v="1"/>
    <x v="5"/>
    <n v="0.05"/>
    <n v="164.16900000000001"/>
    <n v="4"/>
    <s v="Maio"/>
  </r>
  <r>
    <n v="250"/>
    <d v="2020-05-19T00:00:00"/>
    <x v="4"/>
    <n v="36"/>
    <x v="30"/>
    <x v="3"/>
    <x v="14"/>
    <n v="109"/>
    <n v="2725"/>
    <n v="0.1"/>
    <n v="2452.5"/>
    <n v="272.5"/>
    <d v="2020-06-15T00:00:00"/>
    <d v="2020-06-15T00:00:00"/>
    <n v="250"/>
    <n v="7"/>
    <x v="8"/>
    <n v="7.0000000000000007E-2"/>
    <n v="171.67500000000001"/>
    <n v="5"/>
    <s v="Maio"/>
  </r>
  <r>
    <n v="251"/>
    <d v="2020-05-19T00:00:00"/>
    <x v="4"/>
    <n v="61"/>
    <x v="18"/>
    <x v="2"/>
    <x v="14"/>
    <n v="114"/>
    <n v="2850"/>
    <n v="0.12"/>
    <n v="2508"/>
    <n v="342"/>
    <d v="2020-05-20T00:00:00"/>
    <d v="2020-05-20T00:00:00"/>
    <n v="251"/>
    <n v="5"/>
    <x v="4"/>
    <n v="0.08"/>
    <n v="200.64000000000001"/>
    <n v="6"/>
    <s v="Maio"/>
  </r>
  <r>
    <n v="252"/>
    <d v="2020-05-19T00:00:00"/>
    <x v="4"/>
    <n v="24"/>
    <x v="34"/>
    <x v="9"/>
    <x v="39"/>
    <n v="103"/>
    <n v="3708"/>
    <n v="0"/>
    <n v="3708"/>
    <n v="0"/>
    <d v="2020-05-21T00:00:00"/>
    <d v="2020-05-21T00:00:00"/>
    <n v="252"/>
    <n v="7"/>
    <x v="7"/>
    <n v="7.0000000000000007E-2"/>
    <n v="259.56"/>
    <n v="7"/>
    <s v="Maio"/>
  </r>
  <r>
    <n v="253"/>
    <d v="2020-05-20T00:00:00"/>
    <x v="4"/>
    <n v="72"/>
    <x v="8"/>
    <x v="4"/>
    <x v="32"/>
    <n v="120"/>
    <n v="4200"/>
    <n v="0.15"/>
    <n v="3570"/>
    <n v="630"/>
    <d v="2020-06-17T00:00:00"/>
    <d v="2020-06-17T00:00:00"/>
    <n v="253"/>
    <n v="7"/>
    <x v="9"/>
    <n v="7.0000000000000007E-2"/>
    <n v="249.90000000000003"/>
    <n v="1"/>
    <s v="Maio"/>
  </r>
  <r>
    <n v="254"/>
    <d v="2020-05-20T00:00:00"/>
    <x v="4"/>
    <n v="30"/>
    <x v="56"/>
    <x v="2"/>
    <x v="0"/>
    <n v="115"/>
    <n v="4255"/>
    <n v="0.15"/>
    <n v="3616.75"/>
    <n v="638.25"/>
    <d v="2020-06-06T00:00:00"/>
    <d v="2020-06-06T00:00:00"/>
    <n v="254"/>
    <n v="1"/>
    <x v="2"/>
    <n v="0.1"/>
    <n v="361.67500000000001"/>
    <n v="2"/>
    <s v="Maio"/>
  </r>
  <r>
    <n v="255"/>
    <d v="2020-05-21T00:00:00"/>
    <x v="4"/>
    <n v="43"/>
    <x v="59"/>
    <x v="2"/>
    <x v="1"/>
    <n v="98"/>
    <n v="4606"/>
    <n v="0.15"/>
    <n v="3915.1"/>
    <n v="690.90000000000009"/>
    <d v="2020-05-26T00:00:00"/>
    <d v="2020-05-26T00:00:00"/>
    <n v="255"/>
    <n v="5"/>
    <x v="4"/>
    <n v="0.1"/>
    <n v="391.51"/>
    <n v="3"/>
    <s v="Maio"/>
  </r>
  <r>
    <n v="256"/>
    <d v="2020-05-21T00:00:00"/>
    <x v="4"/>
    <n v="46"/>
    <x v="54"/>
    <x v="6"/>
    <x v="15"/>
    <n v="114"/>
    <n v="3420"/>
    <n v="0.12"/>
    <n v="3009.6"/>
    <n v="410.40000000000009"/>
    <d v="2020-05-27T00:00:00"/>
    <d v="2020-05-27T00:00:00"/>
    <n v="256"/>
    <n v="6"/>
    <x v="8"/>
    <n v="0.06"/>
    <n v="180.57599999999999"/>
    <n v="4"/>
    <s v="Maio"/>
  </r>
  <r>
    <n v="257"/>
    <d v="2020-05-21T00:00:00"/>
    <x v="4"/>
    <n v="31"/>
    <x v="45"/>
    <x v="3"/>
    <x v="20"/>
    <n v="95"/>
    <n v="2185"/>
    <n v="0.13"/>
    <n v="1900.95"/>
    <n v="284.04999999999995"/>
    <d v="2020-05-31T00:00:00"/>
    <d v="2020-05-31T00:00:00"/>
    <n v="257"/>
    <n v="7"/>
    <x v="1"/>
    <n v="0.05"/>
    <n v="95.047500000000014"/>
    <n v="5"/>
    <s v="Maio"/>
  </r>
  <r>
    <n v="258"/>
    <d v="2020-05-22T00:00:00"/>
    <x v="4"/>
    <n v="53"/>
    <x v="48"/>
    <x v="6"/>
    <x v="5"/>
    <n v="92"/>
    <n v="1012"/>
    <n v="0.02"/>
    <n v="991.76"/>
    <n v="20.240000000000009"/>
    <d v="2020-05-27T00:00:00"/>
    <d v="2020-05-27T00:00:00"/>
    <n v="258"/>
    <n v="5"/>
    <x v="5"/>
    <n v="0.08"/>
    <n v="79.340800000000002"/>
    <n v="6"/>
    <s v="Maio"/>
  </r>
  <r>
    <n v="259"/>
    <d v="2020-05-23T00:00:00"/>
    <x v="4"/>
    <n v="75"/>
    <x v="8"/>
    <x v="3"/>
    <x v="15"/>
    <n v="108"/>
    <n v="3240"/>
    <n v="0.15"/>
    <n v="2754"/>
    <n v="486"/>
    <d v="2020-06-11T00:00:00"/>
    <d v="2020-06-11T00:00:00"/>
    <n v="259"/>
    <n v="6"/>
    <x v="9"/>
    <n v="0.1"/>
    <n v="275.40000000000003"/>
    <n v="7"/>
    <s v="Maio"/>
  </r>
  <r>
    <n v="260"/>
    <d v="2020-05-23T00:00:00"/>
    <x v="4"/>
    <n v="49"/>
    <x v="8"/>
    <x v="0"/>
    <x v="9"/>
    <n v="95"/>
    <n v="4275"/>
    <n v="0.01"/>
    <n v="4232.25"/>
    <n v="42.75"/>
    <d v="2020-06-05T00:00:00"/>
    <d v="2020-06-05T00:00:00"/>
    <n v="260"/>
    <n v="3"/>
    <x v="0"/>
    <n v="7.0000000000000007E-2"/>
    <n v="296.25750000000005"/>
    <n v="1"/>
    <s v="Maio"/>
  </r>
  <r>
    <n v="261"/>
    <d v="2020-05-23T00:00:00"/>
    <x v="4"/>
    <n v="48"/>
    <x v="22"/>
    <x v="3"/>
    <x v="21"/>
    <n v="113"/>
    <n v="1921"/>
    <n v="0.09"/>
    <n v="1748.1100000000001"/>
    <n v="172.88999999999987"/>
    <d v="2020-06-18T00:00:00"/>
    <d v="2020-06-18T00:00:00"/>
    <n v="261"/>
    <n v="2"/>
    <x v="9"/>
    <n v="7.0000000000000007E-2"/>
    <n v="122.36770000000001"/>
    <n v="2"/>
    <s v="Maio"/>
  </r>
  <r>
    <n v="262"/>
    <d v="2020-05-23T00:00:00"/>
    <x v="4"/>
    <n v="47"/>
    <x v="10"/>
    <x v="8"/>
    <x v="14"/>
    <n v="110"/>
    <n v="2750"/>
    <n v="0.04"/>
    <n v="2640"/>
    <n v="110"/>
    <d v="2020-05-29T00:00:00"/>
    <d v="2020-05-29T00:00:00"/>
    <n v="262"/>
    <n v="5"/>
    <x v="8"/>
    <n v="0.09"/>
    <n v="237.6"/>
    <n v="3"/>
    <s v="Maio"/>
  </r>
  <r>
    <n v="263"/>
    <d v="2020-05-24T00:00:00"/>
    <x v="4"/>
    <n v="6"/>
    <x v="48"/>
    <x v="2"/>
    <x v="16"/>
    <n v="111"/>
    <n v="2331"/>
    <n v="0.06"/>
    <n v="2191.14"/>
    <n v="139.86000000000013"/>
    <d v="2020-06-10T00:00:00"/>
    <d v="2020-06-10T00:00:00"/>
    <n v="263"/>
    <n v="1"/>
    <x v="5"/>
    <n v="0.06"/>
    <n v="131.46839999999997"/>
    <n v="4"/>
    <s v="Maio"/>
  </r>
  <r>
    <n v="264"/>
    <d v="2020-05-24T00:00:00"/>
    <x v="4"/>
    <n v="53"/>
    <x v="48"/>
    <x v="6"/>
    <x v="31"/>
    <n v="100"/>
    <n v="2600"/>
    <n v="0.15"/>
    <n v="2210"/>
    <n v="390"/>
    <d v="2020-06-03T00:00:00"/>
    <d v="2020-06-03T00:00:00"/>
    <n v="264"/>
    <n v="2"/>
    <x v="3"/>
    <n v="7.0000000000000007E-2"/>
    <n v="154.70000000000002"/>
    <n v="5"/>
    <s v="Maio"/>
  </r>
  <r>
    <n v="265"/>
    <d v="2020-05-24T00:00:00"/>
    <x v="4"/>
    <n v="62"/>
    <x v="8"/>
    <x v="2"/>
    <x v="17"/>
    <n v="96"/>
    <n v="3744"/>
    <n v="0.08"/>
    <n v="3444.48"/>
    <n v="299.52"/>
    <d v="2020-06-22T00:00:00"/>
    <d v="2020-06-22T00:00:00"/>
    <n v="265"/>
    <n v="7"/>
    <x v="0"/>
    <n v="0.1"/>
    <n v="344.44800000000004"/>
    <n v="6"/>
    <s v="Maio"/>
  </r>
  <r>
    <n v="266"/>
    <d v="2020-05-24T00:00:00"/>
    <x v="4"/>
    <n v="63"/>
    <x v="40"/>
    <x v="4"/>
    <x v="14"/>
    <n v="117"/>
    <n v="2925"/>
    <n v="0.14000000000000001"/>
    <n v="2515.5"/>
    <n v="409.5"/>
    <d v="2020-05-26T00:00:00"/>
    <d v="2020-05-26T00:00:00"/>
    <n v="266"/>
    <n v="1"/>
    <x v="2"/>
    <n v="0.09"/>
    <n v="226.39499999999998"/>
    <n v="7"/>
    <s v="Maio"/>
  </r>
  <r>
    <n v="267"/>
    <d v="2020-05-24T00:00:00"/>
    <x v="4"/>
    <n v="61"/>
    <x v="18"/>
    <x v="2"/>
    <x v="3"/>
    <n v="106"/>
    <n v="4664"/>
    <n v="0.03"/>
    <n v="4524.08"/>
    <n v="139.92000000000007"/>
    <d v="2020-05-30T00:00:00"/>
    <d v="2020-05-30T00:00:00"/>
    <n v="267"/>
    <n v="5"/>
    <x v="0"/>
    <n v="0.06"/>
    <n v="271.44479999999999"/>
    <n v="1"/>
    <s v="Maio"/>
  </r>
  <r>
    <n v="268"/>
    <d v="2020-05-24T00:00:00"/>
    <x v="4"/>
    <n v="6"/>
    <x v="48"/>
    <x v="2"/>
    <x v="19"/>
    <n v="100"/>
    <n v="2900"/>
    <n v="0.08"/>
    <n v="2668"/>
    <n v="232"/>
    <d v="2020-06-15T00:00:00"/>
    <d v="2020-06-15T00:00:00"/>
    <n v="268"/>
    <n v="2"/>
    <x v="5"/>
    <n v="0.1"/>
    <n v="266.8"/>
    <n v="2"/>
    <s v="Maio"/>
  </r>
  <r>
    <n v="269"/>
    <d v="2020-05-27T00:00:00"/>
    <x v="4"/>
    <n v="28"/>
    <x v="46"/>
    <x v="9"/>
    <x v="21"/>
    <n v="93"/>
    <n v="1581"/>
    <n v="0"/>
    <n v="1581"/>
    <n v="0"/>
    <d v="2020-06-18T00:00:00"/>
    <d v="2020-06-18T00:00:00"/>
    <n v="269"/>
    <n v="7"/>
    <x v="4"/>
    <n v="0.1"/>
    <n v="158.10000000000002"/>
    <n v="3"/>
    <s v="Maio"/>
  </r>
  <r>
    <n v="270"/>
    <d v="2020-05-27T00:00:00"/>
    <x v="4"/>
    <n v="35"/>
    <x v="8"/>
    <x v="6"/>
    <x v="20"/>
    <n v="96"/>
    <n v="2208"/>
    <n v="0.13"/>
    <n v="1920.96"/>
    <n v="287.03999999999996"/>
    <d v="2020-06-18T00:00:00"/>
    <d v="2020-06-18T00:00:00"/>
    <n v="270"/>
    <n v="7"/>
    <x v="9"/>
    <n v="0.09"/>
    <n v="172.88640000000001"/>
    <n v="4"/>
    <s v="Maio"/>
  </r>
  <r>
    <n v="271"/>
    <d v="2020-05-27T00:00:00"/>
    <x v="4"/>
    <n v="98"/>
    <x v="2"/>
    <x v="3"/>
    <x v="15"/>
    <n v="108"/>
    <n v="3240"/>
    <n v="0.04"/>
    <n v="3110.4"/>
    <n v="129.59999999999991"/>
    <d v="2020-06-06T00:00:00"/>
    <d v="2020-06-06T00:00:00"/>
    <n v="271"/>
    <n v="3"/>
    <x v="1"/>
    <n v="0.1"/>
    <n v="311.04000000000002"/>
    <n v="5"/>
    <s v="Maio"/>
  </r>
  <r>
    <n v="272"/>
    <d v="2020-05-27T00:00:00"/>
    <x v="4"/>
    <n v="77"/>
    <x v="26"/>
    <x v="3"/>
    <x v="22"/>
    <n v="97"/>
    <n v="2716"/>
    <n v="0.12"/>
    <n v="2390.08"/>
    <n v="325.92000000000007"/>
    <d v="2020-05-28T00:00:00"/>
    <d v="2020-05-28T00:00:00"/>
    <n v="272"/>
    <n v="5"/>
    <x v="6"/>
    <n v="0.06"/>
    <n v="143.40479999999999"/>
    <n v="6"/>
    <s v="Maio"/>
  </r>
  <r>
    <n v="273"/>
    <d v="2020-05-28T00:00:00"/>
    <x v="4"/>
    <n v="73"/>
    <x v="8"/>
    <x v="0"/>
    <x v="4"/>
    <n v="102"/>
    <n v="2448"/>
    <n v="0.09"/>
    <n v="2227.6799999999998"/>
    <n v="220.32000000000016"/>
    <d v="2020-06-22T00:00:00"/>
    <d v="2020-06-22T00:00:00"/>
    <n v="273"/>
    <n v="4"/>
    <x v="1"/>
    <n v="0.06"/>
    <n v="133.66079999999999"/>
    <n v="7"/>
    <s v="Maio"/>
  </r>
  <r>
    <n v="274"/>
    <d v="2020-05-29T00:00:00"/>
    <x v="4"/>
    <n v="94"/>
    <x v="15"/>
    <x v="3"/>
    <x v="1"/>
    <n v="110"/>
    <n v="5170"/>
    <n v="0.06"/>
    <n v="4859.8"/>
    <n v="310.19999999999982"/>
    <d v="2020-06-06T00:00:00"/>
    <d v="2020-06-06T00:00:00"/>
    <n v="274"/>
    <n v="4"/>
    <x v="5"/>
    <n v="7.0000000000000007E-2"/>
    <n v="340.18600000000004"/>
    <n v="1"/>
    <s v="Maio"/>
  </r>
  <r>
    <n v="275"/>
    <d v="2020-05-29T00:00:00"/>
    <x v="4"/>
    <n v="42"/>
    <x v="52"/>
    <x v="5"/>
    <x v="8"/>
    <n v="119"/>
    <n v="2618"/>
    <n v="0.05"/>
    <n v="2487.1"/>
    <n v="130.90000000000009"/>
    <d v="2020-06-21T00:00:00"/>
    <d v="2020-06-21T00:00:00"/>
    <n v="275"/>
    <n v="3"/>
    <x v="0"/>
    <n v="0.09"/>
    <n v="223.83899999999997"/>
    <n v="2"/>
    <s v="Maio"/>
  </r>
  <r>
    <n v="276"/>
    <d v="2020-05-29T00:00:00"/>
    <x v="4"/>
    <n v="1"/>
    <x v="53"/>
    <x v="7"/>
    <x v="1"/>
    <n v="99"/>
    <n v="4653"/>
    <n v="0.12"/>
    <n v="4094.64"/>
    <n v="558.36000000000013"/>
    <d v="2020-06-07T00:00:00"/>
    <d v="2020-06-07T00:00:00"/>
    <n v="276"/>
    <n v="1"/>
    <x v="6"/>
    <n v="0.06"/>
    <n v="245.67839999999998"/>
    <n v="3"/>
    <s v="Maio"/>
  </r>
  <r>
    <n v="277"/>
    <d v="2020-05-30T00:00:00"/>
    <x v="4"/>
    <n v="63"/>
    <x v="40"/>
    <x v="1"/>
    <x v="26"/>
    <n v="92"/>
    <n v="1472"/>
    <n v="0.03"/>
    <n v="1427.84"/>
    <n v="44.160000000000082"/>
    <d v="2020-06-28T00:00:00"/>
    <d v="2020-06-28T00:00:00"/>
    <n v="277"/>
    <n v="5"/>
    <x v="5"/>
    <n v="0.1"/>
    <n v="142.78399999999999"/>
    <n v="4"/>
    <s v="Maio"/>
  </r>
  <r>
    <n v="278"/>
    <d v="2020-05-30T00:00:00"/>
    <x v="4"/>
    <n v="37"/>
    <x v="14"/>
    <x v="1"/>
    <x v="38"/>
    <n v="97"/>
    <n v="3880"/>
    <n v="0.04"/>
    <n v="3724.8"/>
    <n v="155.19999999999982"/>
    <d v="2020-06-06T00:00:00"/>
    <d v="2020-06-06T00:00:00"/>
    <n v="278"/>
    <n v="2"/>
    <x v="3"/>
    <n v="0.05"/>
    <n v="186.24"/>
    <n v="5"/>
    <s v="Maio"/>
  </r>
  <r>
    <n v="279"/>
    <d v="2020-05-30T00:00:00"/>
    <x v="4"/>
    <n v="10"/>
    <x v="49"/>
    <x v="9"/>
    <x v="21"/>
    <n v="118"/>
    <n v="2006"/>
    <n v="0.15"/>
    <n v="1705.1"/>
    <n v="300.90000000000009"/>
    <d v="2020-06-03T00:00:00"/>
    <d v="2020-06-03T00:00:00"/>
    <n v="279"/>
    <n v="3"/>
    <x v="8"/>
    <n v="0.09"/>
    <n v="153.45899999999997"/>
    <n v="6"/>
    <s v="Maio"/>
  </r>
  <r>
    <n v="280"/>
    <d v="2020-05-31T00:00:00"/>
    <x v="4"/>
    <n v="4"/>
    <x v="46"/>
    <x v="3"/>
    <x v="12"/>
    <n v="104"/>
    <n v="1872"/>
    <n v="0.13"/>
    <n v="1628.6399999999999"/>
    <n v="243.36000000000013"/>
    <d v="2020-06-26T00:00:00"/>
    <d v="2020-06-26T00:00:00"/>
    <n v="280"/>
    <n v="5"/>
    <x v="6"/>
    <n v="0.05"/>
    <n v="81.432000000000002"/>
    <n v="7"/>
    <s v="Maio"/>
  </r>
  <r>
    <n v="281"/>
    <d v="2020-05-31T00:00:00"/>
    <x v="4"/>
    <n v="59"/>
    <x v="57"/>
    <x v="3"/>
    <x v="28"/>
    <n v="110"/>
    <n v="4180"/>
    <n v="0.13"/>
    <n v="3636.6"/>
    <n v="543.40000000000009"/>
    <d v="2020-06-11T00:00:00"/>
    <d v="2020-06-11T00:00:00"/>
    <n v="281"/>
    <n v="7"/>
    <x v="9"/>
    <n v="0.08"/>
    <n v="290.928"/>
    <n v="1"/>
    <s v="Maio"/>
  </r>
  <r>
    <n v="282"/>
    <d v="2020-06-01T00:00:00"/>
    <x v="5"/>
    <n v="55"/>
    <x v="12"/>
    <x v="8"/>
    <x v="15"/>
    <n v="108"/>
    <n v="3240"/>
    <n v="0"/>
    <n v="3240"/>
    <n v="0"/>
    <d v="2020-06-15T00:00:00"/>
    <d v="2020-06-15T00:00:00"/>
    <n v="282"/>
    <n v="3"/>
    <x v="5"/>
    <n v="0.05"/>
    <n v="162"/>
    <n v="2"/>
    <s v="Junho"/>
  </r>
  <r>
    <n v="283"/>
    <d v="2020-06-01T00:00:00"/>
    <x v="5"/>
    <n v="18"/>
    <x v="43"/>
    <x v="2"/>
    <x v="32"/>
    <n v="102"/>
    <n v="3570"/>
    <n v="0.03"/>
    <n v="3462.9"/>
    <n v="107.09999999999991"/>
    <d v="2020-06-22T00:00:00"/>
    <d v="2020-06-22T00:00:00"/>
    <n v="283"/>
    <n v="7"/>
    <x v="9"/>
    <n v="0.08"/>
    <n v="277.03200000000004"/>
    <n v="3"/>
    <s v="Junho"/>
  </r>
  <r>
    <n v="284"/>
    <d v="2020-06-01T00:00:00"/>
    <x v="5"/>
    <n v="98"/>
    <x v="2"/>
    <x v="5"/>
    <x v="12"/>
    <n v="94"/>
    <n v="1692"/>
    <n v="0.05"/>
    <n v="1607.4"/>
    <n v="84.599999999999909"/>
    <d v="2020-06-14T00:00:00"/>
    <d v="2020-06-14T00:00:00"/>
    <n v="284"/>
    <n v="3"/>
    <x v="2"/>
    <n v="0.1"/>
    <n v="160.74"/>
    <n v="4"/>
    <s v="Junho"/>
  </r>
  <r>
    <n v="285"/>
    <d v="2020-06-02T00:00:00"/>
    <x v="5"/>
    <n v="83"/>
    <x v="60"/>
    <x v="2"/>
    <x v="23"/>
    <n v="117"/>
    <n v="2223"/>
    <n v="0.13"/>
    <n v="1934.01"/>
    <n v="288.99"/>
    <d v="2020-06-15T00:00:00"/>
    <d v="2020-06-15T00:00:00"/>
    <n v="285"/>
    <n v="3"/>
    <x v="0"/>
    <n v="0.08"/>
    <n v="154.7208"/>
    <n v="5"/>
    <s v="Junho"/>
  </r>
  <r>
    <n v="286"/>
    <d v="2020-06-04T00:00:00"/>
    <x v="5"/>
    <n v="75"/>
    <x v="8"/>
    <x v="1"/>
    <x v="21"/>
    <n v="118"/>
    <n v="2006"/>
    <n v="0.04"/>
    <n v="1925.76"/>
    <n v="80.240000000000009"/>
    <d v="2020-07-01T00:00:00"/>
    <d v="2020-07-01T00:00:00"/>
    <n v="286"/>
    <n v="7"/>
    <x v="9"/>
    <n v="7.0000000000000007E-2"/>
    <n v="134.8032"/>
    <n v="6"/>
    <s v="Junho"/>
  </r>
  <r>
    <n v="287"/>
    <d v="2020-06-04T00:00:00"/>
    <x v="5"/>
    <n v="70"/>
    <x v="28"/>
    <x v="0"/>
    <x v="8"/>
    <n v="115"/>
    <n v="2530"/>
    <n v="0.06"/>
    <n v="2378.1999999999998"/>
    <n v="151.80000000000018"/>
    <d v="2020-06-22T00:00:00"/>
    <d v="2020-06-22T00:00:00"/>
    <n v="287"/>
    <n v="6"/>
    <x v="2"/>
    <n v="0.06"/>
    <n v="142.69199999999998"/>
    <n v="7"/>
    <s v="Junho"/>
  </r>
  <r>
    <n v="288"/>
    <d v="2020-06-05T00:00:00"/>
    <x v="5"/>
    <n v="48"/>
    <x v="22"/>
    <x v="3"/>
    <x v="26"/>
    <n v="112"/>
    <n v="1792"/>
    <n v="0.04"/>
    <n v="1720.32"/>
    <n v="71.680000000000064"/>
    <d v="2020-06-27T00:00:00"/>
    <d v="2020-06-27T00:00:00"/>
    <n v="288"/>
    <n v="6"/>
    <x v="5"/>
    <n v="0.08"/>
    <n v="137.62559999999999"/>
    <n v="1"/>
    <s v="Junho"/>
  </r>
  <r>
    <n v="289"/>
    <d v="2020-06-06T00:00:00"/>
    <x v="5"/>
    <n v="25"/>
    <x v="24"/>
    <x v="9"/>
    <x v="0"/>
    <n v="99"/>
    <n v="3663"/>
    <n v="0.03"/>
    <n v="3553.11"/>
    <n v="109.88999999999987"/>
    <d v="2020-07-03T00:00:00"/>
    <d v="2020-07-03T00:00:00"/>
    <n v="289"/>
    <n v="6"/>
    <x v="9"/>
    <n v="7.0000000000000007E-2"/>
    <n v="248.71770000000004"/>
    <n v="2"/>
    <s v="Junho"/>
  </r>
  <r>
    <n v="290"/>
    <d v="2020-06-06T00:00:00"/>
    <x v="5"/>
    <n v="62"/>
    <x v="8"/>
    <x v="0"/>
    <x v="19"/>
    <n v="120"/>
    <n v="3480"/>
    <n v="7.0000000000000007E-2"/>
    <n v="3236.4"/>
    <n v="243.59999999999991"/>
    <d v="2020-06-13T00:00:00"/>
    <d v="2020-06-13T00:00:00"/>
    <n v="290"/>
    <n v="5"/>
    <x v="4"/>
    <n v="0.1"/>
    <n v="323.64000000000004"/>
    <n v="3"/>
    <s v="Junho"/>
  </r>
  <r>
    <n v="291"/>
    <d v="2020-06-06T00:00:00"/>
    <x v="5"/>
    <n v="89"/>
    <x v="15"/>
    <x v="8"/>
    <x v="31"/>
    <n v="105"/>
    <n v="2730"/>
    <n v="0.05"/>
    <n v="2593.5"/>
    <n v="136.5"/>
    <d v="2020-07-06T00:00:00"/>
    <m/>
    <n v="291"/>
    <n v="1"/>
    <x v="1"/>
    <n v="0.1"/>
    <n v="259.35000000000002"/>
    <n v="4"/>
    <s v="Junho"/>
  </r>
  <r>
    <n v="292"/>
    <d v="2020-06-06T00:00:00"/>
    <x v="5"/>
    <n v="16"/>
    <x v="3"/>
    <x v="2"/>
    <x v="39"/>
    <n v="119"/>
    <n v="4284"/>
    <n v="0.02"/>
    <n v="4198.32"/>
    <n v="85.680000000000291"/>
    <d v="2020-06-27T00:00:00"/>
    <d v="2020-06-27T00:00:00"/>
    <n v="292"/>
    <n v="6"/>
    <x v="6"/>
    <n v="0.05"/>
    <n v="209.916"/>
    <n v="5"/>
    <s v="Junho"/>
  </r>
  <r>
    <n v="293"/>
    <d v="2020-06-07T00:00:00"/>
    <x v="5"/>
    <n v="85"/>
    <x v="19"/>
    <x v="6"/>
    <x v="27"/>
    <n v="117"/>
    <n v="5382"/>
    <n v="0.14000000000000001"/>
    <n v="4628.5200000000004"/>
    <n v="753.47999999999956"/>
    <d v="2020-06-28T00:00:00"/>
    <d v="2020-06-28T00:00:00"/>
    <n v="293"/>
    <n v="1"/>
    <x v="4"/>
    <n v="0.05"/>
    <n v="231.42600000000004"/>
    <n v="6"/>
    <s v="Junho"/>
  </r>
  <r>
    <n v="294"/>
    <d v="2020-06-07T00:00:00"/>
    <x v="5"/>
    <n v="90"/>
    <x v="21"/>
    <x v="6"/>
    <x v="19"/>
    <n v="101"/>
    <n v="2929"/>
    <n v="0.11"/>
    <n v="2606.81"/>
    <n v="322.19000000000005"/>
    <d v="2020-07-06T00:00:00"/>
    <d v="2020-07-06T00:00:00"/>
    <n v="294"/>
    <n v="3"/>
    <x v="4"/>
    <n v="7.0000000000000007E-2"/>
    <n v="182.47670000000002"/>
    <n v="7"/>
    <s v="Junho"/>
  </r>
  <r>
    <n v="295"/>
    <d v="2020-06-09T00:00:00"/>
    <x v="5"/>
    <n v="36"/>
    <x v="30"/>
    <x v="3"/>
    <x v="12"/>
    <n v="95"/>
    <n v="1710"/>
    <n v="0.12"/>
    <n v="1504.8"/>
    <n v="205.20000000000005"/>
    <d v="2020-07-04T00:00:00"/>
    <d v="2020-07-04T00:00:00"/>
    <n v="295"/>
    <n v="6"/>
    <x v="0"/>
    <n v="0.1"/>
    <n v="150.47999999999999"/>
    <n v="1"/>
    <s v="Junho"/>
  </r>
  <r>
    <n v="296"/>
    <d v="2020-06-10T00:00:00"/>
    <x v="5"/>
    <n v="79"/>
    <x v="5"/>
    <x v="2"/>
    <x v="25"/>
    <n v="112"/>
    <n v="4592"/>
    <n v="0.1"/>
    <n v="4132.8"/>
    <n v="459.19999999999982"/>
    <d v="2020-07-07T00:00:00"/>
    <d v="2020-07-07T00:00:00"/>
    <n v="296"/>
    <n v="1"/>
    <x v="0"/>
    <n v="0.1"/>
    <n v="413.28000000000003"/>
    <n v="2"/>
    <s v="Junho"/>
  </r>
  <r>
    <n v="297"/>
    <d v="2020-06-10T00:00:00"/>
    <x v="5"/>
    <n v="95"/>
    <x v="8"/>
    <x v="4"/>
    <x v="0"/>
    <n v="96"/>
    <n v="3552"/>
    <n v="0.1"/>
    <n v="3196.8"/>
    <n v="355.19999999999982"/>
    <d v="2020-06-22T00:00:00"/>
    <d v="2020-06-22T00:00:00"/>
    <n v="297"/>
    <n v="7"/>
    <x v="0"/>
    <n v="0.06"/>
    <n v="191.80799999999999"/>
    <n v="3"/>
    <s v="Junho"/>
  </r>
  <r>
    <n v="298"/>
    <d v="2020-06-10T00:00:00"/>
    <x v="5"/>
    <n v="7"/>
    <x v="62"/>
    <x v="6"/>
    <x v="40"/>
    <n v="110"/>
    <n v="1320"/>
    <n v="0.1"/>
    <n v="1188"/>
    <n v="132"/>
    <d v="2020-06-14T00:00:00"/>
    <d v="2020-06-14T00:00:00"/>
    <n v="298"/>
    <n v="6"/>
    <x v="5"/>
    <n v="7.0000000000000007E-2"/>
    <n v="83.160000000000011"/>
    <n v="4"/>
    <s v="Junho"/>
  </r>
  <r>
    <n v="299"/>
    <d v="2020-06-11T00:00:00"/>
    <x v="5"/>
    <n v="30"/>
    <x v="56"/>
    <x v="1"/>
    <x v="21"/>
    <n v="104"/>
    <n v="1768"/>
    <n v="0.09"/>
    <n v="1608.88"/>
    <n v="159.11999999999989"/>
    <d v="2020-07-09T00:00:00"/>
    <d v="2020-07-09T00:00:00"/>
    <n v="299"/>
    <n v="5"/>
    <x v="3"/>
    <n v="0.05"/>
    <n v="80.444000000000017"/>
    <n v="5"/>
    <s v="Junho"/>
  </r>
  <r>
    <n v="300"/>
    <d v="2020-06-11T00:00:00"/>
    <x v="5"/>
    <n v="51"/>
    <x v="17"/>
    <x v="5"/>
    <x v="9"/>
    <n v="109"/>
    <n v="4905"/>
    <n v="0.1"/>
    <n v="4414.5"/>
    <n v="490.5"/>
    <d v="2020-06-18T00:00:00"/>
    <d v="2020-06-18T00:00:00"/>
    <n v="300"/>
    <n v="2"/>
    <x v="7"/>
    <n v="0.06"/>
    <n v="264.87"/>
    <n v="6"/>
    <s v="Junho"/>
  </r>
  <r>
    <n v="301"/>
    <d v="2020-06-12T00:00:00"/>
    <x v="5"/>
    <n v="78"/>
    <x v="7"/>
    <x v="4"/>
    <x v="0"/>
    <n v="101"/>
    <n v="3737"/>
    <n v="0.14000000000000001"/>
    <n v="3213.8199999999997"/>
    <n v="523.18000000000029"/>
    <d v="2020-06-19T00:00:00"/>
    <d v="2020-06-19T00:00:00"/>
    <n v="301"/>
    <n v="1"/>
    <x v="2"/>
    <n v="0.09"/>
    <n v="289.24379999999996"/>
    <n v="7"/>
    <s v="Junho"/>
  </r>
  <r>
    <n v="302"/>
    <d v="2020-06-12T00:00:00"/>
    <x v="5"/>
    <n v="5"/>
    <x v="8"/>
    <x v="9"/>
    <x v="29"/>
    <n v="107"/>
    <n v="5136"/>
    <n v="0.04"/>
    <n v="4930.5600000000004"/>
    <n v="205.4399999999996"/>
    <d v="2020-06-18T00:00:00"/>
    <m/>
    <n v="302"/>
    <n v="1"/>
    <x v="0"/>
    <n v="0.05"/>
    <n v="246.52800000000002"/>
    <n v="1"/>
    <s v="Junho"/>
  </r>
  <r>
    <n v="303"/>
    <d v="2020-06-12T00:00:00"/>
    <x v="5"/>
    <n v="33"/>
    <x v="36"/>
    <x v="8"/>
    <x v="22"/>
    <n v="104"/>
    <n v="2912"/>
    <n v="0.09"/>
    <n v="2649.92"/>
    <n v="262.07999999999993"/>
    <d v="2020-06-27T00:00:00"/>
    <d v="2020-06-27T00:00:00"/>
    <n v="303"/>
    <n v="4"/>
    <x v="4"/>
    <n v="0.1"/>
    <n v="264.99200000000002"/>
    <n v="2"/>
    <s v="Junho"/>
  </r>
  <r>
    <n v="304"/>
    <d v="2020-06-14T00:00:00"/>
    <x v="5"/>
    <n v="6"/>
    <x v="48"/>
    <x v="7"/>
    <x v="9"/>
    <n v="107"/>
    <n v="4815"/>
    <n v="0.06"/>
    <n v="4526.1000000000004"/>
    <n v="288.89999999999964"/>
    <d v="2020-06-27T00:00:00"/>
    <d v="2020-06-27T00:00:00"/>
    <n v="304"/>
    <n v="7"/>
    <x v="7"/>
    <n v="0.1"/>
    <n v="452.61000000000007"/>
    <n v="3"/>
    <s v="Junho"/>
  </r>
  <r>
    <n v="305"/>
    <d v="2020-06-14T00:00:00"/>
    <x v="5"/>
    <n v="4"/>
    <x v="46"/>
    <x v="2"/>
    <x v="33"/>
    <n v="110"/>
    <n v="1650"/>
    <n v="0.03"/>
    <n v="1600.5"/>
    <n v="49.5"/>
    <d v="2020-07-05T00:00:00"/>
    <d v="2020-07-05T00:00:00"/>
    <n v="305"/>
    <n v="2"/>
    <x v="2"/>
    <n v="0.08"/>
    <n v="128.04"/>
    <n v="4"/>
    <s v="Junho"/>
  </r>
  <r>
    <n v="306"/>
    <d v="2020-06-14T00:00:00"/>
    <x v="5"/>
    <n v="11"/>
    <x v="21"/>
    <x v="6"/>
    <x v="12"/>
    <n v="111"/>
    <n v="1998"/>
    <n v="0.04"/>
    <n v="1918.08"/>
    <n v="79.920000000000073"/>
    <d v="2020-07-07T00:00:00"/>
    <d v="2020-07-07T00:00:00"/>
    <n v="306"/>
    <n v="1"/>
    <x v="4"/>
    <n v="0.09"/>
    <n v="172.62719999999999"/>
    <n v="5"/>
    <s v="Junho"/>
  </r>
  <r>
    <n v="307"/>
    <d v="2020-06-15T00:00:00"/>
    <x v="5"/>
    <n v="72"/>
    <x v="8"/>
    <x v="1"/>
    <x v="15"/>
    <n v="96"/>
    <n v="2880"/>
    <n v="0.03"/>
    <n v="2793.6"/>
    <n v="86.400000000000091"/>
    <d v="2020-07-10T00:00:00"/>
    <d v="2020-07-10T00:00:00"/>
    <n v="307"/>
    <n v="1"/>
    <x v="1"/>
    <n v="0.1"/>
    <n v="279.36"/>
    <n v="6"/>
    <s v="Junho"/>
  </r>
  <r>
    <n v="308"/>
    <d v="2020-06-15T00:00:00"/>
    <x v="5"/>
    <n v="86"/>
    <x v="50"/>
    <x v="6"/>
    <x v="22"/>
    <n v="110"/>
    <n v="3080"/>
    <n v="7.0000000000000007E-2"/>
    <n v="2864.4"/>
    <n v="215.59999999999991"/>
    <d v="2020-07-12T00:00:00"/>
    <d v="2020-07-12T00:00:00"/>
    <n v="308"/>
    <n v="4"/>
    <x v="7"/>
    <n v="0.09"/>
    <n v="257.79599999999999"/>
    <n v="7"/>
    <s v="Junho"/>
  </r>
  <r>
    <n v="309"/>
    <d v="2020-06-16T00:00:00"/>
    <x v="5"/>
    <n v="46"/>
    <x v="54"/>
    <x v="1"/>
    <x v="31"/>
    <n v="101"/>
    <n v="2626"/>
    <n v="7.0000000000000007E-2"/>
    <n v="2442.1799999999998"/>
    <n v="183.82000000000016"/>
    <d v="2020-07-04T00:00:00"/>
    <d v="2020-07-04T00:00:00"/>
    <n v="309"/>
    <n v="2"/>
    <x v="7"/>
    <n v="0.1"/>
    <n v="244.21799999999999"/>
    <n v="1"/>
    <s v="Junho"/>
  </r>
  <r>
    <n v="310"/>
    <d v="2020-06-16T00:00:00"/>
    <x v="5"/>
    <n v="52"/>
    <x v="1"/>
    <x v="0"/>
    <x v="25"/>
    <n v="98"/>
    <n v="4018"/>
    <n v="0.14000000000000001"/>
    <n v="3455.48"/>
    <n v="562.52"/>
    <d v="2020-07-09T00:00:00"/>
    <d v="2020-07-09T00:00:00"/>
    <n v="310"/>
    <n v="2"/>
    <x v="0"/>
    <n v="0.08"/>
    <n v="276.4384"/>
    <n v="2"/>
    <s v="Junho"/>
  </r>
  <r>
    <n v="311"/>
    <d v="2020-06-17T00:00:00"/>
    <x v="5"/>
    <n v="31"/>
    <x v="45"/>
    <x v="7"/>
    <x v="37"/>
    <n v="109"/>
    <n v="3488"/>
    <n v="0.08"/>
    <n v="3208.96"/>
    <n v="279.03999999999996"/>
    <d v="2020-06-22T00:00:00"/>
    <d v="2020-06-22T00:00:00"/>
    <n v="311"/>
    <n v="4"/>
    <x v="0"/>
    <n v="7.0000000000000007E-2"/>
    <n v="224.62720000000002"/>
    <n v="3"/>
    <s v="Junho"/>
  </r>
  <r>
    <n v="312"/>
    <d v="2020-06-17T00:00:00"/>
    <x v="5"/>
    <n v="57"/>
    <x v="49"/>
    <x v="1"/>
    <x v="26"/>
    <n v="103"/>
    <n v="1648"/>
    <n v="0.03"/>
    <n v="1598.56"/>
    <n v="49.440000000000055"/>
    <d v="2020-06-18T00:00:00"/>
    <d v="2020-06-18T00:00:00"/>
    <n v="312"/>
    <n v="2"/>
    <x v="0"/>
    <n v="7.0000000000000007E-2"/>
    <n v="111.89920000000001"/>
    <n v="4"/>
    <s v="Junho"/>
  </r>
  <r>
    <n v="313"/>
    <d v="2020-06-17T00:00:00"/>
    <x v="5"/>
    <n v="18"/>
    <x v="43"/>
    <x v="6"/>
    <x v="24"/>
    <n v="97"/>
    <n v="4850"/>
    <n v="0.02"/>
    <n v="4753"/>
    <n v="97"/>
    <d v="2020-07-01T00:00:00"/>
    <d v="2020-07-01T00:00:00"/>
    <n v="313"/>
    <n v="7"/>
    <x v="1"/>
    <n v="0.08"/>
    <n v="380.24"/>
    <n v="5"/>
    <s v="Junho"/>
  </r>
  <r>
    <n v="314"/>
    <d v="2020-06-17T00:00:00"/>
    <x v="5"/>
    <n v="18"/>
    <x v="43"/>
    <x v="9"/>
    <x v="12"/>
    <n v="100"/>
    <n v="1800"/>
    <n v="0.14000000000000001"/>
    <n v="1548"/>
    <n v="252"/>
    <d v="2020-06-29T00:00:00"/>
    <d v="2020-06-29T00:00:00"/>
    <n v="314"/>
    <n v="2"/>
    <x v="3"/>
    <n v="7.0000000000000007E-2"/>
    <n v="108.36000000000001"/>
    <n v="6"/>
    <s v="Junho"/>
  </r>
  <r>
    <n v="315"/>
    <d v="2020-06-18T00:00:00"/>
    <x v="5"/>
    <n v="6"/>
    <x v="48"/>
    <x v="9"/>
    <x v="1"/>
    <n v="108"/>
    <n v="5076"/>
    <n v="0.05"/>
    <n v="4822.2"/>
    <n v="253.80000000000018"/>
    <d v="2020-06-20T00:00:00"/>
    <d v="2020-06-20T00:00:00"/>
    <n v="315"/>
    <n v="5"/>
    <x v="7"/>
    <n v="0.05"/>
    <n v="241.11"/>
    <n v="7"/>
    <s v="Junho"/>
  </r>
  <r>
    <n v="316"/>
    <d v="2020-06-18T00:00:00"/>
    <x v="5"/>
    <n v="74"/>
    <x v="8"/>
    <x v="0"/>
    <x v="2"/>
    <n v="98"/>
    <n v="3332"/>
    <n v="0.02"/>
    <n v="3265.36"/>
    <n v="66.639999999999873"/>
    <d v="2020-07-09T00:00:00"/>
    <d v="2020-07-09T00:00:00"/>
    <n v="316"/>
    <n v="2"/>
    <x v="8"/>
    <n v="0.1"/>
    <n v="326.53600000000006"/>
    <n v="1"/>
    <s v="Junho"/>
  </r>
  <r>
    <n v="317"/>
    <d v="2020-06-18T00:00:00"/>
    <x v="5"/>
    <n v="32"/>
    <x v="37"/>
    <x v="1"/>
    <x v="31"/>
    <n v="112"/>
    <n v="2912"/>
    <n v="0.12"/>
    <n v="2562.56"/>
    <n v="349.44000000000005"/>
    <d v="2020-06-25T00:00:00"/>
    <d v="2020-06-25T00:00:00"/>
    <n v="317"/>
    <n v="4"/>
    <x v="6"/>
    <n v="0.09"/>
    <n v="230.63039999999998"/>
    <n v="2"/>
    <s v="Junho"/>
  </r>
  <r>
    <n v="318"/>
    <d v="2020-06-19T00:00:00"/>
    <x v="5"/>
    <n v="84"/>
    <x v="12"/>
    <x v="0"/>
    <x v="27"/>
    <n v="107"/>
    <n v="4922"/>
    <n v="0.02"/>
    <n v="4823.5600000000004"/>
    <n v="98.4399999999996"/>
    <d v="2020-07-11T00:00:00"/>
    <d v="2020-07-11T00:00:00"/>
    <n v="318"/>
    <n v="3"/>
    <x v="6"/>
    <n v="0.05"/>
    <n v="241.17800000000003"/>
    <n v="3"/>
    <s v="Junho"/>
  </r>
  <r>
    <n v="319"/>
    <d v="2020-06-19T00:00:00"/>
    <x v="5"/>
    <n v="41"/>
    <x v="29"/>
    <x v="9"/>
    <x v="14"/>
    <n v="94"/>
    <n v="2350"/>
    <n v="0.15"/>
    <n v="1997.5"/>
    <n v="352.5"/>
    <d v="2020-07-12T00:00:00"/>
    <d v="2020-07-12T00:00:00"/>
    <n v="319"/>
    <n v="4"/>
    <x v="5"/>
    <n v="0.05"/>
    <n v="99.875"/>
    <n v="4"/>
    <s v="Junho"/>
  </r>
  <r>
    <n v="320"/>
    <d v="2020-06-19T00:00:00"/>
    <x v="5"/>
    <n v="7"/>
    <x v="62"/>
    <x v="8"/>
    <x v="2"/>
    <n v="114"/>
    <n v="3876"/>
    <n v="0.06"/>
    <n v="3643.44"/>
    <n v="232.55999999999995"/>
    <d v="2020-06-29T00:00:00"/>
    <d v="2020-06-29T00:00:00"/>
    <n v="320"/>
    <n v="5"/>
    <x v="2"/>
    <n v="0.08"/>
    <n v="291.47520000000003"/>
    <n v="5"/>
    <s v="Junho"/>
  </r>
  <r>
    <n v="321"/>
    <d v="2020-06-19T00:00:00"/>
    <x v="5"/>
    <n v="16"/>
    <x v="3"/>
    <x v="1"/>
    <x v="8"/>
    <n v="115"/>
    <n v="2530"/>
    <n v="0.15"/>
    <n v="2150.5"/>
    <n v="379.5"/>
    <d v="2020-07-08T00:00:00"/>
    <d v="2020-07-08T00:00:00"/>
    <n v="321"/>
    <n v="2"/>
    <x v="7"/>
    <n v="0.05"/>
    <n v="107.52500000000001"/>
    <n v="6"/>
    <s v="Junho"/>
  </r>
  <r>
    <n v="322"/>
    <d v="2020-06-20T00:00:00"/>
    <x v="5"/>
    <n v="31"/>
    <x v="45"/>
    <x v="8"/>
    <x v="8"/>
    <n v="92"/>
    <n v="2024"/>
    <n v="0.14000000000000001"/>
    <n v="1740.6399999999999"/>
    <n v="283.36000000000013"/>
    <d v="2020-06-26T00:00:00"/>
    <d v="2020-06-26T00:00:00"/>
    <n v="322"/>
    <n v="1"/>
    <x v="5"/>
    <n v="7.0000000000000007E-2"/>
    <n v="121.84480000000001"/>
    <n v="7"/>
    <s v="Junho"/>
  </r>
  <r>
    <n v="323"/>
    <d v="2020-06-20T00:00:00"/>
    <x v="5"/>
    <n v="32"/>
    <x v="37"/>
    <x v="1"/>
    <x v="10"/>
    <n v="94"/>
    <n v="1316"/>
    <n v="0.11"/>
    <n v="1171.24"/>
    <n v="144.76"/>
    <d v="2020-06-21T00:00:00"/>
    <d v="2020-06-21T00:00:00"/>
    <n v="323"/>
    <n v="7"/>
    <x v="9"/>
    <n v="0.08"/>
    <n v="93.699200000000005"/>
    <n v="1"/>
    <s v="Junho"/>
  </r>
  <r>
    <n v="324"/>
    <d v="2020-06-21T00:00:00"/>
    <x v="5"/>
    <n v="98"/>
    <x v="2"/>
    <x v="6"/>
    <x v="2"/>
    <n v="108"/>
    <n v="3672"/>
    <n v="0.12"/>
    <n v="3231.36"/>
    <n v="440.63999999999987"/>
    <d v="2020-06-26T00:00:00"/>
    <d v="2020-06-26T00:00:00"/>
    <n v="324"/>
    <n v="6"/>
    <x v="3"/>
    <n v="0.1"/>
    <n v="323.13600000000002"/>
    <n v="2"/>
    <s v="Junho"/>
  </r>
  <r>
    <n v="325"/>
    <d v="2020-06-22T00:00:00"/>
    <x v="5"/>
    <n v="60"/>
    <x v="42"/>
    <x v="4"/>
    <x v="16"/>
    <n v="110"/>
    <n v="2310"/>
    <n v="0.02"/>
    <n v="2263.8000000000002"/>
    <n v="46.199999999999818"/>
    <d v="2020-06-26T00:00:00"/>
    <d v="2020-06-26T00:00:00"/>
    <n v="325"/>
    <n v="5"/>
    <x v="7"/>
    <n v="0.1"/>
    <n v="226.38000000000002"/>
    <n v="3"/>
    <s v="Junho"/>
  </r>
  <r>
    <n v="326"/>
    <d v="2020-06-22T00:00:00"/>
    <x v="5"/>
    <n v="43"/>
    <x v="59"/>
    <x v="3"/>
    <x v="35"/>
    <n v="109"/>
    <n v="4687"/>
    <n v="0.06"/>
    <n v="4405.78"/>
    <n v="281.22000000000025"/>
    <d v="2020-06-26T00:00:00"/>
    <d v="2020-06-26T00:00:00"/>
    <n v="326"/>
    <n v="6"/>
    <x v="4"/>
    <n v="0.08"/>
    <n v="352.4624"/>
    <n v="4"/>
    <s v="Junho"/>
  </r>
  <r>
    <n v="327"/>
    <d v="2020-06-22T00:00:00"/>
    <x v="5"/>
    <n v="3"/>
    <x v="51"/>
    <x v="2"/>
    <x v="1"/>
    <n v="92"/>
    <n v="4324"/>
    <n v="0.09"/>
    <n v="3934.84"/>
    <n v="389.15999999999985"/>
    <d v="2020-07-06T00:00:00"/>
    <d v="2020-07-06T00:00:00"/>
    <n v="327"/>
    <n v="6"/>
    <x v="0"/>
    <n v="0.06"/>
    <n v="236.09039999999999"/>
    <n v="5"/>
    <s v="Junho"/>
  </r>
  <r>
    <n v="328"/>
    <d v="2020-06-23T00:00:00"/>
    <x v="5"/>
    <n v="77"/>
    <x v="26"/>
    <x v="6"/>
    <x v="29"/>
    <n v="99"/>
    <n v="4752"/>
    <n v="0.12"/>
    <n v="4181.76"/>
    <n v="570.23999999999978"/>
    <d v="2020-07-20T00:00:00"/>
    <d v="2020-07-20T00:00:00"/>
    <n v="328"/>
    <n v="6"/>
    <x v="5"/>
    <n v="0.09"/>
    <n v="376.35840000000002"/>
    <n v="6"/>
    <s v="Junho"/>
  </r>
  <r>
    <n v="329"/>
    <d v="2020-06-23T00:00:00"/>
    <x v="5"/>
    <n v="30"/>
    <x v="56"/>
    <x v="6"/>
    <x v="36"/>
    <n v="116"/>
    <n v="4872"/>
    <n v="0.15"/>
    <n v="4141.2"/>
    <n v="730.80000000000018"/>
    <d v="2020-07-11T00:00:00"/>
    <d v="2020-07-11T00:00:00"/>
    <n v="329"/>
    <n v="5"/>
    <x v="4"/>
    <n v="0.1"/>
    <n v="414.12"/>
    <n v="7"/>
    <s v="Junho"/>
  </r>
  <r>
    <n v="330"/>
    <d v="2020-06-24T00:00:00"/>
    <x v="5"/>
    <n v="2"/>
    <x v="6"/>
    <x v="1"/>
    <x v="6"/>
    <n v="91"/>
    <n v="1820"/>
    <n v="0.14000000000000001"/>
    <n v="1565.2"/>
    <n v="254.79999999999995"/>
    <d v="2020-06-26T00:00:00"/>
    <d v="2020-06-26T00:00:00"/>
    <n v="330"/>
    <n v="3"/>
    <x v="2"/>
    <n v="0.08"/>
    <n v="125.21600000000001"/>
    <n v="1"/>
    <s v="Junho"/>
  </r>
  <r>
    <n v="331"/>
    <d v="2020-06-24T00:00:00"/>
    <x v="5"/>
    <n v="28"/>
    <x v="46"/>
    <x v="2"/>
    <x v="7"/>
    <n v="91"/>
    <n v="910"/>
    <n v="7.0000000000000007E-2"/>
    <n v="846.3"/>
    <n v="63.700000000000045"/>
    <d v="2020-07-12T00:00:00"/>
    <d v="2020-07-12T00:00:00"/>
    <n v="331"/>
    <n v="1"/>
    <x v="5"/>
    <n v="7.0000000000000007E-2"/>
    <n v="59.241"/>
    <n v="2"/>
    <s v="Junho"/>
  </r>
  <r>
    <n v="332"/>
    <d v="2020-06-24T00:00:00"/>
    <x v="5"/>
    <n v="69"/>
    <x v="28"/>
    <x v="4"/>
    <x v="34"/>
    <n v="107"/>
    <n v="1391"/>
    <n v="0.04"/>
    <n v="1335.36"/>
    <n v="55.6400000000001"/>
    <d v="2020-07-15T00:00:00"/>
    <d v="2020-07-15T00:00:00"/>
    <n v="332"/>
    <n v="1"/>
    <x v="8"/>
    <n v="0.05"/>
    <n v="66.768000000000001"/>
    <n v="3"/>
    <s v="Junho"/>
  </r>
  <r>
    <n v="333"/>
    <d v="2020-06-24T00:00:00"/>
    <x v="5"/>
    <n v="20"/>
    <x v="9"/>
    <x v="9"/>
    <x v="37"/>
    <n v="98"/>
    <n v="3136"/>
    <n v="0"/>
    <n v="3136"/>
    <n v="0"/>
    <d v="2020-06-29T00:00:00"/>
    <d v="2020-06-29T00:00:00"/>
    <n v="333"/>
    <n v="6"/>
    <x v="8"/>
    <n v="0.08"/>
    <n v="250.88"/>
    <n v="4"/>
    <s v="Junho"/>
  </r>
  <r>
    <n v="334"/>
    <d v="2020-06-24T00:00:00"/>
    <x v="5"/>
    <n v="13"/>
    <x v="35"/>
    <x v="8"/>
    <x v="26"/>
    <n v="98"/>
    <n v="1568"/>
    <n v="0.02"/>
    <n v="1536.64"/>
    <n v="31.3599999999999"/>
    <d v="2020-07-18T00:00:00"/>
    <d v="2020-07-18T00:00:00"/>
    <n v="334"/>
    <n v="6"/>
    <x v="0"/>
    <n v="7.0000000000000007E-2"/>
    <n v="107.56480000000002"/>
    <n v="5"/>
    <s v="Junho"/>
  </r>
  <r>
    <n v="335"/>
    <d v="2020-06-26T00:00:00"/>
    <x v="5"/>
    <n v="22"/>
    <x v="16"/>
    <x v="6"/>
    <x v="9"/>
    <n v="94"/>
    <n v="4230"/>
    <n v="0.15"/>
    <n v="3595.5"/>
    <n v="634.5"/>
    <d v="2020-07-22T00:00:00"/>
    <d v="2020-07-22T00:00:00"/>
    <n v="335"/>
    <n v="3"/>
    <x v="3"/>
    <n v="7.0000000000000007E-2"/>
    <n v="251.68500000000003"/>
    <n v="6"/>
    <s v="Junho"/>
  </r>
  <r>
    <n v="336"/>
    <d v="2020-06-26T00:00:00"/>
    <x v="5"/>
    <n v="53"/>
    <x v="48"/>
    <x v="2"/>
    <x v="36"/>
    <n v="98"/>
    <n v="4116"/>
    <n v="0.14000000000000001"/>
    <n v="3539.76"/>
    <n v="576.23999999999978"/>
    <d v="2020-07-24T00:00:00"/>
    <d v="2020-07-24T00:00:00"/>
    <n v="336"/>
    <n v="6"/>
    <x v="3"/>
    <n v="0.09"/>
    <n v="318.57839999999999"/>
    <n v="7"/>
    <s v="Junho"/>
  </r>
  <r>
    <n v="337"/>
    <d v="2020-06-27T00:00:00"/>
    <x v="5"/>
    <n v="47"/>
    <x v="10"/>
    <x v="9"/>
    <x v="31"/>
    <n v="117"/>
    <n v="3042"/>
    <n v="0.1"/>
    <n v="2737.8"/>
    <n v="304.19999999999982"/>
    <d v="2020-07-20T00:00:00"/>
    <d v="2020-07-20T00:00:00"/>
    <n v="337"/>
    <n v="5"/>
    <x v="7"/>
    <n v="7.0000000000000007E-2"/>
    <n v="191.64600000000004"/>
    <n v="1"/>
    <s v="Junho"/>
  </r>
  <r>
    <n v="338"/>
    <d v="2020-06-27T00:00:00"/>
    <x v="5"/>
    <n v="2"/>
    <x v="6"/>
    <x v="3"/>
    <x v="35"/>
    <n v="101"/>
    <n v="4343"/>
    <n v="0.12"/>
    <n v="3821.84"/>
    <n v="521.15999999999985"/>
    <d v="2020-07-15T00:00:00"/>
    <d v="2020-07-15T00:00:00"/>
    <n v="338"/>
    <n v="2"/>
    <x v="6"/>
    <n v="0.08"/>
    <n v="305.74720000000002"/>
    <n v="2"/>
    <s v="Junho"/>
  </r>
  <r>
    <n v="339"/>
    <d v="2020-06-27T00:00:00"/>
    <x v="5"/>
    <n v="80"/>
    <x v="8"/>
    <x v="0"/>
    <x v="0"/>
    <n v="92"/>
    <n v="3404"/>
    <n v="0.09"/>
    <n v="3097.64"/>
    <n v="306.36000000000013"/>
    <d v="2020-07-06T00:00:00"/>
    <d v="2020-07-06T00:00:00"/>
    <n v="339"/>
    <n v="2"/>
    <x v="5"/>
    <n v="0.06"/>
    <n v="185.85839999999999"/>
    <n v="3"/>
    <s v="Junho"/>
  </r>
  <r>
    <n v="340"/>
    <d v="2020-06-28T00:00:00"/>
    <x v="5"/>
    <n v="77"/>
    <x v="26"/>
    <x v="2"/>
    <x v="35"/>
    <n v="110"/>
    <n v="4730"/>
    <n v="0.06"/>
    <n v="4446.2"/>
    <n v="283.80000000000018"/>
    <d v="2020-07-25T00:00:00"/>
    <d v="2020-07-25T00:00:00"/>
    <n v="340"/>
    <n v="4"/>
    <x v="2"/>
    <n v="0.05"/>
    <n v="222.31"/>
    <n v="4"/>
    <s v="Junho"/>
  </r>
  <r>
    <n v="341"/>
    <d v="2020-06-28T00:00:00"/>
    <x v="5"/>
    <n v="13"/>
    <x v="35"/>
    <x v="3"/>
    <x v="0"/>
    <n v="92"/>
    <n v="3404"/>
    <n v="0.12"/>
    <n v="2995.52"/>
    <n v="408.48"/>
    <d v="2020-07-16T00:00:00"/>
    <d v="2020-07-16T00:00:00"/>
    <n v="341"/>
    <n v="1"/>
    <x v="6"/>
    <n v="0.1"/>
    <n v="299.55200000000002"/>
    <n v="5"/>
    <s v="Junho"/>
  </r>
  <r>
    <n v="342"/>
    <d v="2020-06-29T00:00:00"/>
    <x v="5"/>
    <n v="16"/>
    <x v="3"/>
    <x v="5"/>
    <x v="11"/>
    <n v="104"/>
    <n v="2808"/>
    <n v="7.0000000000000007E-2"/>
    <n v="2611.44"/>
    <n v="196.55999999999995"/>
    <d v="2020-07-04T00:00:00"/>
    <d v="2020-07-04T00:00:00"/>
    <n v="342"/>
    <n v="2"/>
    <x v="1"/>
    <n v="7.0000000000000007E-2"/>
    <n v="182.80080000000001"/>
    <n v="6"/>
    <s v="Junho"/>
  </r>
  <r>
    <n v="343"/>
    <d v="2020-06-30T00:00:00"/>
    <x v="5"/>
    <n v="68"/>
    <x v="15"/>
    <x v="3"/>
    <x v="12"/>
    <n v="90"/>
    <n v="1620"/>
    <n v="0.06"/>
    <n v="1522.8"/>
    <n v="97.200000000000045"/>
    <d v="2020-07-24T00:00:00"/>
    <d v="2020-07-24T00:00:00"/>
    <n v="343"/>
    <n v="4"/>
    <x v="9"/>
    <n v="0.09"/>
    <n v="137.05199999999999"/>
    <n v="7"/>
    <s v="Junho"/>
  </r>
  <r>
    <n v="344"/>
    <d v="2020-06-30T00:00:00"/>
    <x v="5"/>
    <n v="16"/>
    <x v="3"/>
    <x v="9"/>
    <x v="28"/>
    <n v="107"/>
    <n v="4066"/>
    <n v="0"/>
    <n v="4066"/>
    <n v="0"/>
    <d v="2020-07-19T00:00:00"/>
    <d v="2020-07-19T00:00:00"/>
    <n v="344"/>
    <n v="5"/>
    <x v="9"/>
    <n v="7.0000000000000007E-2"/>
    <n v="284.62"/>
    <n v="1"/>
    <s v="Junho"/>
  </r>
  <r>
    <n v="345"/>
    <d v="2020-07-02T00:00:00"/>
    <x v="6"/>
    <n v="30"/>
    <x v="56"/>
    <x v="2"/>
    <x v="29"/>
    <n v="98"/>
    <n v="4704"/>
    <n v="0.04"/>
    <n v="4515.84"/>
    <n v="188.15999999999985"/>
    <d v="2020-07-05T00:00:00"/>
    <d v="2020-07-05T00:00:00"/>
    <n v="345"/>
    <n v="5"/>
    <x v="9"/>
    <n v="7.0000000000000007E-2"/>
    <n v="316.10880000000003"/>
    <n v="2"/>
    <s v="Julho"/>
  </r>
  <r>
    <n v="346"/>
    <d v="2020-07-02T00:00:00"/>
    <x v="6"/>
    <n v="51"/>
    <x v="17"/>
    <x v="7"/>
    <x v="8"/>
    <n v="115"/>
    <n v="2530"/>
    <n v="7.0000000000000007E-2"/>
    <n v="2352.9"/>
    <n v="177.09999999999991"/>
    <d v="2020-07-07T00:00:00"/>
    <d v="2020-07-07T00:00:00"/>
    <n v="346"/>
    <n v="4"/>
    <x v="8"/>
    <n v="0.05"/>
    <n v="117.64500000000001"/>
    <n v="3"/>
    <s v="Julho"/>
  </r>
  <r>
    <n v="347"/>
    <d v="2020-07-02T00:00:00"/>
    <x v="6"/>
    <n v="31"/>
    <x v="45"/>
    <x v="2"/>
    <x v="40"/>
    <n v="119"/>
    <n v="1428"/>
    <n v="0.13"/>
    <n v="1242.3599999999999"/>
    <n v="185.6400000000001"/>
    <d v="2020-07-19T00:00:00"/>
    <d v="2020-07-19T00:00:00"/>
    <n v="347"/>
    <n v="5"/>
    <x v="1"/>
    <n v="7.0000000000000007E-2"/>
    <n v="86.965199999999996"/>
    <n v="4"/>
    <s v="Julho"/>
  </r>
  <r>
    <n v="348"/>
    <d v="2020-07-03T00:00:00"/>
    <x v="6"/>
    <n v="8"/>
    <x v="8"/>
    <x v="4"/>
    <x v="19"/>
    <n v="107"/>
    <n v="3103"/>
    <n v="0.02"/>
    <n v="3040.94"/>
    <n v="62.059999999999945"/>
    <d v="2020-07-21T00:00:00"/>
    <m/>
    <n v="348"/>
    <n v="4"/>
    <x v="8"/>
    <n v="0.08"/>
    <n v="243.27520000000001"/>
    <n v="5"/>
    <s v="Julho"/>
  </r>
  <r>
    <n v="349"/>
    <d v="2020-07-04T00:00:00"/>
    <x v="6"/>
    <n v="20"/>
    <x v="9"/>
    <x v="1"/>
    <x v="29"/>
    <n v="109"/>
    <n v="5232"/>
    <n v="7.0000000000000007E-2"/>
    <n v="4865.76"/>
    <n v="366.23999999999978"/>
    <d v="2020-07-24T00:00:00"/>
    <d v="2020-07-24T00:00:00"/>
    <n v="349"/>
    <n v="4"/>
    <x v="2"/>
    <n v="0.09"/>
    <n v="437.91840000000002"/>
    <n v="6"/>
    <s v="Julho"/>
  </r>
  <r>
    <n v="350"/>
    <d v="2020-07-05T00:00:00"/>
    <x v="6"/>
    <n v="37"/>
    <x v="14"/>
    <x v="9"/>
    <x v="20"/>
    <n v="97"/>
    <n v="2231"/>
    <n v="0.15"/>
    <n v="1896.35"/>
    <n v="334.65000000000009"/>
    <d v="2020-07-24T00:00:00"/>
    <d v="2020-07-24T00:00:00"/>
    <n v="350"/>
    <n v="3"/>
    <x v="8"/>
    <n v="0.1"/>
    <n v="189.63499999999999"/>
    <n v="7"/>
    <s v="Julho"/>
  </r>
  <r>
    <n v="351"/>
    <d v="2020-07-05T00:00:00"/>
    <x v="6"/>
    <n v="20"/>
    <x v="9"/>
    <x v="5"/>
    <x v="36"/>
    <n v="94"/>
    <n v="3948"/>
    <n v="0.06"/>
    <n v="3711.12"/>
    <n v="236.88000000000011"/>
    <d v="2020-08-04T00:00:00"/>
    <d v="2020-08-04T00:00:00"/>
    <n v="351"/>
    <n v="1"/>
    <x v="0"/>
    <n v="0.1"/>
    <n v="371.11200000000002"/>
    <n v="1"/>
    <s v="Julho"/>
  </r>
  <r>
    <n v="352"/>
    <d v="2020-07-06T00:00:00"/>
    <x v="6"/>
    <n v="6"/>
    <x v="48"/>
    <x v="0"/>
    <x v="38"/>
    <n v="103"/>
    <n v="4120"/>
    <n v="7.0000000000000007E-2"/>
    <n v="3831.6"/>
    <n v="288.40000000000009"/>
    <d v="2020-07-07T00:00:00"/>
    <d v="2020-07-07T00:00:00"/>
    <n v="352"/>
    <n v="5"/>
    <x v="9"/>
    <n v="0.09"/>
    <n v="344.84399999999999"/>
    <n v="2"/>
    <s v="Julho"/>
  </r>
  <r>
    <n v="353"/>
    <d v="2020-07-06T00:00:00"/>
    <x v="6"/>
    <n v="44"/>
    <x v="31"/>
    <x v="4"/>
    <x v="29"/>
    <n v="115"/>
    <n v="5520"/>
    <n v="0.09"/>
    <n v="5023.2"/>
    <n v="496.80000000000018"/>
    <d v="2020-07-26T00:00:00"/>
    <d v="2020-07-26T00:00:00"/>
    <n v="353"/>
    <n v="1"/>
    <x v="4"/>
    <n v="0.1"/>
    <n v="502.32"/>
    <n v="3"/>
    <s v="Julho"/>
  </r>
  <r>
    <n v="354"/>
    <d v="2020-07-07T00:00:00"/>
    <x v="6"/>
    <n v="32"/>
    <x v="37"/>
    <x v="3"/>
    <x v="29"/>
    <n v="112"/>
    <n v="5376"/>
    <n v="0.1"/>
    <n v="4838.3999999999996"/>
    <n v="537.60000000000036"/>
    <d v="2020-07-09T00:00:00"/>
    <d v="2020-07-09T00:00:00"/>
    <n v="354"/>
    <n v="3"/>
    <x v="6"/>
    <n v="0.08"/>
    <n v="387.072"/>
    <n v="4"/>
    <s v="Julho"/>
  </r>
  <r>
    <n v="355"/>
    <d v="2020-07-08T00:00:00"/>
    <x v="6"/>
    <n v="73"/>
    <x v="8"/>
    <x v="1"/>
    <x v="21"/>
    <n v="93"/>
    <n v="1581"/>
    <n v="0.12"/>
    <n v="1391.28"/>
    <n v="189.72000000000003"/>
    <d v="2020-07-26T00:00:00"/>
    <d v="2020-07-26T00:00:00"/>
    <n v="355"/>
    <n v="4"/>
    <x v="8"/>
    <n v="0.08"/>
    <n v="111.30240000000001"/>
    <n v="5"/>
    <s v="Julho"/>
  </r>
  <r>
    <n v="356"/>
    <d v="2020-07-09T00:00:00"/>
    <x v="6"/>
    <n v="14"/>
    <x v="3"/>
    <x v="8"/>
    <x v="5"/>
    <n v="114"/>
    <n v="1254"/>
    <n v="0.09"/>
    <n v="1141.1400000000001"/>
    <n v="112.8599999999999"/>
    <d v="2020-07-27T00:00:00"/>
    <d v="2020-07-27T00:00:00"/>
    <n v="356"/>
    <n v="5"/>
    <x v="9"/>
    <n v="0.08"/>
    <n v="91.291200000000003"/>
    <n v="6"/>
    <s v="Julho"/>
  </r>
  <r>
    <n v="357"/>
    <d v="2020-07-10T00:00:00"/>
    <x v="6"/>
    <n v="30"/>
    <x v="56"/>
    <x v="1"/>
    <x v="35"/>
    <n v="120"/>
    <n v="5160"/>
    <n v="0.1"/>
    <n v="4644"/>
    <n v="516"/>
    <d v="2020-07-22T00:00:00"/>
    <d v="2020-07-22T00:00:00"/>
    <n v="357"/>
    <n v="4"/>
    <x v="6"/>
    <n v="0.09"/>
    <n v="417.96"/>
    <n v="7"/>
    <s v="Julho"/>
  </r>
  <r>
    <n v="358"/>
    <d v="2020-07-11T00:00:00"/>
    <x v="6"/>
    <n v="42"/>
    <x v="52"/>
    <x v="8"/>
    <x v="39"/>
    <n v="94"/>
    <n v="3384"/>
    <n v="0.04"/>
    <n v="3248.64"/>
    <n v="135.36000000000013"/>
    <d v="2020-07-30T00:00:00"/>
    <d v="2020-07-30T00:00:00"/>
    <n v="358"/>
    <n v="1"/>
    <x v="1"/>
    <n v="0.05"/>
    <n v="162.43200000000002"/>
    <n v="1"/>
    <s v="Julho"/>
  </r>
  <r>
    <n v="359"/>
    <d v="2020-07-11T00:00:00"/>
    <x v="6"/>
    <n v="4"/>
    <x v="46"/>
    <x v="3"/>
    <x v="5"/>
    <n v="103"/>
    <n v="1133"/>
    <n v="0.09"/>
    <n v="1031.03"/>
    <n v="101.97000000000003"/>
    <d v="2020-08-10T00:00:00"/>
    <d v="2020-08-10T00:00:00"/>
    <n v="359"/>
    <n v="6"/>
    <x v="0"/>
    <n v="0.05"/>
    <n v="51.551500000000004"/>
    <n v="2"/>
    <s v="Julho"/>
  </r>
  <r>
    <n v="360"/>
    <d v="2020-07-11T00:00:00"/>
    <x v="6"/>
    <n v="82"/>
    <x v="28"/>
    <x v="4"/>
    <x v="5"/>
    <n v="100"/>
    <n v="1100"/>
    <n v="7.0000000000000007E-2"/>
    <n v="1023"/>
    <n v="77"/>
    <d v="2020-08-08T00:00:00"/>
    <d v="2020-08-08T00:00:00"/>
    <n v="360"/>
    <n v="2"/>
    <x v="9"/>
    <n v="0.06"/>
    <n v="61.379999999999995"/>
    <n v="3"/>
    <s v="Julho"/>
  </r>
  <r>
    <n v="361"/>
    <d v="2020-07-12T00:00:00"/>
    <x v="6"/>
    <n v="70"/>
    <x v="28"/>
    <x v="5"/>
    <x v="26"/>
    <n v="112"/>
    <n v="1792"/>
    <n v="7.0000000000000007E-2"/>
    <n v="1666.56"/>
    <n v="125.44000000000005"/>
    <d v="2020-07-16T00:00:00"/>
    <d v="2020-07-16T00:00:00"/>
    <n v="361"/>
    <n v="2"/>
    <x v="4"/>
    <n v="7.0000000000000007E-2"/>
    <n v="116.65920000000001"/>
    <n v="4"/>
    <s v="Julho"/>
  </r>
  <r>
    <n v="362"/>
    <d v="2020-07-12T00:00:00"/>
    <x v="6"/>
    <n v="78"/>
    <x v="7"/>
    <x v="5"/>
    <x v="7"/>
    <n v="103"/>
    <n v="1030"/>
    <n v="0.05"/>
    <n v="978.5"/>
    <n v="51.5"/>
    <d v="2020-07-13T00:00:00"/>
    <d v="2020-07-13T00:00:00"/>
    <n v="362"/>
    <n v="2"/>
    <x v="3"/>
    <n v="0.09"/>
    <n v="88.064999999999998"/>
    <n v="5"/>
    <s v="Julho"/>
  </r>
  <r>
    <n v="363"/>
    <d v="2020-07-14T00:00:00"/>
    <x v="6"/>
    <n v="14"/>
    <x v="3"/>
    <x v="2"/>
    <x v="17"/>
    <n v="105"/>
    <n v="4095"/>
    <n v="0.05"/>
    <n v="3890.25"/>
    <n v="204.75"/>
    <d v="2020-08-06T00:00:00"/>
    <d v="2020-08-06T00:00:00"/>
    <n v="363"/>
    <n v="7"/>
    <x v="9"/>
    <n v="0.1"/>
    <n v="389.02500000000003"/>
    <n v="6"/>
    <s v="Julho"/>
  </r>
  <r>
    <n v="364"/>
    <d v="2020-07-16T00:00:00"/>
    <x v="6"/>
    <n v="17"/>
    <x v="28"/>
    <x v="8"/>
    <x v="38"/>
    <n v="112"/>
    <n v="4480"/>
    <n v="0.04"/>
    <n v="4300.8"/>
    <n v="179.19999999999982"/>
    <d v="2020-08-12T00:00:00"/>
    <d v="2020-08-12T00:00:00"/>
    <n v="364"/>
    <n v="6"/>
    <x v="3"/>
    <n v="0.1"/>
    <n v="430.08000000000004"/>
    <n v="7"/>
    <s v="Julho"/>
  </r>
  <r>
    <n v="365"/>
    <d v="2020-07-16T00:00:00"/>
    <x v="6"/>
    <n v="22"/>
    <x v="16"/>
    <x v="4"/>
    <x v="8"/>
    <n v="111"/>
    <n v="2442"/>
    <n v="0.11"/>
    <n v="2173.38"/>
    <n v="268.61999999999989"/>
    <d v="2020-07-26T00:00:00"/>
    <d v="2020-07-26T00:00:00"/>
    <n v="365"/>
    <n v="6"/>
    <x v="3"/>
    <n v="0.08"/>
    <n v="173.87040000000002"/>
    <n v="1"/>
    <s v="Julho"/>
  </r>
  <r>
    <n v="366"/>
    <d v="2020-07-18T00:00:00"/>
    <x v="6"/>
    <n v="56"/>
    <x v="28"/>
    <x v="4"/>
    <x v="31"/>
    <n v="96"/>
    <n v="2496"/>
    <n v="0.08"/>
    <n v="2296.3200000000002"/>
    <n v="199.67999999999984"/>
    <d v="2020-07-28T00:00:00"/>
    <d v="2020-07-28T00:00:00"/>
    <n v="366"/>
    <n v="6"/>
    <x v="6"/>
    <n v="0.1"/>
    <n v="229.63200000000003"/>
    <n v="2"/>
    <s v="Julho"/>
  </r>
  <r>
    <n v="367"/>
    <d v="2020-07-19T00:00:00"/>
    <x v="6"/>
    <n v="16"/>
    <x v="3"/>
    <x v="2"/>
    <x v="31"/>
    <n v="118"/>
    <n v="3068"/>
    <n v="0.02"/>
    <n v="3006.64"/>
    <n v="61.360000000000127"/>
    <d v="2020-08-17T00:00:00"/>
    <d v="2020-08-17T00:00:00"/>
    <n v="367"/>
    <n v="1"/>
    <x v="6"/>
    <n v="7.0000000000000007E-2"/>
    <n v="210.46480000000003"/>
    <n v="3"/>
    <s v="Julho"/>
  </r>
  <r>
    <n v="368"/>
    <d v="2020-07-19T00:00:00"/>
    <x v="6"/>
    <n v="72"/>
    <x v="8"/>
    <x v="9"/>
    <x v="28"/>
    <n v="104"/>
    <n v="3952"/>
    <n v="0.01"/>
    <n v="3912.48"/>
    <n v="39.519999999999982"/>
    <d v="2020-08-10T00:00:00"/>
    <d v="2020-08-10T00:00:00"/>
    <n v="368"/>
    <n v="6"/>
    <x v="4"/>
    <n v="7.0000000000000007E-2"/>
    <n v="273.87360000000001"/>
    <n v="4"/>
    <s v="Julho"/>
  </r>
  <r>
    <n v="369"/>
    <d v="2020-07-19T00:00:00"/>
    <x v="6"/>
    <n v="8"/>
    <x v="8"/>
    <x v="6"/>
    <x v="35"/>
    <n v="94"/>
    <n v="4042"/>
    <n v="0.15"/>
    <n v="3435.7"/>
    <n v="606.30000000000018"/>
    <d v="2020-07-19T00:00:00"/>
    <d v="2020-07-19T00:00:00"/>
    <n v="369"/>
    <n v="6"/>
    <x v="8"/>
    <n v="0.09"/>
    <n v="309.21299999999997"/>
    <n v="5"/>
    <s v="Julho"/>
  </r>
  <r>
    <n v="370"/>
    <d v="2020-07-20T00:00:00"/>
    <x v="6"/>
    <n v="66"/>
    <x v="4"/>
    <x v="0"/>
    <x v="24"/>
    <n v="112"/>
    <n v="5600"/>
    <n v="0.03"/>
    <n v="5432"/>
    <n v="168"/>
    <d v="2020-08-05T00:00:00"/>
    <d v="2020-08-05T00:00:00"/>
    <n v="370"/>
    <n v="5"/>
    <x v="2"/>
    <n v="0.06"/>
    <n v="325.92"/>
    <n v="6"/>
    <s v="Julho"/>
  </r>
  <r>
    <n v="371"/>
    <d v="2020-07-20T00:00:00"/>
    <x v="6"/>
    <n v="17"/>
    <x v="28"/>
    <x v="3"/>
    <x v="17"/>
    <n v="116"/>
    <n v="4524"/>
    <n v="0.15"/>
    <n v="3845.4"/>
    <n v="678.59999999999991"/>
    <d v="2020-08-06T00:00:00"/>
    <d v="2020-08-06T00:00:00"/>
    <n v="371"/>
    <n v="3"/>
    <x v="4"/>
    <n v="0.05"/>
    <n v="192.27"/>
    <n v="7"/>
    <s v="Julho"/>
  </r>
  <r>
    <n v="372"/>
    <d v="2020-07-21T00:00:00"/>
    <x v="6"/>
    <n v="57"/>
    <x v="49"/>
    <x v="5"/>
    <x v="4"/>
    <n v="102"/>
    <n v="2448"/>
    <n v="0.04"/>
    <n v="2350.08"/>
    <n v="97.920000000000073"/>
    <d v="2020-08-20T00:00:00"/>
    <d v="2020-08-20T00:00:00"/>
    <n v="372"/>
    <n v="4"/>
    <x v="3"/>
    <n v="0.06"/>
    <n v="141.00479999999999"/>
    <n v="1"/>
    <s v="Julho"/>
  </r>
  <r>
    <n v="373"/>
    <d v="2020-07-22T00:00:00"/>
    <x v="6"/>
    <n v="32"/>
    <x v="37"/>
    <x v="5"/>
    <x v="8"/>
    <n v="99"/>
    <n v="2178"/>
    <n v="0.03"/>
    <n v="2112.66"/>
    <n v="65.340000000000146"/>
    <d v="2020-08-09T00:00:00"/>
    <d v="2020-08-09T00:00:00"/>
    <n v="373"/>
    <n v="3"/>
    <x v="4"/>
    <n v="0.08"/>
    <n v="169.0128"/>
    <n v="2"/>
    <s v="Julho"/>
  </r>
  <r>
    <n v="374"/>
    <d v="2020-07-22T00:00:00"/>
    <x v="6"/>
    <n v="97"/>
    <x v="27"/>
    <x v="5"/>
    <x v="25"/>
    <n v="105"/>
    <n v="4305"/>
    <n v="0.02"/>
    <n v="4218.8999999999996"/>
    <n v="86.100000000000364"/>
    <d v="2020-08-07T00:00:00"/>
    <d v="2020-08-07T00:00:00"/>
    <n v="374"/>
    <n v="5"/>
    <x v="1"/>
    <n v="7.0000000000000007E-2"/>
    <n v="295.32299999999998"/>
    <n v="3"/>
    <s v="Julho"/>
  </r>
  <r>
    <n v="375"/>
    <d v="2020-07-22T00:00:00"/>
    <x v="6"/>
    <n v="53"/>
    <x v="48"/>
    <x v="1"/>
    <x v="30"/>
    <n v="99"/>
    <n v="3267"/>
    <n v="7.0000000000000007E-2"/>
    <n v="3038.31"/>
    <n v="228.69000000000005"/>
    <d v="2020-08-01T00:00:00"/>
    <d v="2020-08-01T00:00:00"/>
    <n v="375"/>
    <n v="5"/>
    <x v="9"/>
    <n v="7.0000000000000007E-2"/>
    <n v="212.68170000000001"/>
    <n v="4"/>
    <s v="Julho"/>
  </r>
  <r>
    <n v="376"/>
    <d v="2020-07-23T00:00:00"/>
    <x v="6"/>
    <n v="75"/>
    <x v="8"/>
    <x v="1"/>
    <x v="28"/>
    <n v="120"/>
    <n v="4560"/>
    <n v="0.15"/>
    <n v="3876"/>
    <n v="684"/>
    <d v="2020-07-29T00:00:00"/>
    <d v="2020-07-29T00:00:00"/>
    <n v="376"/>
    <n v="2"/>
    <x v="3"/>
    <n v="0.06"/>
    <n v="232.56"/>
    <n v="5"/>
    <s v="Julho"/>
  </r>
  <r>
    <n v="377"/>
    <d v="2020-07-23T00:00:00"/>
    <x v="6"/>
    <n v="93"/>
    <x v="5"/>
    <x v="9"/>
    <x v="7"/>
    <n v="93"/>
    <n v="930"/>
    <n v="0.14000000000000001"/>
    <n v="799.8"/>
    <n v="130.20000000000005"/>
    <d v="2020-08-16T00:00:00"/>
    <d v="2020-08-16T00:00:00"/>
    <n v="377"/>
    <n v="3"/>
    <x v="1"/>
    <n v="7.0000000000000007E-2"/>
    <n v="55.986000000000004"/>
    <n v="6"/>
    <s v="Julho"/>
  </r>
  <r>
    <n v="378"/>
    <d v="2020-07-23T00:00:00"/>
    <x v="6"/>
    <n v="33"/>
    <x v="36"/>
    <x v="5"/>
    <x v="34"/>
    <n v="105"/>
    <n v="1365"/>
    <n v="0.03"/>
    <n v="1324.05"/>
    <n v="40.950000000000045"/>
    <d v="2020-07-30T00:00:00"/>
    <d v="2020-07-30T00:00:00"/>
    <n v="378"/>
    <n v="6"/>
    <x v="5"/>
    <n v="0.08"/>
    <n v="105.92399999999999"/>
    <n v="7"/>
    <s v="Julho"/>
  </r>
  <r>
    <n v="379"/>
    <d v="2020-07-24T00:00:00"/>
    <x v="6"/>
    <n v="63"/>
    <x v="40"/>
    <x v="9"/>
    <x v="11"/>
    <n v="107"/>
    <n v="2889"/>
    <n v="0.1"/>
    <n v="2600.1"/>
    <n v="288.90000000000009"/>
    <d v="2020-08-18T00:00:00"/>
    <d v="2020-08-18T00:00:00"/>
    <n v="379"/>
    <n v="7"/>
    <x v="7"/>
    <n v="0.06"/>
    <n v="156.006"/>
    <n v="1"/>
    <s v="Julho"/>
  </r>
  <r>
    <n v="380"/>
    <d v="2020-07-24T00:00:00"/>
    <x v="6"/>
    <n v="59"/>
    <x v="57"/>
    <x v="1"/>
    <x v="14"/>
    <n v="92"/>
    <n v="2300"/>
    <n v="0.04"/>
    <n v="2208"/>
    <n v="92"/>
    <d v="2020-07-27T00:00:00"/>
    <d v="2020-07-27T00:00:00"/>
    <n v="380"/>
    <n v="2"/>
    <x v="2"/>
    <n v="0.06"/>
    <n v="132.47999999999999"/>
    <n v="2"/>
    <s v="Julho"/>
  </r>
  <r>
    <n v="381"/>
    <d v="2020-07-24T00:00:00"/>
    <x v="6"/>
    <n v="82"/>
    <x v="28"/>
    <x v="6"/>
    <x v="35"/>
    <n v="119"/>
    <n v="5117"/>
    <n v="0"/>
    <n v="5117"/>
    <n v="0"/>
    <d v="2020-08-03T00:00:00"/>
    <d v="2020-08-03T00:00:00"/>
    <n v="381"/>
    <n v="2"/>
    <x v="8"/>
    <n v="0.06"/>
    <n v="307.02"/>
    <n v="3"/>
    <s v="Julho"/>
  </r>
  <r>
    <n v="382"/>
    <d v="2020-07-25T00:00:00"/>
    <x v="6"/>
    <n v="46"/>
    <x v="54"/>
    <x v="2"/>
    <x v="1"/>
    <n v="107"/>
    <n v="5029"/>
    <n v="0.1"/>
    <n v="4526.1000000000004"/>
    <n v="502.89999999999964"/>
    <d v="2020-08-07T00:00:00"/>
    <d v="2020-08-07T00:00:00"/>
    <n v="382"/>
    <n v="6"/>
    <x v="6"/>
    <n v="0.1"/>
    <n v="452.61000000000007"/>
    <n v="4"/>
    <s v="Julho"/>
  </r>
  <r>
    <n v="383"/>
    <d v="2020-07-26T00:00:00"/>
    <x v="6"/>
    <n v="98"/>
    <x v="2"/>
    <x v="3"/>
    <x v="5"/>
    <n v="95"/>
    <n v="1045"/>
    <n v="0.08"/>
    <n v="961.4"/>
    <n v="83.600000000000023"/>
    <d v="2020-08-01T00:00:00"/>
    <d v="2020-08-01T00:00:00"/>
    <n v="383"/>
    <n v="2"/>
    <x v="1"/>
    <n v="7.0000000000000007E-2"/>
    <n v="67.298000000000002"/>
    <n v="5"/>
    <s v="Julho"/>
  </r>
  <r>
    <n v="384"/>
    <d v="2020-07-27T00:00:00"/>
    <x v="6"/>
    <n v="12"/>
    <x v="13"/>
    <x v="1"/>
    <x v="25"/>
    <n v="105"/>
    <n v="4305"/>
    <n v="0"/>
    <n v="4305"/>
    <n v="0"/>
    <d v="2020-08-20T00:00:00"/>
    <d v="2020-08-20T00:00:00"/>
    <n v="384"/>
    <n v="3"/>
    <x v="2"/>
    <n v="0.08"/>
    <n v="344.40000000000003"/>
    <n v="6"/>
    <s v="Julho"/>
  </r>
  <r>
    <n v="385"/>
    <d v="2020-07-29T00:00:00"/>
    <x v="6"/>
    <n v="80"/>
    <x v="8"/>
    <x v="0"/>
    <x v="18"/>
    <n v="109"/>
    <n v="5341"/>
    <n v="0.15"/>
    <n v="4539.8500000000004"/>
    <n v="801.14999999999964"/>
    <d v="2020-07-30T00:00:00"/>
    <d v="2020-07-30T00:00:00"/>
    <n v="385"/>
    <n v="2"/>
    <x v="8"/>
    <n v="0.06"/>
    <n v="272.39100000000002"/>
    <n v="7"/>
    <s v="Julho"/>
  </r>
  <r>
    <n v="386"/>
    <d v="2020-07-30T00:00:00"/>
    <x v="6"/>
    <n v="49"/>
    <x v="8"/>
    <x v="6"/>
    <x v="12"/>
    <n v="102"/>
    <n v="1836"/>
    <n v="0.15"/>
    <n v="1560.6"/>
    <n v="275.40000000000009"/>
    <d v="2020-08-08T00:00:00"/>
    <d v="2020-08-08T00:00:00"/>
    <n v="386"/>
    <n v="4"/>
    <x v="3"/>
    <n v="0.09"/>
    <n v="140.45399999999998"/>
    <n v="1"/>
    <s v="Julho"/>
  </r>
  <r>
    <n v="387"/>
    <d v="2020-07-31T00:00:00"/>
    <x v="6"/>
    <n v="89"/>
    <x v="15"/>
    <x v="9"/>
    <x v="35"/>
    <n v="91"/>
    <n v="3913"/>
    <n v="0.15"/>
    <n v="3326.05"/>
    <n v="586.94999999999982"/>
    <d v="2020-08-09T00:00:00"/>
    <d v="2020-08-09T00:00:00"/>
    <n v="387"/>
    <n v="4"/>
    <x v="5"/>
    <n v="0.09"/>
    <n v="299.34449999999998"/>
    <n v="2"/>
    <s v="Julho"/>
  </r>
  <r>
    <n v="388"/>
    <d v="2020-07-31T00:00:00"/>
    <x v="6"/>
    <n v="79"/>
    <x v="5"/>
    <x v="1"/>
    <x v="38"/>
    <n v="104"/>
    <n v="4160"/>
    <n v="0.11"/>
    <n v="3702.4"/>
    <n v="457.59999999999991"/>
    <d v="2020-08-20T00:00:00"/>
    <d v="2020-08-20T00:00:00"/>
    <n v="388"/>
    <n v="6"/>
    <x v="1"/>
    <n v="0.05"/>
    <n v="185.12"/>
    <n v="3"/>
    <s v="Julho"/>
  </r>
  <r>
    <n v="389"/>
    <d v="2020-07-31T00:00:00"/>
    <x v="6"/>
    <n v="58"/>
    <x v="32"/>
    <x v="5"/>
    <x v="13"/>
    <n v="90"/>
    <n v="2790"/>
    <n v="0"/>
    <n v="2790"/>
    <n v="0"/>
    <d v="2020-08-07T00:00:00"/>
    <d v="2020-08-07T00:00:00"/>
    <n v="389"/>
    <n v="5"/>
    <x v="8"/>
    <n v="0.08"/>
    <n v="223.20000000000002"/>
    <n v="4"/>
    <s v="Julho"/>
  </r>
  <r>
    <n v="390"/>
    <d v="2020-08-01T00:00:00"/>
    <x v="7"/>
    <n v="22"/>
    <x v="16"/>
    <x v="1"/>
    <x v="25"/>
    <n v="112"/>
    <n v="4592"/>
    <n v="0.03"/>
    <n v="4454.24"/>
    <n v="137.76000000000022"/>
    <d v="2020-08-09T00:00:00"/>
    <d v="2020-08-09T00:00:00"/>
    <n v="390"/>
    <n v="3"/>
    <x v="8"/>
    <n v="7.0000000000000007E-2"/>
    <n v="311.79680000000002"/>
    <n v="5"/>
    <s v="Agosto"/>
  </r>
  <r>
    <n v="391"/>
    <d v="2020-08-01T00:00:00"/>
    <x v="7"/>
    <n v="15"/>
    <x v="37"/>
    <x v="1"/>
    <x v="29"/>
    <n v="102"/>
    <n v="4896"/>
    <n v="0.03"/>
    <n v="4749.12"/>
    <n v="146.88000000000011"/>
    <d v="2020-08-14T00:00:00"/>
    <d v="2020-08-14T00:00:00"/>
    <n v="391"/>
    <n v="6"/>
    <x v="8"/>
    <n v="0.06"/>
    <n v="284.94720000000001"/>
    <n v="6"/>
    <s v="Agosto"/>
  </r>
  <r>
    <n v="392"/>
    <d v="2020-08-01T00:00:00"/>
    <x v="7"/>
    <n v="6"/>
    <x v="48"/>
    <x v="3"/>
    <x v="33"/>
    <n v="96"/>
    <n v="1440"/>
    <n v="0.01"/>
    <n v="1425.6"/>
    <n v="14.400000000000091"/>
    <d v="2020-08-06T00:00:00"/>
    <d v="2020-08-06T00:00:00"/>
    <n v="392"/>
    <n v="3"/>
    <x v="3"/>
    <n v="0.09"/>
    <n v="128.30399999999997"/>
    <n v="7"/>
    <s v="Agosto"/>
  </r>
  <r>
    <n v="393"/>
    <d v="2020-08-01T00:00:00"/>
    <x v="7"/>
    <n v="77"/>
    <x v="26"/>
    <x v="4"/>
    <x v="39"/>
    <n v="119"/>
    <n v="4284"/>
    <n v="0.06"/>
    <n v="4026.96"/>
    <n v="257.03999999999996"/>
    <d v="2020-08-01T00:00:00"/>
    <d v="2020-08-01T00:00:00"/>
    <n v="393"/>
    <n v="2"/>
    <x v="5"/>
    <n v="7.0000000000000007E-2"/>
    <n v="281.88720000000001"/>
    <n v="1"/>
    <s v="Agosto"/>
  </r>
  <r>
    <n v="394"/>
    <d v="2020-08-02T00:00:00"/>
    <x v="7"/>
    <n v="17"/>
    <x v="28"/>
    <x v="5"/>
    <x v="8"/>
    <n v="95"/>
    <n v="2090"/>
    <n v="0.1"/>
    <n v="1881"/>
    <n v="209"/>
    <d v="2020-08-20T00:00:00"/>
    <d v="2020-08-20T00:00:00"/>
    <n v="394"/>
    <n v="4"/>
    <x v="4"/>
    <n v="0.09"/>
    <n v="169.29"/>
    <n v="2"/>
    <s v="Agosto"/>
  </r>
  <r>
    <n v="395"/>
    <d v="2020-08-02T00:00:00"/>
    <x v="7"/>
    <n v="18"/>
    <x v="43"/>
    <x v="0"/>
    <x v="34"/>
    <n v="107"/>
    <n v="1391"/>
    <n v="0.02"/>
    <n v="1363.18"/>
    <n v="27.819999999999936"/>
    <d v="2020-08-21T00:00:00"/>
    <d v="2020-08-21T00:00:00"/>
    <n v="395"/>
    <n v="4"/>
    <x v="2"/>
    <n v="0.08"/>
    <n v="109.0544"/>
    <n v="3"/>
    <s v="Agosto"/>
  </r>
  <r>
    <n v="396"/>
    <d v="2020-08-02T00:00:00"/>
    <x v="7"/>
    <n v="28"/>
    <x v="46"/>
    <x v="1"/>
    <x v="38"/>
    <n v="90"/>
    <n v="3600"/>
    <n v="0"/>
    <n v="3600"/>
    <n v="0"/>
    <d v="2020-08-10T00:00:00"/>
    <d v="2020-08-10T00:00:00"/>
    <n v="396"/>
    <n v="4"/>
    <x v="2"/>
    <n v="0.08"/>
    <n v="288"/>
    <n v="4"/>
    <s v="Agosto"/>
  </r>
  <r>
    <n v="397"/>
    <d v="2020-08-03T00:00:00"/>
    <x v="7"/>
    <n v="81"/>
    <x v="63"/>
    <x v="5"/>
    <x v="40"/>
    <n v="104"/>
    <n v="1248"/>
    <n v="0.05"/>
    <n v="1185.5999999999999"/>
    <n v="62.400000000000091"/>
    <d v="2020-08-06T00:00:00"/>
    <d v="2020-08-06T00:00:00"/>
    <n v="397"/>
    <n v="1"/>
    <x v="0"/>
    <n v="0.09"/>
    <n v="106.70399999999999"/>
    <n v="5"/>
    <s v="Agosto"/>
  </r>
  <r>
    <n v="398"/>
    <d v="2020-08-04T00:00:00"/>
    <x v="7"/>
    <n v="35"/>
    <x v="8"/>
    <x v="1"/>
    <x v="12"/>
    <n v="109"/>
    <n v="1962"/>
    <n v="0.13"/>
    <n v="1706.94"/>
    <n v="255.05999999999995"/>
    <d v="2020-08-29T00:00:00"/>
    <d v="2020-08-29T00:00:00"/>
    <n v="398"/>
    <n v="7"/>
    <x v="7"/>
    <n v="0.09"/>
    <n v="153.62459999999999"/>
    <n v="6"/>
    <s v="Agosto"/>
  </r>
  <r>
    <n v="399"/>
    <d v="2020-08-04T00:00:00"/>
    <x v="7"/>
    <n v="49"/>
    <x v="8"/>
    <x v="9"/>
    <x v="14"/>
    <n v="104"/>
    <n v="2600"/>
    <n v="0.04"/>
    <n v="2496"/>
    <n v="104"/>
    <d v="2020-09-03T00:00:00"/>
    <d v="2020-09-03T00:00:00"/>
    <n v="399"/>
    <n v="2"/>
    <x v="0"/>
    <n v="0.09"/>
    <n v="224.64"/>
    <n v="7"/>
    <s v="Agosto"/>
  </r>
  <r>
    <n v="400"/>
    <d v="2020-08-04T00:00:00"/>
    <x v="7"/>
    <n v="43"/>
    <x v="59"/>
    <x v="4"/>
    <x v="7"/>
    <n v="106"/>
    <n v="1060"/>
    <n v="0.04"/>
    <n v="1017.6"/>
    <n v="42.399999999999977"/>
    <d v="2020-08-14T00:00:00"/>
    <d v="2020-08-14T00:00:00"/>
    <n v="400"/>
    <n v="6"/>
    <x v="3"/>
    <n v="0.08"/>
    <n v="81.408000000000001"/>
    <n v="1"/>
    <s v="Agosto"/>
  </r>
  <r>
    <n v="401"/>
    <d v="2020-08-04T00:00:00"/>
    <x v="7"/>
    <n v="27"/>
    <x v="61"/>
    <x v="3"/>
    <x v="1"/>
    <n v="119"/>
    <n v="5593"/>
    <n v="0.1"/>
    <n v="5033.7"/>
    <n v="559.30000000000018"/>
    <d v="2020-08-15T00:00:00"/>
    <d v="2020-08-15T00:00:00"/>
    <n v="401"/>
    <n v="5"/>
    <x v="8"/>
    <n v="0.08"/>
    <n v="402.69599999999997"/>
    <n v="2"/>
    <s v="Agosto"/>
  </r>
  <r>
    <n v="402"/>
    <d v="2020-08-04T00:00:00"/>
    <x v="7"/>
    <n v="52"/>
    <x v="1"/>
    <x v="6"/>
    <x v="16"/>
    <n v="92"/>
    <n v="1932"/>
    <n v="0.02"/>
    <n v="1893.36"/>
    <n v="38.6400000000001"/>
    <d v="2020-08-05T00:00:00"/>
    <d v="2020-08-05T00:00:00"/>
    <n v="402"/>
    <n v="7"/>
    <x v="8"/>
    <n v="0.09"/>
    <n v="170.40239999999997"/>
    <n v="3"/>
    <s v="Agosto"/>
  </r>
  <r>
    <n v="403"/>
    <d v="2020-08-04T00:00:00"/>
    <x v="7"/>
    <n v="78"/>
    <x v="7"/>
    <x v="6"/>
    <x v="12"/>
    <n v="104"/>
    <n v="1872"/>
    <n v="0.11"/>
    <n v="1666.08"/>
    <n v="205.92000000000007"/>
    <d v="2020-08-24T00:00:00"/>
    <d v="2020-08-24T00:00:00"/>
    <n v="403"/>
    <n v="5"/>
    <x v="3"/>
    <n v="7.0000000000000007E-2"/>
    <n v="116.62560000000001"/>
    <n v="4"/>
    <s v="Agosto"/>
  </r>
  <r>
    <n v="404"/>
    <d v="2020-08-05T00:00:00"/>
    <x v="7"/>
    <n v="29"/>
    <x v="58"/>
    <x v="0"/>
    <x v="14"/>
    <n v="118"/>
    <n v="2950"/>
    <n v="0.02"/>
    <n v="2891"/>
    <n v="59"/>
    <d v="2020-09-02T00:00:00"/>
    <d v="2020-09-02T00:00:00"/>
    <n v="404"/>
    <n v="5"/>
    <x v="7"/>
    <n v="0.08"/>
    <n v="231.28"/>
    <n v="5"/>
    <s v="Agosto"/>
  </r>
  <r>
    <n v="405"/>
    <d v="2020-08-05T00:00:00"/>
    <x v="7"/>
    <n v="88"/>
    <x v="8"/>
    <x v="1"/>
    <x v="11"/>
    <n v="120"/>
    <n v="3240"/>
    <n v="7.0000000000000007E-2"/>
    <n v="3013.2"/>
    <n v="226.80000000000018"/>
    <d v="2020-08-29T00:00:00"/>
    <d v="2020-08-29T00:00:00"/>
    <n v="405"/>
    <n v="3"/>
    <x v="2"/>
    <n v="7.0000000000000007E-2"/>
    <n v="210.92400000000001"/>
    <n v="6"/>
    <s v="Agosto"/>
  </r>
  <r>
    <n v="406"/>
    <d v="2020-08-05T00:00:00"/>
    <x v="7"/>
    <n v="69"/>
    <x v="28"/>
    <x v="5"/>
    <x v="18"/>
    <n v="93"/>
    <n v="4557"/>
    <n v="0.13"/>
    <n v="3964.59"/>
    <n v="592.40999999999985"/>
    <d v="2020-08-25T00:00:00"/>
    <d v="2020-08-25T00:00:00"/>
    <n v="406"/>
    <n v="2"/>
    <x v="9"/>
    <n v="7.0000000000000007E-2"/>
    <n v="277.52130000000005"/>
    <n v="7"/>
    <s v="Agosto"/>
  </r>
  <r>
    <n v="407"/>
    <d v="2020-08-05T00:00:00"/>
    <x v="7"/>
    <n v="60"/>
    <x v="42"/>
    <x v="3"/>
    <x v="33"/>
    <n v="109"/>
    <n v="1635"/>
    <n v="0.1"/>
    <n v="1471.5"/>
    <n v="163.5"/>
    <d v="2020-08-08T00:00:00"/>
    <d v="2020-08-08T00:00:00"/>
    <n v="407"/>
    <n v="5"/>
    <x v="2"/>
    <n v="0.09"/>
    <n v="132.435"/>
    <n v="1"/>
    <s v="Agosto"/>
  </r>
  <r>
    <n v="408"/>
    <d v="2020-08-05T00:00:00"/>
    <x v="7"/>
    <n v="62"/>
    <x v="8"/>
    <x v="0"/>
    <x v="15"/>
    <n v="109"/>
    <n v="3270"/>
    <n v="0.13"/>
    <n v="2844.9"/>
    <n v="425.09999999999991"/>
    <d v="2020-08-07T00:00:00"/>
    <d v="2020-08-07T00:00:00"/>
    <n v="408"/>
    <n v="1"/>
    <x v="8"/>
    <n v="0.09"/>
    <n v="256.041"/>
    <n v="2"/>
    <s v="Agosto"/>
  </r>
  <r>
    <n v="409"/>
    <d v="2020-08-06T00:00:00"/>
    <x v="7"/>
    <n v="41"/>
    <x v="29"/>
    <x v="1"/>
    <x v="16"/>
    <n v="101"/>
    <n v="2121"/>
    <n v="0.1"/>
    <n v="1908.9"/>
    <n v="212.09999999999991"/>
    <d v="2020-08-16T00:00:00"/>
    <d v="2020-08-16T00:00:00"/>
    <n v="409"/>
    <n v="5"/>
    <x v="8"/>
    <n v="0.09"/>
    <n v="171.80099999999999"/>
    <n v="3"/>
    <s v="Agosto"/>
  </r>
  <r>
    <n v="410"/>
    <d v="2020-08-07T00:00:00"/>
    <x v="7"/>
    <n v="1"/>
    <x v="53"/>
    <x v="6"/>
    <x v="33"/>
    <n v="107"/>
    <n v="1605"/>
    <n v="0.05"/>
    <n v="1524.75"/>
    <n v="80.25"/>
    <d v="2020-08-16T00:00:00"/>
    <d v="2020-08-16T00:00:00"/>
    <n v="410"/>
    <n v="5"/>
    <x v="1"/>
    <n v="0.09"/>
    <n v="137.22749999999999"/>
    <n v="4"/>
    <s v="Agosto"/>
  </r>
  <r>
    <n v="411"/>
    <d v="2020-08-07T00:00:00"/>
    <x v="7"/>
    <n v="8"/>
    <x v="8"/>
    <x v="6"/>
    <x v="16"/>
    <n v="92"/>
    <n v="1932"/>
    <n v="0.06"/>
    <n v="1816.08"/>
    <n v="115.92000000000007"/>
    <d v="2020-08-21T00:00:00"/>
    <d v="2020-08-21T00:00:00"/>
    <n v="411"/>
    <n v="2"/>
    <x v="2"/>
    <n v="0.1"/>
    <n v="181.608"/>
    <n v="5"/>
    <s v="Agosto"/>
  </r>
  <r>
    <n v="412"/>
    <d v="2020-08-07T00:00:00"/>
    <x v="7"/>
    <n v="52"/>
    <x v="1"/>
    <x v="6"/>
    <x v="17"/>
    <n v="105"/>
    <n v="4095"/>
    <n v="0.08"/>
    <n v="3767.4"/>
    <n v="327.59999999999991"/>
    <d v="2020-08-22T00:00:00"/>
    <d v="2020-08-22T00:00:00"/>
    <n v="412"/>
    <n v="5"/>
    <x v="3"/>
    <n v="0.09"/>
    <n v="339.06599999999997"/>
    <n v="6"/>
    <s v="Agosto"/>
  </r>
  <r>
    <n v="413"/>
    <d v="2020-08-07T00:00:00"/>
    <x v="7"/>
    <n v="39"/>
    <x v="8"/>
    <x v="6"/>
    <x v="9"/>
    <n v="113"/>
    <n v="5085"/>
    <n v="0"/>
    <n v="5085"/>
    <n v="0"/>
    <d v="2020-08-10T00:00:00"/>
    <d v="2020-08-10T00:00:00"/>
    <n v="413"/>
    <n v="7"/>
    <x v="4"/>
    <n v="7.0000000000000007E-2"/>
    <n v="355.95000000000005"/>
    <n v="7"/>
    <s v="Agosto"/>
  </r>
  <r>
    <n v="414"/>
    <d v="2020-08-10T00:00:00"/>
    <x v="7"/>
    <n v="87"/>
    <x v="10"/>
    <x v="6"/>
    <x v="33"/>
    <n v="91"/>
    <n v="1365"/>
    <n v="0.06"/>
    <n v="1283.0999999999999"/>
    <n v="81.900000000000091"/>
    <d v="2020-08-23T00:00:00"/>
    <d v="2020-08-23T00:00:00"/>
    <n v="414"/>
    <n v="3"/>
    <x v="6"/>
    <n v="0.05"/>
    <n v="64.155000000000001"/>
    <n v="1"/>
    <s v="Agosto"/>
  </r>
  <r>
    <n v="415"/>
    <d v="2020-08-10T00:00:00"/>
    <x v="7"/>
    <n v="24"/>
    <x v="34"/>
    <x v="3"/>
    <x v="33"/>
    <n v="110"/>
    <n v="1650"/>
    <n v="0.01"/>
    <n v="1633.5"/>
    <n v="16.5"/>
    <d v="2020-09-05T00:00:00"/>
    <d v="2020-09-05T00:00:00"/>
    <n v="415"/>
    <n v="2"/>
    <x v="5"/>
    <n v="0.09"/>
    <n v="147.01499999999999"/>
    <n v="2"/>
    <s v="Agosto"/>
  </r>
  <r>
    <n v="416"/>
    <d v="2020-08-11T00:00:00"/>
    <x v="7"/>
    <n v="13"/>
    <x v="35"/>
    <x v="5"/>
    <x v="28"/>
    <n v="111"/>
    <n v="4218"/>
    <n v="0.08"/>
    <n v="3880.56"/>
    <n v="337.44000000000005"/>
    <d v="2020-09-08T00:00:00"/>
    <d v="2020-09-08T00:00:00"/>
    <n v="416"/>
    <n v="4"/>
    <x v="7"/>
    <n v="0.06"/>
    <n v="232.83359999999999"/>
    <n v="3"/>
    <s v="Agosto"/>
  </r>
  <r>
    <n v="417"/>
    <d v="2020-08-13T00:00:00"/>
    <x v="7"/>
    <n v="25"/>
    <x v="24"/>
    <x v="2"/>
    <x v="34"/>
    <n v="115"/>
    <n v="1495"/>
    <n v="0.14000000000000001"/>
    <n v="1285.7"/>
    <n v="209.29999999999995"/>
    <d v="2020-09-02T00:00:00"/>
    <d v="2020-09-02T00:00:00"/>
    <n v="417"/>
    <n v="7"/>
    <x v="2"/>
    <n v="0.1"/>
    <n v="128.57000000000002"/>
    <n v="4"/>
    <s v="Agosto"/>
  </r>
  <r>
    <n v="418"/>
    <d v="2020-08-13T00:00:00"/>
    <x v="7"/>
    <n v="88"/>
    <x v="8"/>
    <x v="1"/>
    <x v="17"/>
    <n v="112"/>
    <n v="4368"/>
    <n v="0.04"/>
    <n v="4193.28"/>
    <n v="174.72000000000025"/>
    <d v="2020-08-20T00:00:00"/>
    <d v="2020-08-20T00:00:00"/>
    <n v="418"/>
    <n v="5"/>
    <x v="0"/>
    <n v="0.09"/>
    <n v="377.39519999999999"/>
    <n v="5"/>
    <s v="Agosto"/>
  </r>
  <r>
    <n v="419"/>
    <d v="2020-08-13T00:00:00"/>
    <x v="7"/>
    <n v="78"/>
    <x v="7"/>
    <x v="7"/>
    <x v="23"/>
    <n v="103"/>
    <n v="1957"/>
    <n v="0.01"/>
    <n v="1937.43"/>
    <n v="19.569999999999936"/>
    <d v="2020-09-06T00:00:00"/>
    <d v="2020-09-06T00:00:00"/>
    <n v="419"/>
    <n v="5"/>
    <x v="6"/>
    <n v="0.06"/>
    <n v="116.2458"/>
    <n v="6"/>
    <s v="Agosto"/>
  </r>
  <r>
    <n v="420"/>
    <d v="2020-08-13T00:00:00"/>
    <x v="7"/>
    <n v="32"/>
    <x v="37"/>
    <x v="1"/>
    <x v="27"/>
    <n v="95"/>
    <n v="4370"/>
    <n v="0.05"/>
    <n v="4151.5"/>
    <n v="218.5"/>
    <d v="2020-08-27T00:00:00"/>
    <d v="2020-08-27T00:00:00"/>
    <n v="420"/>
    <n v="7"/>
    <x v="9"/>
    <n v="0.05"/>
    <n v="207.57500000000002"/>
    <n v="7"/>
    <s v="Agosto"/>
  </r>
  <r>
    <n v="421"/>
    <d v="2020-08-14T00:00:00"/>
    <x v="7"/>
    <n v="39"/>
    <x v="8"/>
    <x v="1"/>
    <x v="1"/>
    <n v="110"/>
    <n v="5170"/>
    <n v="0.12"/>
    <n v="4549.6000000000004"/>
    <n v="620.39999999999964"/>
    <d v="2020-08-24T00:00:00"/>
    <d v="2020-08-24T00:00:00"/>
    <n v="421"/>
    <n v="7"/>
    <x v="6"/>
    <n v="0.1"/>
    <n v="454.96000000000004"/>
    <n v="1"/>
    <s v="Agosto"/>
  </r>
  <r>
    <n v="422"/>
    <d v="2020-08-14T00:00:00"/>
    <x v="7"/>
    <n v="77"/>
    <x v="26"/>
    <x v="2"/>
    <x v="16"/>
    <n v="103"/>
    <n v="2163"/>
    <n v="0.12"/>
    <n v="1903.44"/>
    <n v="259.55999999999995"/>
    <d v="2020-09-01T00:00:00"/>
    <d v="2020-09-01T00:00:00"/>
    <n v="422"/>
    <n v="4"/>
    <x v="6"/>
    <n v="0.1"/>
    <n v="190.34400000000002"/>
    <n v="2"/>
    <s v="Agosto"/>
  </r>
  <r>
    <n v="423"/>
    <d v="2020-08-15T00:00:00"/>
    <x v="7"/>
    <n v="94"/>
    <x v="15"/>
    <x v="2"/>
    <x v="8"/>
    <n v="113"/>
    <n v="2486"/>
    <n v="0.13"/>
    <n v="2162.8200000000002"/>
    <n v="323.17999999999984"/>
    <d v="2020-09-05T00:00:00"/>
    <d v="2020-09-05T00:00:00"/>
    <n v="423"/>
    <n v="1"/>
    <x v="7"/>
    <n v="0.05"/>
    <n v="108.14100000000002"/>
    <n v="3"/>
    <s v="Agosto"/>
  </r>
  <r>
    <n v="424"/>
    <d v="2020-08-15T00:00:00"/>
    <x v="7"/>
    <n v="93"/>
    <x v="5"/>
    <x v="5"/>
    <x v="39"/>
    <n v="109"/>
    <n v="3924"/>
    <n v="0.03"/>
    <n v="3806.28"/>
    <n v="117.7199999999998"/>
    <d v="2020-09-11T00:00:00"/>
    <d v="2020-09-11T00:00:00"/>
    <n v="424"/>
    <n v="3"/>
    <x v="8"/>
    <n v="0.06"/>
    <n v="228.3768"/>
    <n v="4"/>
    <s v="Agosto"/>
  </r>
  <r>
    <n v="425"/>
    <d v="2020-08-16T00:00:00"/>
    <x v="7"/>
    <n v="32"/>
    <x v="37"/>
    <x v="3"/>
    <x v="21"/>
    <n v="116"/>
    <n v="1972"/>
    <n v="0.05"/>
    <n v="1873.4"/>
    <n v="98.599999999999909"/>
    <d v="2020-08-17T00:00:00"/>
    <d v="2020-08-17T00:00:00"/>
    <n v="425"/>
    <n v="3"/>
    <x v="7"/>
    <n v="0.05"/>
    <n v="93.670000000000016"/>
    <n v="5"/>
    <s v="Agosto"/>
  </r>
  <r>
    <n v="426"/>
    <d v="2020-08-16T00:00:00"/>
    <x v="7"/>
    <n v="14"/>
    <x v="3"/>
    <x v="2"/>
    <x v="27"/>
    <n v="100"/>
    <n v="4600"/>
    <n v="0.04"/>
    <n v="4416"/>
    <n v="184"/>
    <d v="2020-09-09T00:00:00"/>
    <d v="2020-09-09T00:00:00"/>
    <n v="426"/>
    <n v="4"/>
    <x v="2"/>
    <n v="0.09"/>
    <n v="397.44"/>
    <n v="6"/>
    <s v="Agosto"/>
  </r>
  <r>
    <n v="427"/>
    <d v="2020-08-17T00:00:00"/>
    <x v="7"/>
    <n v="79"/>
    <x v="5"/>
    <x v="2"/>
    <x v="6"/>
    <n v="103"/>
    <n v="2060"/>
    <n v="7.0000000000000007E-2"/>
    <n v="1915.8"/>
    <n v="144.20000000000005"/>
    <d v="2020-08-23T00:00:00"/>
    <d v="2020-08-23T00:00:00"/>
    <n v="427"/>
    <n v="2"/>
    <x v="5"/>
    <n v="0.1"/>
    <n v="191.58"/>
    <n v="7"/>
    <s v="Agosto"/>
  </r>
  <r>
    <n v="428"/>
    <d v="2020-08-17T00:00:00"/>
    <x v="7"/>
    <n v="31"/>
    <x v="45"/>
    <x v="9"/>
    <x v="7"/>
    <n v="94"/>
    <n v="940"/>
    <n v="0.04"/>
    <n v="902.4"/>
    <n v="37.600000000000023"/>
    <d v="2020-08-28T00:00:00"/>
    <d v="2020-08-28T00:00:00"/>
    <n v="428"/>
    <n v="5"/>
    <x v="9"/>
    <n v="0.05"/>
    <n v="45.120000000000005"/>
    <n v="1"/>
    <s v="Agosto"/>
  </r>
  <r>
    <n v="429"/>
    <d v="2020-08-17T00:00:00"/>
    <x v="7"/>
    <n v="76"/>
    <x v="64"/>
    <x v="2"/>
    <x v="0"/>
    <n v="93"/>
    <n v="3441"/>
    <n v="0.06"/>
    <n v="3234.54"/>
    <n v="206.46000000000004"/>
    <d v="2020-09-14T00:00:00"/>
    <d v="2020-09-14T00:00:00"/>
    <n v="429"/>
    <n v="1"/>
    <x v="3"/>
    <n v="0.1"/>
    <n v="323.45400000000001"/>
    <n v="2"/>
    <s v="Agosto"/>
  </r>
  <r>
    <n v="430"/>
    <d v="2020-08-18T00:00:00"/>
    <x v="7"/>
    <n v="32"/>
    <x v="37"/>
    <x v="9"/>
    <x v="14"/>
    <n v="111"/>
    <n v="2775"/>
    <n v="7.0000000000000007E-2"/>
    <n v="2580.75"/>
    <n v="194.25"/>
    <d v="2020-09-16T00:00:00"/>
    <d v="2020-09-16T00:00:00"/>
    <n v="430"/>
    <n v="4"/>
    <x v="7"/>
    <n v="0.05"/>
    <n v="129.03749999999999"/>
    <n v="3"/>
    <s v="Agosto"/>
  </r>
  <r>
    <n v="431"/>
    <d v="2020-08-18T00:00:00"/>
    <x v="7"/>
    <n v="38"/>
    <x v="33"/>
    <x v="5"/>
    <x v="14"/>
    <n v="93"/>
    <n v="2325"/>
    <n v="0.04"/>
    <n v="2232"/>
    <n v="93"/>
    <d v="2020-09-03T00:00:00"/>
    <d v="2020-09-03T00:00:00"/>
    <n v="431"/>
    <n v="7"/>
    <x v="8"/>
    <n v="0.05"/>
    <n v="111.60000000000001"/>
    <n v="4"/>
    <s v="Agosto"/>
  </r>
  <r>
    <n v="432"/>
    <d v="2020-08-19T00:00:00"/>
    <x v="7"/>
    <n v="72"/>
    <x v="8"/>
    <x v="6"/>
    <x v="22"/>
    <n v="111"/>
    <n v="3108"/>
    <n v="0.04"/>
    <n v="2983.68"/>
    <n v="124.32000000000016"/>
    <d v="2020-09-13T00:00:00"/>
    <d v="2020-09-13T00:00:00"/>
    <n v="432"/>
    <n v="2"/>
    <x v="7"/>
    <n v="0.08"/>
    <n v="238.6944"/>
    <n v="5"/>
    <s v="Agosto"/>
  </r>
  <r>
    <n v="433"/>
    <d v="2020-08-20T00:00:00"/>
    <x v="7"/>
    <n v="38"/>
    <x v="33"/>
    <x v="3"/>
    <x v="37"/>
    <n v="90"/>
    <n v="2880"/>
    <n v="0.03"/>
    <n v="2793.6"/>
    <n v="86.400000000000091"/>
    <d v="2020-09-13T00:00:00"/>
    <d v="2020-09-13T00:00:00"/>
    <n v="433"/>
    <n v="7"/>
    <x v="7"/>
    <n v="0.09"/>
    <n v="251.42399999999998"/>
    <n v="6"/>
    <s v="Agosto"/>
  </r>
  <r>
    <n v="434"/>
    <d v="2020-08-21T00:00:00"/>
    <x v="7"/>
    <n v="84"/>
    <x v="12"/>
    <x v="3"/>
    <x v="33"/>
    <n v="112"/>
    <n v="1680"/>
    <n v="0.12"/>
    <n v="1478.4"/>
    <n v="201.59999999999991"/>
    <d v="2020-08-21T00:00:00"/>
    <d v="2020-08-21T00:00:00"/>
    <n v="434"/>
    <n v="2"/>
    <x v="4"/>
    <n v="0.05"/>
    <n v="73.92"/>
    <n v="7"/>
    <s v="Agosto"/>
  </r>
  <r>
    <n v="435"/>
    <d v="2020-08-21T00:00:00"/>
    <x v="7"/>
    <n v="95"/>
    <x v="8"/>
    <x v="2"/>
    <x v="38"/>
    <n v="120"/>
    <n v="4800"/>
    <n v="0.13"/>
    <n v="4176"/>
    <n v="624"/>
    <d v="2020-08-27T00:00:00"/>
    <d v="2020-08-27T00:00:00"/>
    <n v="435"/>
    <n v="3"/>
    <x v="6"/>
    <n v="0.06"/>
    <n v="250.56"/>
    <n v="1"/>
    <s v="Agosto"/>
  </r>
  <r>
    <n v="436"/>
    <d v="2020-08-21T00:00:00"/>
    <x v="7"/>
    <n v="71"/>
    <x v="0"/>
    <x v="6"/>
    <x v="22"/>
    <n v="91"/>
    <n v="2548"/>
    <n v="0.04"/>
    <n v="2446.08"/>
    <n v="101.92000000000007"/>
    <d v="2020-09-12T00:00:00"/>
    <d v="2020-09-12T00:00:00"/>
    <n v="436"/>
    <n v="1"/>
    <x v="8"/>
    <n v="7.0000000000000007E-2"/>
    <n v="171.22560000000001"/>
    <n v="2"/>
    <s v="Agosto"/>
  </r>
  <r>
    <n v="437"/>
    <d v="2020-08-21T00:00:00"/>
    <x v="7"/>
    <n v="31"/>
    <x v="45"/>
    <x v="4"/>
    <x v="34"/>
    <n v="114"/>
    <n v="1482"/>
    <n v="0.14000000000000001"/>
    <n v="1274.52"/>
    <n v="207.48000000000002"/>
    <d v="2020-09-02T00:00:00"/>
    <d v="2020-09-02T00:00:00"/>
    <n v="437"/>
    <n v="4"/>
    <x v="2"/>
    <n v="7.0000000000000007E-2"/>
    <n v="89.216400000000007"/>
    <n v="3"/>
    <s v="Agosto"/>
  </r>
  <r>
    <n v="438"/>
    <d v="2020-08-22T00:00:00"/>
    <x v="7"/>
    <n v="44"/>
    <x v="31"/>
    <x v="6"/>
    <x v="22"/>
    <n v="104"/>
    <n v="2912"/>
    <n v="0.12"/>
    <n v="2562.56"/>
    <n v="349.44000000000005"/>
    <d v="2020-09-12T00:00:00"/>
    <d v="2020-09-12T00:00:00"/>
    <n v="438"/>
    <n v="2"/>
    <x v="1"/>
    <n v="0.08"/>
    <n v="205.00479999999999"/>
    <n v="4"/>
    <s v="Agosto"/>
  </r>
  <r>
    <n v="439"/>
    <d v="2020-08-22T00:00:00"/>
    <x v="7"/>
    <n v="54"/>
    <x v="39"/>
    <x v="2"/>
    <x v="26"/>
    <n v="104"/>
    <n v="1664"/>
    <n v="0.15"/>
    <n v="1414.4"/>
    <n v="249.59999999999991"/>
    <d v="2020-09-12T00:00:00"/>
    <d v="2020-09-12T00:00:00"/>
    <n v="439"/>
    <n v="4"/>
    <x v="1"/>
    <n v="0.1"/>
    <n v="141.44000000000003"/>
    <n v="5"/>
    <s v="Agosto"/>
  </r>
  <r>
    <n v="440"/>
    <d v="2020-08-23T00:00:00"/>
    <x v="7"/>
    <n v="24"/>
    <x v="34"/>
    <x v="5"/>
    <x v="32"/>
    <n v="90"/>
    <n v="3150"/>
    <n v="0.01"/>
    <n v="3118.5"/>
    <n v="31.5"/>
    <d v="2020-09-02T00:00:00"/>
    <d v="2020-09-02T00:00:00"/>
    <n v="440"/>
    <n v="2"/>
    <x v="8"/>
    <n v="0.05"/>
    <n v="155.92500000000001"/>
    <n v="6"/>
    <s v="Agosto"/>
  </r>
  <r>
    <n v="441"/>
    <d v="2020-08-23T00:00:00"/>
    <x v="7"/>
    <n v="71"/>
    <x v="0"/>
    <x v="1"/>
    <x v="16"/>
    <n v="92"/>
    <n v="1932"/>
    <n v="0.12"/>
    <n v="1700.16"/>
    <n v="231.83999999999992"/>
    <d v="2020-09-05T00:00:00"/>
    <d v="2020-09-05T00:00:00"/>
    <n v="441"/>
    <n v="3"/>
    <x v="4"/>
    <n v="0.08"/>
    <n v="136.0128"/>
    <n v="7"/>
    <s v="Agosto"/>
  </r>
  <r>
    <n v="442"/>
    <d v="2020-08-23T00:00:00"/>
    <x v="7"/>
    <n v="30"/>
    <x v="56"/>
    <x v="3"/>
    <x v="19"/>
    <n v="95"/>
    <n v="2755"/>
    <n v="0.06"/>
    <n v="2589.6999999999998"/>
    <n v="165.30000000000018"/>
    <d v="2020-08-30T00:00:00"/>
    <d v="2020-08-30T00:00:00"/>
    <n v="442"/>
    <n v="2"/>
    <x v="9"/>
    <n v="0.06"/>
    <n v="155.38199999999998"/>
    <n v="1"/>
    <s v="Agosto"/>
  </r>
  <r>
    <n v="443"/>
    <d v="2020-08-24T00:00:00"/>
    <x v="7"/>
    <n v="62"/>
    <x v="8"/>
    <x v="3"/>
    <x v="37"/>
    <n v="113"/>
    <n v="3616"/>
    <n v="0.1"/>
    <n v="3254.4"/>
    <n v="361.59999999999991"/>
    <d v="2020-09-08T00:00:00"/>
    <d v="2020-09-08T00:00:00"/>
    <n v="443"/>
    <n v="4"/>
    <x v="1"/>
    <n v="0.1"/>
    <n v="325.44000000000005"/>
    <n v="2"/>
    <s v="Agosto"/>
  </r>
  <r>
    <n v="444"/>
    <d v="2020-08-25T00:00:00"/>
    <x v="7"/>
    <n v="100"/>
    <x v="8"/>
    <x v="3"/>
    <x v="10"/>
    <n v="102"/>
    <n v="1428"/>
    <n v="0.08"/>
    <n v="1313.76"/>
    <n v="114.24000000000001"/>
    <d v="2020-09-04T00:00:00"/>
    <d v="2020-09-04T00:00:00"/>
    <n v="444"/>
    <n v="1"/>
    <x v="6"/>
    <n v="0.1"/>
    <n v="131.376"/>
    <n v="3"/>
    <s v="Agosto"/>
  </r>
  <r>
    <n v="445"/>
    <d v="2020-08-25T00:00:00"/>
    <x v="7"/>
    <n v="84"/>
    <x v="12"/>
    <x v="1"/>
    <x v="33"/>
    <n v="111"/>
    <n v="1665"/>
    <n v="0.13"/>
    <n v="1448.55"/>
    <n v="216.45000000000005"/>
    <d v="2020-09-11T00:00:00"/>
    <d v="2020-09-11T00:00:00"/>
    <n v="445"/>
    <n v="7"/>
    <x v="5"/>
    <n v="0.08"/>
    <n v="115.884"/>
    <n v="4"/>
    <s v="Agosto"/>
  </r>
  <r>
    <n v="446"/>
    <d v="2020-08-25T00:00:00"/>
    <x v="7"/>
    <n v="63"/>
    <x v="40"/>
    <x v="2"/>
    <x v="17"/>
    <n v="102"/>
    <n v="3978"/>
    <n v="0"/>
    <n v="3978"/>
    <n v="0"/>
    <d v="2020-09-18T00:00:00"/>
    <d v="2020-09-18T00:00:00"/>
    <n v="446"/>
    <n v="3"/>
    <x v="3"/>
    <n v="0.09"/>
    <n v="358.02"/>
    <n v="5"/>
    <s v="Agosto"/>
  </r>
  <r>
    <n v="447"/>
    <d v="2020-08-26T00:00:00"/>
    <x v="7"/>
    <n v="81"/>
    <x v="63"/>
    <x v="1"/>
    <x v="6"/>
    <n v="112"/>
    <n v="2240"/>
    <n v="0.14000000000000001"/>
    <n v="1926.4"/>
    <n v="313.59999999999991"/>
    <d v="2020-09-19T00:00:00"/>
    <d v="2020-09-19T00:00:00"/>
    <n v="447"/>
    <n v="6"/>
    <x v="3"/>
    <n v="0.06"/>
    <n v="115.584"/>
    <n v="6"/>
    <s v="Agosto"/>
  </r>
  <r>
    <n v="448"/>
    <d v="2020-08-26T00:00:00"/>
    <x v="7"/>
    <n v="43"/>
    <x v="59"/>
    <x v="3"/>
    <x v="0"/>
    <n v="107"/>
    <n v="3959"/>
    <n v="0.01"/>
    <n v="3919.41"/>
    <n v="39.590000000000146"/>
    <d v="2020-09-10T00:00:00"/>
    <d v="2020-09-10T00:00:00"/>
    <n v="448"/>
    <n v="5"/>
    <x v="4"/>
    <n v="7.0000000000000007E-2"/>
    <n v="274.3587"/>
    <n v="7"/>
    <s v="Agosto"/>
  </r>
  <r>
    <n v="449"/>
    <d v="2020-08-27T00:00:00"/>
    <x v="7"/>
    <n v="7"/>
    <x v="62"/>
    <x v="4"/>
    <x v="36"/>
    <n v="113"/>
    <n v="4746"/>
    <n v="0.12"/>
    <n v="4176.4799999999996"/>
    <n v="569.52000000000044"/>
    <d v="2020-09-13T00:00:00"/>
    <d v="2020-09-13T00:00:00"/>
    <n v="449"/>
    <n v="1"/>
    <x v="2"/>
    <n v="0.08"/>
    <n v="334.11839999999995"/>
    <n v="1"/>
    <s v="Agosto"/>
  </r>
  <r>
    <n v="450"/>
    <d v="2020-08-27T00:00:00"/>
    <x v="7"/>
    <n v="66"/>
    <x v="4"/>
    <x v="9"/>
    <x v="3"/>
    <n v="109"/>
    <n v="4796"/>
    <n v="0.02"/>
    <n v="4700.08"/>
    <n v="95.920000000000073"/>
    <d v="2020-09-01T00:00:00"/>
    <d v="2020-09-01T00:00:00"/>
    <n v="450"/>
    <n v="4"/>
    <x v="6"/>
    <n v="0.06"/>
    <n v="282.00479999999999"/>
    <n v="2"/>
    <s v="Agosto"/>
  </r>
  <r>
    <n v="451"/>
    <d v="2020-08-27T00:00:00"/>
    <x v="7"/>
    <n v="76"/>
    <x v="64"/>
    <x v="5"/>
    <x v="30"/>
    <n v="97"/>
    <n v="3201"/>
    <n v="0.1"/>
    <n v="2880.9"/>
    <n v="320.09999999999991"/>
    <d v="2020-09-11T00:00:00"/>
    <d v="2020-09-11T00:00:00"/>
    <n v="451"/>
    <n v="5"/>
    <x v="3"/>
    <n v="0.08"/>
    <n v="230.47200000000001"/>
    <n v="3"/>
    <s v="Agosto"/>
  </r>
  <r>
    <n v="452"/>
    <d v="2020-08-28T00:00:00"/>
    <x v="7"/>
    <n v="37"/>
    <x v="14"/>
    <x v="3"/>
    <x v="19"/>
    <n v="116"/>
    <n v="3364"/>
    <n v="0"/>
    <n v="3364"/>
    <n v="0"/>
    <d v="2020-09-23T00:00:00"/>
    <d v="2020-09-23T00:00:00"/>
    <n v="452"/>
    <n v="4"/>
    <x v="2"/>
    <n v="0.06"/>
    <n v="201.84"/>
    <n v="4"/>
    <s v="Agosto"/>
  </r>
  <r>
    <n v="453"/>
    <d v="2020-08-28T00:00:00"/>
    <x v="7"/>
    <n v="13"/>
    <x v="35"/>
    <x v="7"/>
    <x v="37"/>
    <n v="108"/>
    <n v="3456"/>
    <n v="0.11"/>
    <n v="3075.84"/>
    <n v="380.15999999999985"/>
    <d v="2020-09-13T00:00:00"/>
    <d v="2020-09-13T00:00:00"/>
    <n v="453"/>
    <n v="5"/>
    <x v="2"/>
    <n v="7.0000000000000007E-2"/>
    <n v="215.30880000000002"/>
    <n v="5"/>
    <s v="Agosto"/>
  </r>
  <r>
    <n v="454"/>
    <d v="2020-08-29T00:00:00"/>
    <x v="7"/>
    <n v="30"/>
    <x v="56"/>
    <x v="0"/>
    <x v="38"/>
    <n v="106"/>
    <n v="4240"/>
    <n v="0.11"/>
    <n v="3773.6"/>
    <n v="466.40000000000009"/>
    <d v="2020-09-19T00:00:00"/>
    <d v="2020-09-19T00:00:00"/>
    <n v="454"/>
    <n v="1"/>
    <x v="6"/>
    <n v="0.06"/>
    <n v="226.416"/>
    <n v="6"/>
    <s v="Agosto"/>
  </r>
  <r>
    <n v="455"/>
    <d v="2020-08-29T00:00:00"/>
    <x v="7"/>
    <n v="52"/>
    <x v="1"/>
    <x v="4"/>
    <x v="18"/>
    <n v="92"/>
    <n v="4508"/>
    <n v="7.0000000000000007E-2"/>
    <n v="4192.4399999999996"/>
    <n v="315.5600000000004"/>
    <d v="2020-09-15T00:00:00"/>
    <d v="2020-09-15T00:00:00"/>
    <n v="455"/>
    <n v="3"/>
    <x v="8"/>
    <n v="0.1"/>
    <n v="419.24399999999997"/>
    <n v="7"/>
    <s v="Agosto"/>
  </r>
  <r>
    <n v="456"/>
    <d v="2020-08-29T00:00:00"/>
    <x v="7"/>
    <n v="3"/>
    <x v="51"/>
    <x v="2"/>
    <x v="31"/>
    <n v="93"/>
    <n v="2418"/>
    <n v="0.15"/>
    <n v="2055.3000000000002"/>
    <n v="362.69999999999982"/>
    <d v="2020-09-18T00:00:00"/>
    <d v="2020-09-18T00:00:00"/>
    <n v="456"/>
    <n v="4"/>
    <x v="0"/>
    <n v="0.1"/>
    <n v="205.53000000000003"/>
    <n v="1"/>
    <s v="Agosto"/>
  </r>
  <r>
    <n v="457"/>
    <d v="2020-08-30T00:00:00"/>
    <x v="7"/>
    <n v="37"/>
    <x v="14"/>
    <x v="2"/>
    <x v="17"/>
    <n v="96"/>
    <n v="3744"/>
    <n v="7.0000000000000007E-2"/>
    <n v="3481.92"/>
    <n v="262.07999999999993"/>
    <d v="2020-09-16T00:00:00"/>
    <d v="2020-09-16T00:00:00"/>
    <n v="457"/>
    <n v="2"/>
    <x v="5"/>
    <n v="0.05"/>
    <n v="174.096"/>
    <n v="2"/>
    <s v="Agosto"/>
  </r>
  <r>
    <n v="458"/>
    <d v="2020-08-30T00:00:00"/>
    <x v="7"/>
    <n v="23"/>
    <x v="65"/>
    <x v="1"/>
    <x v="9"/>
    <n v="114"/>
    <n v="5130"/>
    <n v="0.03"/>
    <n v="4976.1000000000004"/>
    <n v="153.89999999999964"/>
    <d v="2020-09-27T00:00:00"/>
    <d v="2020-09-27T00:00:00"/>
    <n v="458"/>
    <n v="4"/>
    <x v="3"/>
    <n v="0.1"/>
    <n v="497.61000000000007"/>
    <n v="3"/>
    <s v="Agosto"/>
  </r>
  <r>
    <n v="459"/>
    <d v="2020-08-30T00:00:00"/>
    <x v="7"/>
    <n v="7"/>
    <x v="62"/>
    <x v="0"/>
    <x v="29"/>
    <n v="100"/>
    <n v="4800"/>
    <n v="0.03"/>
    <n v="4656"/>
    <n v="144"/>
    <d v="2020-09-28T00:00:00"/>
    <d v="2020-09-28T00:00:00"/>
    <n v="459"/>
    <n v="1"/>
    <x v="9"/>
    <n v="0.05"/>
    <n v="232.8"/>
    <n v="4"/>
    <s v="Agosto"/>
  </r>
  <r>
    <n v="460"/>
    <d v="2020-08-30T00:00:00"/>
    <x v="7"/>
    <n v="87"/>
    <x v="10"/>
    <x v="1"/>
    <x v="9"/>
    <n v="109"/>
    <n v="4905"/>
    <n v="0.03"/>
    <n v="4757.8500000000004"/>
    <n v="147.14999999999964"/>
    <d v="2020-09-05T00:00:00"/>
    <d v="2020-09-05T00:00:00"/>
    <n v="460"/>
    <n v="2"/>
    <x v="7"/>
    <n v="0.05"/>
    <n v="237.89250000000004"/>
    <n v="5"/>
    <s v="Agosto"/>
  </r>
  <r>
    <n v="461"/>
    <d v="2020-08-31T00:00:00"/>
    <x v="7"/>
    <n v="98"/>
    <x v="2"/>
    <x v="6"/>
    <x v="13"/>
    <n v="99"/>
    <n v="3069"/>
    <n v="0.11"/>
    <n v="2731.41"/>
    <n v="337.59000000000015"/>
    <d v="2020-09-07T00:00:00"/>
    <d v="2020-09-07T00:00:00"/>
    <n v="461"/>
    <n v="7"/>
    <x v="6"/>
    <n v="0.09"/>
    <n v="245.82689999999997"/>
    <n v="6"/>
    <s v="Agosto"/>
  </r>
  <r>
    <n v="462"/>
    <d v="2020-09-01T00:00:00"/>
    <x v="8"/>
    <n v="41"/>
    <x v="29"/>
    <x v="7"/>
    <x v="39"/>
    <n v="108"/>
    <n v="3888"/>
    <n v="0.02"/>
    <n v="3810.24"/>
    <n v="77.760000000000218"/>
    <d v="2020-09-20T00:00:00"/>
    <d v="2020-09-20T00:00:00"/>
    <n v="462"/>
    <n v="4"/>
    <x v="3"/>
    <n v="7.0000000000000007E-2"/>
    <n v="266.71680000000003"/>
    <n v="7"/>
    <s v="Setembro"/>
  </r>
  <r>
    <n v="463"/>
    <d v="2020-09-01T00:00:00"/>
    <x v="8"/>
    <n v="51"/>
    <x v="17"/>
    <x v="1"/>
    <x v="21"/>
    <n v="99"/>
    <n v="1683"/>
    <n v="0.12"/>
    <n v="1481.04"/>
    <n v="201.96000000000004"/>
    <d v="2020-09-06T00:00:00"/>
    <d v="2020-09-06T00:00:00"/>
    <n v="463"/>
    <n v="3"/>
    <x v="3"/>
    <n v="0.05"/>
    <n v="74.052000000000007"/>
    <n v="1"/>
    <s v="Setembro"/>
  </r>
  <r>
    <n v="464"/>
    <d v="2020-09-01T00:00:00"/>
    <x v="8"/>
    <n v="10"/>
    <x v="49"/>
    <x v="3"/>
    <x v="26"/>
    <n v="114"/>
    <n v="1824"/>
    <n v="0.08"/>
    <n v="1678.08"/>
    <n v="145.92000000000007"/>
    <d v="2020-09-20T00:00:00"/>
    <d v="2020-09-20T00:00:00"/>
    <n v="464"/>
    <n v="4"/>
    <x v="8"/>
    <n v="0.09"/>
    <n v="151.02719999999999"/>
    <n v="2"/>
    <s v="Setembro"/>
  </r>
  <r>
    <n v="465"/>
    <d v="2020-09-01T00:00:00"/>
    <x v="8"/>
    <n v="96"/>
    <x v="11"/>
    <x v="0"/>
    <x v="40"/>
    <n v="91"/>
    <n v="1092"/>
    <n v="0.12"/>
    <n v="960.96"/>
    <n v="131.03999999999996"/>
    <d v="2020-09-05T00:00:00"/>
    <d v="2020-09-05T00:00:00"/>
    <n v="465"/>
    <n v="4"/>
    <x v="4"/>
    <n v="0.08"/>
    <n v="76.876800000000003"/>
    <n v="3"/>
    <s v="Setembro"/>
  </r>
  <r>
    <n v="466"/>
    <d v="2020-09-02T00:00:00"/>
    <x v="8"/>
    <n v="100"/>
    <x v="8"/>
    <x v="4"/>
    <x v="22"/>
    <n v="95"/>
    <n v="2660"/>
    <n v="0"/>
    <n v="2660"/>
    <n v="0"/>
    <d v="2020-09-25T00:00:00"/>
    <d v="2020-09-25T00:00:00"/>
    <n v="466"/>
    <n v="4"/>
    <x v="7"/>
    <n v="0.06"/>
    <n v="159.6"/>
    <n v="4"/>
    <s v="Setembro"/>
  </r>
  <r>
    <n v="467"/>
    <d v="2020-09-02T00:00:00"/>
    <x v="8"/>
    <n v="52"/>
    <x v="1"/>
    <x v="2"/>
    <x v="2"/>
    <n v="99"/>
    <n v="3366"/>
    <n v="0.11"/>
    <n v="2995.74"/>
    <n v="370.26000000000022"/>
    <d v="2020-09-08T00:00:00"/>
    <d v="2020-09-08T00:00:00"/>
    <n v="467"/>
    <n v="4"/>
    <x v="7"/>
    <n v="0.05"/>
    <n v="149.78700000000001"/>
    <n v="5"/>
    <s v="Setembro"/>
  </r>
  <r>
    <n v="468"/>
    <d v="2020-09-03T00:00:00"/>
    <x v="8"/>
    <n v="40"/>
    <x v="15"/>
    <x v="0"/>
    <x v="29"/>
    <n v="112"/>
    <n v="5376"/>
    <n v="0.01"/>
    <n v="5322.24"/>
    <n v="53.760000000000218"/>
    <d v="2020-10-03T00:00:00"/>
    <d v="2020-10-03T00:00:00"/>
    <n v="468"/>
    <n v="4"/>
    <x v="0"/>
    <n v="0.05"/>
    <n v="266.11200000000002"/>
    <n v="6"/>
    <s v="Setembro"/>
  </r>
  <r>
    <n v="469"/>
    <d v="2020-09-03T00:00:00"/>
    <x v="8"/>
    <n v="6"/>
    <x v="48"/>
    <x v="2"/>
    <x v="9"/>
    <n v="118"/>
    <n v="5310"/>
    <n v="0.01"/>
    <n v="5256.9"/>
    <n v="53.100000000000364"/>
    <d v="2020-09-06T00:00:00"/>
    <d v="2020-09-06T00:00:00"/>
    <n v="469"/>
    <n v="4"/>
    <x v="1"/>
    <n v="0.05"/>
    <n v="262.84499999999997"/>
    <n v="7"/>
    <s v="Setembro"/>
  </r>
  <r>
    <n v="470"/>
    <d v="2020-09-05T00:00:00"/>
    <x v="8"/>
    <n v="59"/>
    <x v="57"/>
    <x v="1"/>
    <x v="23"/>
    <n v="108"/>
    <n v="2052"/>
    <n v="0.09"/>
    <n v="1867.32"/>
    <n v="184.68000000000006"/>
    <d v="2020-09-23T00:00:00"/>
    <d v="2020-09-23T00:00:00"/>
    <n v="470"/>
    <n v="3"/>
    <x v="0"/>
    <n v="7.0000000000000007E-2"/>
    <n v="130.7124"/>
    <n v="1"/>
    <s v="Setembro"/>
  </r>
  <r>
    <n v="471"/>
    <d v="2020-09-06T00:00:00"/>
    <x v="8"/>
    <n v="20"/>
    <x v="9"/>
    <x v="5"/>
    <x v="1"/>
    <n v="91"/>
    <n v="4277"/>
    <n v="0.13"/>
    <n v="3720.99"/>
    <n v="556.01000000000022"/>
    <d v="2020-09-06T00:00:00"/>
    <d v="2020-09-06T00:00:00"/>
    <n v="471"/>
    <n v="5"/>
    <x v="1"/>
    <n v="7.0000000000000007E-2"/>
    <n v="260.46930000000003"/>
    <n v="2"/>
    <s v="Setembro"/>
  </r>
  <r>
    <n v="472"/>
    <d v="2020-09-06T00:00:00"/>
    <x v="8"/>
    <n v="49"/>
    <x v="8"/>
    <x v="4"/>
    <x v="6"/>
    <n v="100"/>
    <n v="2000"/>
    <n v="0.14000000000000001"/>
    <n v="1720"/>
    <n v="280"/>
    <d v="2020-09-28T00:00:00"/>
    <d v="2020-09-28T00:00:00"/>
    <n v="472"/>
    <n v="4"/>
    <x v="7"/>
    <n v="0.09"/>
    <n v="154.79999999999998"/>
    <n v="3"/>
    <s v="Setembro"/>
  </r>
  <r>
    <n v="473"/>
    <d v="2020-09-07T00:00:00"/>
    <x v="8"/>
    <n v="29"/>
    <x v="58"/>
    <x v="2"/>
    <x v="0"/>
    <n v="117"/>
    <n v="4329"/>
    <n v="0.11"/>
    <n v="3852.81"/>
    <n v="476.19000000000005"/>
    <d v="2020-09-23T00:00:00"/>
    <d v="2020-09-23T00:00:00"/>
    <n v="473"/>
    <n v="4"/>
    <x v="5"/>
    <n v="7.0000000000000007E-2"/>
    <n v="269.69670000000002"/>
    <n v="4"/>
    <s v="Setembro"/>
  </r>
  <r>
    <n v="474"/>
    <d v="2020-09-08T00:00:00"/>
    <x v="8"/>
    <n v="45"/>
    <x v="8"/>
    <x v="3"/>
    <x v="18"/>
    <n v="93"/>
    <n v="4557"/>
    <n v="0"/>
    <n v="4557"/>
    <n v="0"/>
    <d v="2020-09-29T00:00:00"/>
    <d v="2020-09-29T00:00:00"/>
    <n v="474"/>
    <n v="4"/>
    <x v="8"/>
    <n v="0.1"/>
    <n v="455.70000000000005"/>
    <n v="5"/>
    <s v="Setembro"/>
  </r>
  <r>
    <n v="475"/>
    <d v="2020-09-09T00:00:00"/>
    <x v="8"/>
    <n v="8"/>
    <x v="8"/>
    <x v="3"/>
    <x v="16"/>
    <n v="117"/>
    <n v="2457"/>
    <n v="0.12"/>
    <n v="2162.16"/>
    <n v="294.84000000000015"/>
    <d v="2020-09-24T00:00:00"/>
    <d v="2020-09-24T00:00:00"/>
    <n v="475"/>
    <n v="4"/>
    <x v="1"/>
    <n v="0.08"/>
    <n v="172.97279999999998"/>
    <n v="6"/>
    <s v="Setembro"/>
  </r>
  <r>
    <n v="476"/>
    <d v="2020-09-09T00:00:00"/>
    <x v="8"/>
    <n v="71"/>
    <x v="0"/>
    <x v="2"/>
    <x v="11"/>
    <n v="111"/>
    <n v="2997"/>
    <n v="0.15"/>
    <n v="2547.4499999999998"/>
    <n v="449.55000000000018"/>
    <d v="2020-09-29T00:00:00"/>
    <d v="2020-09-29T00:00:00"/>
    <n v="476"/>
    <n v="7"/>
    <x v="8"/>
    <n v="0.05"/>
    <n v="127.3725"/>
    <n v="7"/>
    <s v="Setembro"/>
  </r>
  <r>
    <n v="477"/>
    <d v="2020-09-09T00:00:00"/>
    <x v="8"/>
    <n v="17"/>
    <x v="28"/>
    <x v="1"/>
    <x v="2"/>
    <n v="98"/>
    <n v="3332"/>
    <n v="0.15"/>
    <n v="2832.2"/>
    <n v="499.80000000000018"/>
    <d v="2020-09-19T00:00:00"/>
    <d v="2020-09-19T00:00:00"/>
    <n v="477"/>
    <n v="7"/>
    <x v="7"/>
    <n v="0.1"/>
    <n v="283.21999999999997"/>
    <n v="1"/>
    <s v="Setembro"/>
  </r>
  <r>
    <n v="478"/>
    <d v="2020-09-10T00:00:00"/>
    <x v="8"/>
    <n v="22"/>
    <x v="16"/>
    <x v="6"/>
    <x v="32"/>
    <n v="118"/>
    <n v="4130"/>
    <n v="0.15"/>
    <n v="3510.5"/>
    <n v="619.5"/>
    <d v="2020-09-30T00:00:00"/>
    <d v="2020-09-30T00:00:00"/>
    <n v="478"/>
    <n v="7"/>
    <x v="7"/>
    <n v="0.09"/>
    <n v="315.94499999999999"/>
    <n v="2"/>
    <s v="Setembro"/>
  </r>
  <r>
    <n v="479"/>
    <d v="2020-09-10T00:00:00"/>
    <x v="8"/>
    <n v="3"/>
    <x v="51"/>
    <x v="1"/>
    <x v="2"/>
    <n v="96"/>
    <n v="3264"/>
    <n v="0.1"/>
    <n v="2937.6"/>
    <n v="326.40000000000009"/>
    <d v="2020-09-17T00:00:00"/>
    <d v="2020-09-17T00:00:00"/>
    <n v="479"/>
    <n v="7"/>
    <x v="0"/>
    <n v="0.1"/>
    <n v="293.76"/>
    <n v="3"/>
    <s v="Setembro"/>
  </r>
  <r>
    <n v="480"/>
    <d v="2020-09-11T00:00:00"/>
    <x v="8"/>
    <n v="19"/>
    <x v="8"/>
    <x v="2"/>
    <x v="40"/>
    <n v="106"/>
    <n v="1272"/>
    <n v="0.12"/>
    <n v="1119.3600000000001"/>
    <n v="152.63999999999987"/>
    <d v="2020-10-11T00:00:00"/>
    <d v="2020-10-11T00:00:00"/>
    <n v="480"/>
    <n v="1"/>
    <x v="5"/>
    <n v="0.1"/>
    <n v="111.93600000000002"/>
    <n v="4"/>
    <s v="Setembro"/>
  </r>
  <r>
    <n v="481"/>
    <d v="2020-09-11T00:00:00"/>
    <x v="8"/>
    <n v="18"/>
    <x v="43"/>
    <x v="6"/>
    <x v="27"/>
    <n v="105"/>
    <n v="4830"/>
    <n v="0.06"/>
    <n v="4540.2"/>
    <n v="289.80000000000018"/>
    <d v="2020-10-10T00:00:00"/>
    <d v="2020-10-10T00:00:00"/>
    <n v="481"/>
    <n v="1"/>
    <x v="5"/>
    <n v="7.0000000000000007E-2"/>
    <n v="317.81400000000002"/>
    <n v="5"/>
    <s v="Setembro"/>
  </r>
  <r>
    <n v="482"/>
    <d v="2020-09-12T00:00:00"/>
    <x v="8"/>
    <n v="27"/>
    <x v="61"/>
    <x v="8"/>
    <x v="36"/>
    <n v="95"/>
    <n v="3990"/>
    <n v="0.02"/>
    <n v="3910.2"/>
    <n v="79.800000000000182"/>
    <d v="2020-09-21T00:00:00"/>
    <d v="2020-09-21T00:00:00"/>
    <n v="482"/>
    <n v="4"/>
    <x v="6"/>
    <n v="0.05"/>
    <n v="195.51"/>
    <n v="6"/>
    <s v="Setembro"/>
  </r>
  <r>
    <n v="483"/>
    <d v="2020-09-12T00:00:00"/>
    <x v="8"/>
    <n v="61"/>
    <x v="18"/>
    <x v="5"/>
    <x v="39"/>
    <n v="104"/>
    <n v="3744"/>
    <n v="0.13"/>
    <n v="3257.2799999999997"/>
    <n v="486.72000000000025"/>
    <d v="2020-09-23T00:00:00"/>
    <d v="2020-09-23T00:00:00"/>
    <n v="483"/>
    <n v="6"/>
    <x v="1"/>
    <n v="0.09"/>
    <n v="293.15519999999998"/>
    <n v="7"/>
    <s v="Setembro"/>
  </r>
  <r>
    <n v="484"/>
    <d v="2020-09-12T00:00:00"/>
    <x v="8"/>
    <n v="72"/>
    <x v="8"/>
    <x v="6"/>
    <x v="4"/>
    <n v="112"/>
    <n v="2688"/>
    <n v="7.0000000000000007E-2"/>
    <n v="2499.84"/>
    <n v="188.15999999999985"/>
    <d v="2020-10-05T00:00:00"/>
    <d v="2020-10-05T00:00:00"/>
    <n v="484"/>
    <n v="7"/>
    <x v="3"/>
    <n v="0.08"/>
    <n v="199.98720000000003"/>
    <n v="1"/>
    <s v="Setembro"/>
  </r>
  <r>
    <n v="485"/>
    <d v="2020-09-13T00:00:00"/>
    <x v="8"/>
    <n v="77"/>
    <x v="26"/>
    <x v="5"/>
    <x v="5"/>
    <n v="90"/>
    <n v="990"/>
    <n v="0.08"/>
    <n v="910.8"/>
    <n v="79.200000000000045"/>
    <d v="2020-09-28T00:00:00"/>
    <d v="2020-09-28T00:00:00"/>
    <n v="485"/>
    <n v="5"/>
    <x v="4"/>
    <n v="0.09"/>
    <n v="81.971999999999994"/>
    <n v="2"/>
    <s v="Setembro"/>
  </r>
  <r>
    <n v="486"/>
    <d v="2020-09-14T00:00:00"/>
    <x v="8"/>
    <n v="77"/>
    <x v="26"/>
    <x v="3"/>
    <x v="3"/>
    <n v="98"/>
    <n v="4312"/>
    <n v="0.13"/>
    <n v="3751.44"/>
    <n v="560.55999999999995"/>
    <d v="2020-10-02T00:00:00"/>
    <d v="2020-10-02T00:00:00"/>
    <n v="486"/>
    <n v="4"/>
    <x v="7"/>
    <n v="0.05"/>
    <n v="187.572"/>
    <n v="3"/>
    <s v="Setembro"/>
  </r>
  <r>
    <n v="487"/>
    <d v="2020-09-14T00:00:00"/>
    <x v="8"/>
    <n v="70"/>
    <x v="28"/>
    <x v="2"/>
    <x v="25"/>
    <n v="99"/>
    <n v="4059"/>
    <n v="0.01"/>
    <n v="4018.41"/>
    <n v="40.590000000000146"/>
    <d v="2020-10-05T00:00:00"/>
    <d v="2020-10-05T00:00:00"/>
    <n v="487"/>
    <n v="1"/>
    <x v="9"/>
    <n v="0.08"/>
    <n v="321.47280000000001"/>
    <n v="4"/>
    <s v="Setembro"/>
  </r>
  <r>
    <n v="488"/>
    <d v="2020-09-14T00:00:00"/>
    <x v="8"/>
    <n v="35"/>
    <x v="8"/>
    <x v="4"/>
    <x v="9"/>
    <n v="117"/>
    <n v="5265"/>
    <n v="0.09"/>
    <n v="4791.1499999999996"/>
    <n v="473.85000000000036"/>
    <d v="2020-10-04T00:00:00"/>
    <d v="2020-10-04T00:00:00"/>
    <n v="488"/>
    <n v="2"/>
    <x v="9"/>
    <n v="0.1"/>
    <n v="479.11500000000001"/>
    <n v="5"/>
    <s v="Setembro"/>
  </r>
  <r>
    <n v="489"/>
    <d v="2020-09-15T00:00:00"/>
    <x v="8"/>
    <n v="89"/>
    <x v="15"/>
    <x v="6"/>
    <x v="16"/>
    <n v="95"/>
    <n v="1995"/>
    <n v="0.01"/>
    <n v="1975.05"/>
    <n v="19.950000000000045"/>
    <d v="2020-10-09T00:00:00"/>
    <d v="2020-10-09T00:00:00"/>
    <n v="489"/>
    <n v="3"/>
    <x v="9"/>
    <n v="0.08"/>
    <n v="158.00399999999999"/>
    <n v="6"/>
    <s v="Setembro"/>
  </r>
  <r>
    <n v="490"/>
    <d v="2020-09-16T00:00:00"/>
    <x v="8"/>
    <n v="85"/>
    <x v="19"/>
    <x v="5"/>
    <x v="21"/>
    <n v="114"/>
    <n v="1938"/>
    <n v="0.06"/>
    <n v="1821.72"/>
    <n v="116.27999999999997"/>
    <d v="2020-09-19T00:00:00"/>
    <d v="2020-09-19T00:00:00"/>
    <n v="490"/>
    <n v="6"/>
    <x v="3"/>
    <n v="0.1"/>
    <n v="182.17200000000003"/>
    <n v="7"/>
    <s v="Setembro"/>
  </r>
  <r>
    <n v="491"/>
    <d v="2020-09-17T00:00:00"/>
    <x v="8"/>
    <n v="84"/>
    <x v="12"/>
    <x v="5"/>
    <x v="3"/>
    <n v="93"/>
    <n v="4092"/>
    <n v="0.13"/>
    <n v="3560.04"/>
    <n v="531.96"/>
    <d v="2020-10-09T00:00:00"/>
    <d v="2020-10-09T00:00:00"/>
    <n v="491"/>
    <n v="5"/>
    <x v="6"/>
    <n v="0.1"/>
    <n v="356.00400000000002"/>
    <n v="1"/>
    <s v="Setembro"/>
  </r>
  <r>
    <n v="492"/>
    <d v="2020-09-17T00:00:00"/>
    <x v="8"/>
    <n v="83"/>
    <x v="60"/>
    <x v="7"/>
    <x v="26"/>
    <n v="119"/>
    <n v="1904"/>
    <n v="0.02"/>
    <n v="1865.92"/>
    <n v="38.079999999999927"/>
    <d v="2020-09-20T00:00:00"/>
    <d v="2020-09-20T00:00:00"/>
    <n v="492"/>
    <n v="5"/>
    <x v="4"/>
    <n v="0.1"/>
    <n v="186.59200000000001"/>
    <n v="2"/>
    <s v="Setembro"/>
  </r>
  <r>
    <n v="493"/>
    <d v="2020-09-18T00:00:00"/>
    <x v="8"/>
    <n v="6"/>
    <x v="48"/>
    <x v="6"/>
    <x v="18"/>
    <n v="112"/>
    <n v="5488"/>
    <n v="0.01"/>
    <n v="5433.12"/>
    <n v="54.880000000000109"/>
    <d v="2020-10-07T00:00:00"/>
    <d v="2020-10-07T00:00:00"/>
    <n v="493"/>
    <n v="5"/>
    <x v="2"/>
    <n v="0.05"/>
    <n v="271.65600000000001"/>
    <n v="3"/>
    <s v="Setembro"/>
  </r>
  <r>
    <n v="494"/>
    <d v="2020-09-18T00:00:00"/>
    <x v="8"/>
    <n v="94"/>
    <x v="15"/>
    <x v="8"/>
    <x v="30"/>
    <n v="115"/>
    <n v="3795"/>
    <n v="0.02"/>
    <n v="3719.1"/>
    <n v="75.900000000000091"/>
    <d v="2020-10-13T00:00:00"/>
    <d v="2020-10-13T00:00:00"/>
    <n v="494"/>
    <n v="7"/>
    <x v="7"/>
    <n v="0.1"/>
    <n v="371.91"/>
    <n v="4"/>
    <s v="Setembro"/>
  </r>
  <r>
    <n v="495"/>
    <d v="2020-09-19T00:00:00"/>
    <x v="8"/>
    <n v="97"/>
    <x v="27"/>
    <x v="7"/>
    <x v="30"/>
    <n v="102"/>
    <n v="3366"/>
    <n v="0.14000000000000001"/>
    <n v="2894.7599999999998"/>
    <n v="471.24000000000024"/>
    <d v="2020-09-21T00:00:00"/>
    <d v="2020-09-21T00:00:00"/>
    <n v="495"/>
    <n v="7"/>
    <x v="7"/>
    <n v="7.0000000000000007E-2"/>
    <n v="202.63320000000002"/>
    <n v="5"/>
    <s v="Setembro"/>
  </r>
  <r>
    <n v="496"/>
    <d v="2020-09-20T00:00:00"/>
    <x v="8"/>
    <n v="74"/>
    <x v="8"/>
    <x v="9"/>
    <x v="33"/>
    <n v="116"/>
    <n v="1740"/>
    <n v="0.05"/>
    <n v="1653"/>
    <n v="87"/>
    <d v="2020-10-09T00:00:00"/>
    <d v="2020-10-09T00:00:00"/>
    <n v="496"/>
    <n v="5"/>
    <x v="7"/>
    <n v="0.06"/>
    <n v="99.179999999999993"/>
    <n v="6"/>
    <s v="Setembro"/>
  </r>
  <r>
    <n v="497"/>
    <d v="2020-09-20T00:00:00"/>
    <x v="8"/>
    <n v="89"/>
    <x v="15"/>
    <x v="6"/>
    <x v="10"/>
    <n v="113"/>
    <n v="1582"/>
    <n v="0.13"/>
    <n v="1376.34"/>
    <n v="205.66000000000008"/>
    <d v="2020-10-02T00:00:00"/>
    <d v="2020-10-02T00:00:00"/>
    <n v="497"/>
    <n v="6"/>
    <x v="9"/>
    <n v="0.09"/>
    <n v="123.87059999999998"/>
    <n v="7"/>
    <s v="Setembro"/>
  </r>
  <r>
    <n v="498"/>
    <d v="2020-09-20T00:00:00"/>
    <x v="8"/>
    <n v="55"/>
    <x v="12"/>
    <x v="2"/>
    <x v="20"/>
    <n v="100"/>
    <n v="2300"/>
    <n v="0.11"/>
    <n v="2047"/>
    <n v="253"/>
    <d v="2020-10-13T00:00:00"/>
    <d v="2020-10-13T00:00:00"/>
    <n v="498"/>
    <n v="1"/>
    <x v="7"/>
    <n v="0.08"/>
    <n v="163.76"/>
    <n v="1"/>
    <s v="Setembro"/>
  </r>
  <r>
    <n v="499"/>
    <d v="2020-09-23T00:00:00"/>
    <x v="8"/>
    <n v="2"/>
    <x v="6"/>
    <x v="5"/>
    <x v="38"/>
    <n v="93"/>
    <n v="3720"/>
    <n v="0.06"/>
    <n v="3496.8"/>
    <n v="223.19999999999982"/>
    <d v="2020-09-28T00:00:00"/>
    <d v="2020-09-28T00:00:00"/>
    <n v="499"/>
    <n v="7"/>
    <x v="1"/>
    <n v="0.09"/>
    <n v="314.71199999999999"/>
    <n v="2"/>
    <s v="Setembro"/>
  </r>
  <r>
    <n v="500"/>
    <d v="2020-09-24T00:00:00"/>
    <x v="8"/>
    <n v="67"/>
    <x v="66"/>
    <x v="8"/>
    <x v="2"/>
    <n v="114"/>
    <n v="3876"/>
    <n v="0.05"/>
    <n v="3682.2"/>
    <n v="193.80000000000018"/>
    <d v="2020-09-27T00:00:00"/>
    <d v="2020-09-27T00:00:00"/>
    <n v="500"/>
    <n v="7"/>
    <x v="7"/>
    <n v="7.0000000000000007E-2"/>
    <n v="257.75400000000002"/>
    <n v="3"/>
    <s v="Setembro"/>
  </r>
  <r>
    <n v="501"/>
    <d v="2020-09-25T00:00:00"/>
    <x v="8"/>
    <n v="6"/>
    <x v="48"/>
    <x v="6"/>
    <x v="3"/>
    <n v="96"/>
    <n v="4224"/>
    <n v="0.09"/>
    <n v="3843.84"/>
    <n v="380.15999999999985"/>
    <d v="2020-09-29T00:00:00"/>
    <d v="2020-09-29T00:00:00"/>
    <n v="501"/>
    <n v="1"/>
    <x v="6"/>
    <n v="0.05"/>
    <n v="192.19200000000001"/>
    <n v="4"/>
    <s v="Setembro"/>
  </r>
  <r>
    <n v="502"/>
    <d v="2020-09-25T00:00:00"/>
    <x v="8"/>
    <n v="97"/>
    <x v="27"/>
    <x v="2"/>
    <x v="39"/>
    <n v="98"/>
    <n v="3528"/>
    <n v="0.1"/>
    <n v="3175.2"/>
    <n v="352.80000000000018"/>
    <d v="2020-10-12T00:00:00"/>
    <d v="2020-10-12T00:00:00"/>
    <n v="502"/>
    <n v="7"/>
    <x v="2"/>
    <n v="7.0000000000000007E-2"/>
    <n v="222.26400000000001"/>
    <n v="5"/>
    <s v="Setembro"/>
  </r>
  <r>
    <n v="503"/>
    <d v="2020-09-25T00:00:00"/>
    <x v="8"/>
    <n v="27"/>
    <x v="61"/>
    <x v="9"/>
    <x v="2"/>
    <n v="116"/>
    <n v="3944"/>
    <n v="0"/>
    <n v="3944"/>
    <n v="0"/>
    <d v="2020-10-22T00:00:00"/>
    <d v="2020-10-22T00:00:00"/>
    <n v="503"/>
    <n v="7"/>
    <x v="7"/>
    <n v="7.0000000000000007E-2"/>
    <n v="276.08000000000004"/>
    <n v="6"/>
    <s v="Setembro"/>
  </r>
  <r>
    <n v="504"/>
    <d v="2020-09-26T00:00:00"/>
    <x v="8"/>
    <n v="27"/>
    <x v="61"/>
    <x v="1"/>
    <x v="3"/>
    <n v="95"/>
    <n v="4180"/>
    <n v="0"/>
    <n v="4180"/>
    <n v="0"/>
    <d v="2020-09-28T00:00:00"/>
    <d v="2020-09-28T00:00:00"/>
    <n v="504"/>
    <n v="5"/>
    <x v="7"/>
    <n v="0.06"/>
    <n v="250.79999999999998"/>
    <n v="7"/>
    <s v="Setembro"/>
  </r>
  <r>
    <n v="505"/>
    <d v="2020-09-26T00:00:00"/>
    <x v="8"/>
    <n v="22"/>
    <x v="16"/>
    <x v="2"/>
    <x v="32"/>
    <n v="98"/>
    <n v="3430"/>
    <n v="0.04"/>
    <n v="3292.8"/>
    <n v="137.19999999999982"/>
    <d v="2020-09-28T00:00:00"/>
    <d v="2020-09-28T00:00:00"/>
    <n v="505"/>
    <n v="7"/>
    <x v="0"/>
    <n v="0.05"/>
    <n v="164.64000000000001"/>
    <n v="1"/>
    <s v="Setembro"/>
  </r>
  <r>
    <n v="506"/>
    <d v="2020-09-28T00:00:00"/>
    <x v="8"/>
    <n v="47"/>
    <x v="10"/>
    <x v="2"/>
    <x v="3"/>
    <n v="107"/>
    <n v="4708"/>
    <n v="0.01"/>
    <n v="4660.92"/>
    <n v="47.079999999999927"/>
    <d v="2020-10-18T00:00:00"/>
    <d v="2020-10-18T00:00:00"/>
    <n v="506"/>
    <n v="2"/>
    <x v="2"/>
    <n v="0.1"/>
    <n v="466.09200000000004"/>
    <n v="2"/>
    <s v="Setembro"/>
  </r>
  <r>
    <n v="507"/>
    <d v="2020-09-30T00:00:00"/>
    <x v="8"/>
    <n v="99"/>
    <x v="44"/>
    <x v="1"/>
    <x v="23"/>
    <n v="120"/>
    <n v="2280"/>
    <n v="0.13"/>
    <n v="1983.6"/>
    <n v="296.40000000000009"/>
    <d v="2020-10-14T00:00:00"/>
    <d v="2020-10-14T00:00:00"/>
    <n v="507"/>
    <n v="4"/>
    <x v="4"/>
    <n v="0.09"/>
    <n v="178.52399999999997"/>
    <n v="3"/>
    <s v="Setembro"/>
  </r>
  <r>
    <n v="508"/>
    <d v="2020-09-30T00:00:00"/>
    <x v="8"/>
    <n v="96"/>
    <x v="11"/>
    <x v="2"/>
    <x v="7"/>
    <n v="111"/>
    <n v="1110"/>
    <n v="0.04"/>
    <n v="1065.5999999999999"/>
    <n v="44.400000000000091"/>
    <d v="2020-10-11T00:00:00"/>
    <d v="2020-10-11T00:00:00"/>
    <n v="508"/>
    <n v="2"/>
    <x v="5"/>
    <n v="0.06"/>
    <n v="63.935999999999993"/>
    <n v="4"/>
    <s v="Setembro"/>
  </r>
  <r>
    <n v="509"/>
    <d v="2020-10-01T00:00:00"/>
    <x v="9"/>
    <n v="50"/>
    <x v="41"/>
    <x v="1"/>
    <x v="0"/>
    <n v="110"/>
    <n v="4070"/>
    <n v="0.06"/>
    <n v="3825.8"/>
    <n v="244.19999999999982"/>
    <d v="2020-10-14T00:00:00"/>
    <d v="2020-10-14T00:00:00"/>
    <n v="509"/>
    <n v="6"/>
    <x v="2"/>
    <n v="0.08"/>
    <n v="306.06400000000002"/>
    <n v="5"/>
    <s v="Outubro"/>
  </r>
  <r>
    <n v="510"/>
    <d v="2020-10-01T00:00:00"/>
    <x v="9"/>
    <n v="20"/>
    <x v="9"/>
    <x v="4"/>
    <x v="8"/>
    <n v="110"/>
    <n v="2420"/>
    <n v="0.05"/>
    <n v="2299"/>
    <n v="121"/>
    <d v="2020-10-26T00:00:00"/>
    <d v="2020-10-26T00:00:00"/>
    <n v="510"/>
    <n v="3"/>
    <x v="7"/>
    <n v="0.05"/>
    <n v="114.95"/>
    <n v="6"/>
    <s v="Outubro"/>
  </r>
  <r>
    <n v="511"/>
    <d v="2020-10-02T00:00:00"/>
    <x v="9"/>
    <n v="73"/>
    <x v="8"/>
    <x v="9"/>
    <x v="35"/>
    <n v="108"/>
    <n v="4644"/>
    <n v="0.1"/>
    <n v="4179.6000000000004"/>
    <n v="464.39999999999964"/>
    <d v="2020-10-23T00:00:00"/>
    <d v="2020-10-23T00:00:00"/>
    <n v="511"/>
    <n v="1"/>
    <x v="6"/>
    <n v="0.1"/>
    <n v="417.96000000000004"/>
    <n v="7"/>
    <s v="Outubro"/>
  </r>
  <r>
    <n v="512"/>
    <d v="2020-10-02T00:00:00"/>
    <x v="9"/>
    <n v="12"/>
    <x v="13"/>
    <x v="5"/>
    <x v="38"/>
    <n v="107"/>
    <n v="4280"/>
    <n v="0.12"/>
    <n v="3766.4"/>
    <n v="513.59999999999991"/>
    <d v="2020-10-16T00:00:00"/>
    <d v="2020-10-16T00:00:00"/>
    <n v="512"/>
    <n v="7"/>
    <x v="6"/>
    <n v="0.1"/>
    <n v="376.64000000000004"/>
    <n v="1"/>
    <s v="Outubro"/>
  </r>
  <r>
    <n v="513"/>
    <d v="2020-10-02T00:00:00"/>
    <x v="9"/>
    <n v="99"/>
    <x v="44"/>
    <x v="0"/>
    <x v="34"/>
    <n v="120"/>
    <n v="1560"/>
    <n v="0"/>
    <n v="1560"/>
    <n v="0"/>
    <d v="2020-10-29T00:00:00"/>
    <d v="2020-10-29T00:00:00"/>
    <n v="513"/>
    <n v="1"/>
    <x v="2"/>
    <n v="7.0000000000000007E-2"/>
    <n v="109.20000000000002"/>
    <n v="2"/>
    <s v="Outubro"/>
  </r>
  <r>
    <n v="514"/>
    <d v="2020-10-03T00:00:00"/>
    <x v="9"/>
    <n v="91"/>
    <x v="23"/>
    <x v="2"/>
    <x v="27"/>
    <n v="111"/>
    <n v="5106"/>
    <n v="0.04"/>
    <n v="4901.76"/>
    <n v="204.23999999999978"/>
    <d v="2020-10-28T00:00:00"/>
    <d v="2020-10-28T00:00:00"/>
    <n v="514"/>
    <n v="2"/>
    <x v="5"/>
    <n v="0.09"/>
    <n v="441.15840000000003"/>
    <n v="3"/>
    <s v="Outubro"/>
  </r>
  <r>
    <n v="515"/>
    <d v="2020-10-03T00:00:00"/>
    <x v="9"/>
    <n v="13"/>
    <x v="35"/>
    <x v="6"/>
    <x v="29"/>
    <n v="118"/>
    <n v="5664"/>
    <n v="0.03"/>
    <n v="5494.08"/>
    <n v="169.92000000000007"/>
    <d v="2020-10-18T00:00:00"/>
    <d v="2020-10-18T00:00:00"/>
    <n v="515"/>
    <n v="6"/>
    <x v="6"/>
    <n v="0.06"/>
    <n v="329.64479999999998"/>
    <n v="4"/>
    <s v="Outubro"/>
  </r>
  <r>
    <n v="516"/>
    <d v="2020-10-03T00:00:00"/>
    <x v="9"/>
    <n v="56"/>
    <x v="28"/>
    <x v="9"/>
    <x v="14"/>
    <n v="99"/>
    <n v="2475"/>
    <n v="0.1"/>
    <n v="2227.5"/>
    <n v="247.5"/>
    <d v="2020-10-18T00:00:00"/>
    <d v="2020-10-18T00:00:00"/>
    <n v="516"/>
    <n v="4"/>
    <x v="1"/>
    <n v="0.05"/>
    <n v="111.375"/>
    <n v="5"/>
    <s v="Outubro"/>
  </r>
  <r>
    <n v="517"/>
    <d v="2020-10-03T00:00:00"/>
    <x v="9"/>
    <n v="58"/>
    <x v="32"/>
    <x v="6"/>
    <x v="18"/>
    <n v="102"/>
    <n v="4998"/>
    <n v="0.04"/>
    <n v="4798.08"/>
    <n v="199.92000000000007"/>
    <d v="2020-10-28T00:00:00"/>
    <d v="2020-10-28T00:00:00"/>
    <n v="517"/>
    <n v="5"/>
    <x v="8"/>
    <n v="0.09"/>
    <n v="431.8272"/>
    <n v="6"/>
    <s v="Outubro"/>
  </r>
  <r>
    <n v="518"/>
    <d v="2020-10-04T00:00:00"/>
    <x v="9"/>
    <n v="55"/>
    <x v="12"/>
    <x v="0"/>
    <x v="6"/>
    <n v="98"/>
    <n v="1960"/>
    <n v="0.03"/>
    <n v="1901.2"/>
    <n v="58.799999999999955"/>
    <d v="2020-10-26T00:00:00"/>
    <d v="2020-10-26T00:00:00"/>
    <n v="518"/>
    <n v="6"/>
    <x v="0"/>
    <n v="0.09"/>
    <n v="171.108"/>
    <n v="7"/>
    <s v="Outubro"/>
  </r>
  <r>
    <n v="519"/>
    <d v="2020-10-04T00:00:00"/>
    <x v="9"/>
    <n v="51"/>
    <x v="17"/>
    <x v="5"/>
    <x v="39"/>
    <n v="113"/>
    <n v="4068"/>
    <n v="0.1"/>
    <n v="3661.2"/>
    <n v="406.80000000000018"/>
    <d v="2020-10-12T00:00:00"/>
    <d v="2020-10-12T00:00:00"/>
    <n v="519"/>
    <n v="3"/>
    <x v="1"/>
    <n v="0.08"/>
    <n v="292.89600000000002"/>
    <n v="1"/>
    <s v="Outubro"/>
  </r>
  <r>
    <n v="520"/>
    <d v="2020-10-07T00:00:00"/>
    <x v="9"/>
    <n v="82"/>
    <x v="28"/>
    <x v="6"/>
    <x v="31"/>
    <n v="107"/>
    <n v="2782"/>
    <n v="0.06"/>
    <n v="2615.08"/>
    <n v="166.92000000000007"/>
    <d v="2020-10-26T00:00:00"/>
    <d v="2020-10-26T00:00:00"/>
    <n v="520"/>
    <n v="3"/>
    <x v="7"/>
    <n v="0.05"/>
    <n v="130.75399999999999"/>
    <n v="2"/>
    <s v="Outubro"/>
  </r>
  <r>
    <n v="521"/>
    <d v="2020-10-08T00:00:00"/>
    <x v="9"/>
    <n v="69"/>
    <x v="28"/>
    <x v="2"/>
    <x v="24"/>
    <n v="117"/>
    <n v="5850"/>
    <n v="0.14000000000000001"/>
    <n v="5031"/>
    <n v="819"/>
    <d v="2020-11-06T00:00:00"/>
    <d v="2020-11-06T00:00:00"/>
    <n v="521"/>
    <n v="2"/>
    <x v="2"/>
    <n v="0.06"/>
    <n v="301.86"/>
    <n v="3"/>
    <s v="Outubro"/>
  </r>
  <r>
    <n v="522"/>
    <d v="2020-10-09T00:00:00"/>
    <x v="9"/>
    <n v="66"/>
    <x v="4"/>
    <x v="2"/>
    <x v="26"/>
    <n v="90"/>
    <n v="1440"/>
    <n v="0.09"/>
    <n v="1310.4000000000001"/>
    <n v="129.59999999999991"/>
    <d v="2020-10-10T00:00:00"/>
    <d v="2020-10-10T00:00:00"/>
    <n v="522"/>
    <n v="4"/>
    <x v="1"/>
    <n v="0.09"/>
    <n v="117.93600000000001"/>
    <n v="4"/>
    <s v="Outubro"/>
  </r>
  <r>
    <n v="523"/>
    <d v="2020-10-09T00:00:00"/>
    <x v="9"/>
    <n v="61"/>
    <x v="18"/>
    <x v="5"/>
    <x v="38"/>
    <n v="116"/>
    <n v="4640"/>
    <n v="0.05"/>
    <n v="4408"/>
    <n v="232"/>
    <d v="2020-10-22T00:00:00"/>
    <d v="2020-10-22T00:00:00"/>
    <n v="523"/>
    <n v="1"/>
    <x v="0"/>
    <n v="0.1"/>
    <n v="440.8"/>
    <n v="5"/>
    <s v="Outubro"/>
  </r>
  <r>
    <n v="524"/>
    <d v="2020-10-09T00:00:00"/>
    <x v="9"/>
    <n v="63"/>
    <x v="40"/>
    <x v="5"/>
    <x v="38"/>
    <n v="108"/>
    <n v="4320"/>
    <n v="0.04"/>
    <n v="4147.2"/>
    <n v="172.80000000000018"/>
    <d v="2020-10-24T00:00:00"/>
    <d v="2020-10-24T00:00:00"/>
    <n v="524"/>
    <n v="3"/>
    <x v="2"/>
    <n v="7.0000000000000007E-2"/>
    <n v="290.30400000000003"/>
    <n v="6"/>
    <s v="Outubro"/>
  </r>
  <r>
    <n v="525"/>
    <d v="2020-10-10T00:00:00"/>
    <x v="9"/>
    <n v="8"/>
    <x v="8"/>
    <x v="3"/>
    <x v="36"/>
    <n v="103"/>
    <n v="4326"/>
    <n v="0.01"/>
    <n v="4282.74"/>
    <n v="43.260000000000218"/>
    <d v="2020-10-29T00:00:00"/>
    <d v="2020-10-29T00:00:00"/>
    <n v="525"/>
    <n v="5"/>
    <x v="4"/>
    <n v="0.09"/>
    <n v="385.44659999999999"/>
    <n v="7"/>
    <s v="Outubro"/>
  </r>
  <r>
    <n v="526"/>
    <d v="2020-10-10T00:00:00"/>
    <x v="9"/>
    <n v="33"/>
    <x v="36"/>
    <x v="2"/>
    <x v="17"/>
    <n v="120"/>
    <n v="4680"/>
    <n v="0.11"/>
    <n v="4165.2"/>
    <n v="514.80000000000018"/>
    <d v="2020-10-27T00:00:00"/>
    <d v="2020-10-27T00:00:00"/>
    <n v="526"/>
    <n v="4"/>
    <x v="3"/>
    <n v="0.05"/>
    <n v="208.26"/>
    <n v="1"/>
    <s v="Outubro"/>
  </r>
  <r>
    <n v="527"/>
    <d v="2020-10-10T00:00:00"/>
    <x v="9"/>
    <n v="24"/>
    <x v="34"/>
    <x v="8"/>
    <x v="28"/>
    <n v="96"/>
    <n v="3648"/>
    <n v="0.03"/>
    <n v="3538.56"/>
    <n v="109.44000000000005"/>
    <d v="2020-10-21T00:00:00"/>
    <d v="2020-10-21T00:00:00"/>
    <n v="527"/>
    <n v="1"/>
    <x v="1"/>
    <n v="0.05"/>
    <n v="176.928"/>
    <n v="2"/>
    <s v="Outubro"/>
  </r>
  <r>
    <n v="528"/>
    <d v="2020-10-11T00:00:00"/>
    <x v="9"/>
    <n v="5"/>
    <x v="8"/>
    <x v="8"/>
    <x v="37"/>
    <n v="112"/>
    <n v="3584"/>
    <n v="0.04"/>
    <n v="3440.64"/>
    <n v="143.36000000000013"/>
    <d v="2020-10-23T00:00:00"/>
    <d v="2020-10-23T00:00:00"/>
    <n v="528"/>
    <n v="5"/>
    <x v="7"/>
    <n v="0.09"/>
    <n v="309.6576"/>
    <n v="3"/>
    <s v="Outubro"/>
  </r>
  <r>
    <n v="529"/>
    <d v="2020-10-11T00:00:00"/>
    <x v="9"/>
    <n v="29"/>
    <x v="58"/>
    <x v="3"/>
    <x v="6"/>
    <n v="108"/>
    <n v="2160"/>
    <n v="0"/>
    <n v="2160"/>
    <n v="0"/>
    <d v="2020-10-31T00:00:00"/>
    <d v="2020-10-31T00:00:00"/>
    <n v="529"/>
    <n v="6"/>
    <x v="7"/>
    <n v="7.0000000000000007E-2"/>
    <n v="151.20000000000002"/>
    <n v="4"/>
    <s v="Outubro"/>
  </r>
  <r>
    <n v="530"/>
    <d v="2020-10-11T00:00:00"/>
    <x v="9"/>
    <n v="56"/>
    <x v="28"/>
    <x v="8"/>
    <x v="8"/>
    <n v="101"/>
    <n v="2222"/>
    <n v="0.15"/>
    <n v="1888.7"/>
    <n v="333.29999999999995"/>
    <d v="2020-10-24T00:00:00"/>
    <d v="2020-10-24T00:00:00"/>
    <n v="530"/>
    <n v="7"/>
    <x v="6"/>
    <n v="0.06"/>
    <n v="113.322"/>
    <n v="5"/>
    <s v="Outubro"/>
  </r>
  <r>
    <n v="531"/>
    <d v="2020-10-12T00:00:00"/>
    <x v="9"/>
    <n v="22"/>
    <x v="16"/>
    <x v="1"/>
    <x v="36"/>
    <n v="91"/>
    <n v="3822"/>
    <n v="0.09"/>
    <n v="3478.02"/>
    <n v="343.98"/>
    <d v="2020-11-10T00:00:00"/>
    <d v="2020-11-10T00:00:00"/>
    <n v="531"/>
    <n v="4"/>
    <x v="4"/>
    <n v="7.0000000000000007E-2"/>
    <n v="243.46140000000003"/>
    <n v="6"/>
    <s v="Outubro"/>
  </r>
  <r>
    <n v="532"/>
    <d v="2020-10-12T00:00:00"/>
    <x v="9"/>
    <n v="89"/>
    <x v="15"/>
    <x v="1"/>
    <x v="29"/>
    <n v="98"/>
    <n v="4704"/>
    <n v="0.04"/>
    <n v="4515.84"/>
    <n v="188.15999999999985"/>
    <d v="2020-10-19T00:00:00"/>
    <d v="2020-10-19T00:00:00"/>
    <n v="532"/>
    <n v="3"/>
    <x v="8"/>
    <n v="0.1"/>
    <n v="451.58400000000006"/>
    <n v="7"/>
    <s v="Outubro"/>
  </r>
  <r>
    <n v="533"/>
    <d v="2020-10-12T00:00:00"/>
    <x v="9"/>
    <n v="90"/>
    <x v="21"/>
    <x v="1"/>
    <x v="36"/>
    <n v="116"/>
    <n v="4872"/>
    <n v="0.02"/>
    <n v="4774.5600000000004"/>
    <n v="97.4399999999996"/>
    <d v="2020-11-03T00:00:00"/>
    <d v="2020-11-03T00:00:00"/>
    <n v="533"/>
    <n v="1"/>
    <x v="9"/>
    <n v="0.05"/>
    <n v="238.72800000000004"/>
    <n v="1"/>
    <s v="Outubro"/>
  </r>
  <r>
    <n v="534"/>
    <d v="2020-10-12T00:00:00"/>
    <x v="9"/>
    <n v="77"/>
    <x v="26"/>
    <x v="1"/>
    <x v="21"/>
    <n v="113"/>
    <n v="1921"/>
    <n v="0.13"/>
    <n v="1671.27"/>
    <n v="249.73000000000002"/>
    <d v="2020-10-31T00:00:00"/>
    <d v="2020-10-31T00:00:00"/>
    <n v="534"/>
    <n v="7"/>
    <x v="4"/>
    <n v="7.0000000000000007E-2"/>
    <n v="116.98890000000002"/>
    <n v="2"/>
    <s v="Outubro"/>
  </r>
  <r>
    <n v="535"/>
    <d v="2020-10-14T00:00:00"/>
    <x v="9"/>
    <n v="13"/>
    <x v="35"/>
    <x v="7"/>
    <x v="23"/>
    <n v="109"/>
    <n v="2071"/>
    <n v="0.11"/>
    <n v="1843.19"/>
    <n v="227.80999999999995"/>
    <d v="2020-11-09T00:00:00"/>
    <d v="2020-11-09T00:00:00"/>
    <n v="535"/>
    <n v="5"/>
    <x v="4"/>
    <n v="0.1"/>
    <n v="184.31900000000002"/>
    <n v="3"/>
    <s v="Outubro"/>
  </r>
  <r>
    <n v="536"/>
    <d v="2020-10-14T00:00:00"/>
    <x v="9"/>
    <n v="40"/>
    <x v="15"/>
    <x v="3"/>
    <x v="40"/>
    <n v="103"/>
    <n v="1236"/>
    <n v="0.06"/>
    <n v="1161.8399999999999"/>
    <n v="74.160000000000082"/>
    <d v="2020-11-07T00:00:00"/>
    <d v="2020-11-07T00:00:00"/>
    <n v="536"/>
    <n v="7"/>
    <x v="7"/>
    <n v="0.1"/>
    <n v="116.184"/>
    <n v="4"/>
    <s v="Outubro"/>
  </r>
  <r>
    <n v="537"/>
    <d v="2020-10-14T00:00:00"/>
    <x v="9"/>
    <n v="62"/>
    <x v="8"/>
    <x v="3"/>
    <x v="33"/>
    <n v="92"/>
    <n v="1380"/>
    <n v="0.12"/>
    <n v="1214.4000000000001"/>
    <n v="165.59999999999991"/>
    <d v="2020-11-09T00:00:00"/>
    <d v="2020-11-09T00:00:00"/>
    <n v="537"/>
    <n v="6"/>
    <x v="9"/>
    <n v="0.09"/>
    <n v="109.29600000000001"/>
    <n v="5"/>
    <s v="Outubro"/>
  </r>
  <r>
    <n v="538"/>
    <d v="2020-10-15T00:00:00"/>
    <x v="9"/>
    <n v="39"/>
    <x v="8"/>
    <x v="9"/>
    <x v="18"/>
    <n v="113"/>
    <n v="5537"/>
    <n v="0.09"/>
    <n v="5038.67"/>
    <n v="498.32999999999993"/>
    <d v="2020-10-20T00:00:00"/>
    <d v="2020-10-20T00:00:00"/>
    <n v="538"/>
    <n v="2"/>
    <x v="4"/>
    <n v="0.09"/>
    <n v="453.4803"/>
    <n v="6"/>
    <s v="Outubro"/>
  </r>
  <r>
    <n v="539"/>
    <d v="2020-10-15T00:00:00"/>
    <x v="9"/>
    <n v="76"/>
    <x v="64"/>
    <x v="5"/>
    <x v="33"/>
    <n v="102"/>
    <n v="1530"/>
    <n v="0.06"/>
    <n v="1438.2"/>
    <n v="91.799999999999955"/>
    <d v="2020-10-31T00:00:00"/>
    <d v="2020-10-31T00:00:00"/>
    <n v="539"/>
    <n v="2"/>
    <x v="1"/>
    <n v="0.1"/>
    <n v="143.82000000000002"/>
    <n v="7"/>
    <s v="Outubro"/>
  </r>
  <r>
    <n v="540"/>
    <d v="2020-10-17T00:00:00"/>
    <x v="9"/>
    <n v="54"/>
    <x v="39"/>
    <x v="8"/>
    <x v="12"/>
    <n v="94"/>
    <n v="1692"/>
    <n v="0.12"/>
    <n v="1488.96"/>
    <n v="203.03999999999996"/>
    <d v="2020-11-01T00:00:00"/>
    <d v="2020-11-01T00:00:00"/>
    <n v="540"/>
    <n v="7"/>
    <x v="6"/>
    <n v="0.06"/>
    <n v="89.337599999999995"/>
    <n v="1"/>
    <s v="Outubro"/>
  </r>
  <r>
    <n v="541"/>
    <d v="2020-10-17T00:00:00"/>
    <x v="9"/>
    <n v="6"/>
    <x v="48"/>
    <x v="6"/>
    <x v="22"/>
    <n v="102"/>
    <n v="2856"/>
    <n v="0.08"/>
    <n v="2627.52"/>
    <n v="228.48000000000002"/>
    <d v="2020-11-16T00:00:00"/>
    <d v="2020-11-16T00:00:00"/>
    <n v="541"/>
    <n v="2"/>
    <x v="4"/>
    <n v="7.0000000000000007E-2"/>
    <n v="183.92640000000003"/>
    <n v="2"/>
    <s v="Outubro"/>
  </r>
  <r>
    <n v="542"/>
    <d v="2020-10-17T00:00:00"/>
    <x v="9"/>
    <n v="52"/>
    <x v="1"/>
    <x v="6"/>
    <x v="37"/>
    <n v="97"/>
    <n v="3104"/>
    <n v="0"/>
    <n v="3104"/>
    <n v="0"/>
    <d v="2020-11-05T00:00:00"/>
    <d v="2020-11-05T00:00:00"/>
    <n v="542"/>
    <n v="5"/>
    <x v="2"/>
    <n v="7.0000000000000007E-2"/>
    <n v="217.28000000000003"/>
    <n v="3"/>
    <s v="Outubro"/>
  </r>
  <r>
    <n v="543"/>
    <d v="2020-10-17T00:00:00"/>
    <x v="9"/>
    <n v="99"/>
    <x v="44"/>
    <x v="5"/>
    <x v="19"/>
    <n v="102"/>
    <n v="2958"/>
    <n v="0.15"/>
    <n v="2514.3000000000002"/>
    <n v="443.69999999999982"/>
    <d v="2020-10-26T00:00:00"/>
    <d v="2020-10-26T00:00:00"/>
    <n v="543"/>
    <n v="6"/>
    <x v="8"/>
    <n v="0.09"/>
    <n v="226.28700000000001"/>
    <n v="4"/>
    <s v="Outubro"/>
  </r>
  <r>
    <n v="544"/>
    <d v="2020-10-18T00:00:00"/>
    <x v="9"/>
    <n v="18"/>
    <x v="43"/>
    <x v="2"/>
    <x v="19"/>
    <n v="119"/>
    <n v="3451"/>
    <n v="0.12"/>
    <n v="3036.88"/>
    <n v="414.11999999999989"/>
    <d v="2020-11-01T00:00:00"/>
    <d v="2020-11-01T00:00:00"/>
    <n v="544"/>
    <n v="4"/>
    <x v="3"/>
    <n v="0.06"/>
    <n v="182.21279999999999"/>
    <n v="5"/>
    <s v="Outubro"/>
  </r>
  <r>
    <n v="545"/>
    <d v="2020-10-19T00:00:00"/>
    <x v="9"/>
    <n v="22"/>
    <x v="16"/>
    <x v="2"/>
    <x v="4"/>
    <n v="103"/>
    <n v="2472"/>
    <n v="0.05"/>
    <n v="2348.4"/>
    <n v="123.59999999999991"/>
    <d v="2020-11-13T00:00:00"/>
    <d v="2020-11-13T00:00:00"/>
    <n v="545"/>
    <n v="5"/>
    <x v="6"/>
    <n v="0.09"/>
    <n v="211.35599999999999"/>
    <n v="6"/>
    <s v="Outubro"/>
  </r>
  <r>
    <n v="546"/>
    <d v="2020-10-20T00:00:00"/>
    <x v="9"/>
    <n v="62"/>
    <x v="8"/>
    <x v="1"/>
    <x v="22"/>
    <n v="107"/>
    <n v="2996"/>
    <n v="0.04"/>
    <n v="2876.16"/>
    <n v="119.84000000000015"/>
    <d v="2020-11-09T00:00:00"/>
    <d v="2020-11-09T00:00:00"/>
    <n v="546"/>
    <n v="7"/>
    <x v="0"/>
    <n v="0.06"/>
    <n v="172.56959999999998"/>
    <n v="7"/>
    <s v="Outubro"/>
  </r>
  <r>
    <n v="547"/>
    <d v="2020-10-20T00:00:00"/>
    <x v="9"/>
    <n v="39"/>
    <x v="8"/>
    <x v="4"/>
    <x v="30"/>
    <n v="90"/>
    <n v="2970"/>
    <n v="0.08"/>
    <n v="2732.4"/>
    <n v="237.59999999999991"/>
    <d v="2020-10-28T00:00:00"/>
    <d v="2020-10-28T00:00:00"/>
    <n v="547"/>
    <n v="3"/>
    <x v="1"/>
    <n v="0.06"/>
    <n v="163.94399999999999"/>
    <n v="1"/>
    <s v="Outubro"/>
  </r>
  <r>
    <n v="548"/>
    <d v="2020-10-20T00:00:00"/>
    <x v="9"/>
    <n v="66"/>
    <x v="4"/>
    <x v="3"/>
    <x v="5"/>
    <n v="113"/>
    <n v="1243"/>
    <n v="0.06"/>
    <n v="1168.42"/>
    <n v="74.579999999999927"/>
    <d v="2020-10-20T00:00:00"/>
    <d v="2020-10-20T00:00:00"/>
    <n v="548"/>
    <n v="6"/>
    <x v="2"/>
    <n v="0.06"/>
    <n v="70.105199999999996"/>
    <n v="2"/>
    <s v="Outubro"/>
  </r>
  <r>
    <n v="549"/>
    <d v="2020-10-21T00:00:00"/>
    <x v="9"/>
    <n v="42"/>
    <x v="52"/>
    <x v="4"/>
    <x v="39"/>
    <n v="117"/>
    <n v="4212"/>
    <n v="0.14000000000000001"/>
    <n v="3622.3199999999997"/>
    <n v="589.68000000000029"/>
    <d v="2020-10-22T00:00:00"/>
    <d v="2020-10-22T00:00:00"/>
    <n v="549"/>
    <n v="1"/>
    <x v="3"/>
    <n v="7.0000000000000007E-2"/>
    <n v="253.5624"/>
    <n v="3"/>
    <s v="Outubro"/>
  </r>
  <r>
    <n v="550"/>
    <d v="2020-10-21T00:00:00"/>
    <x v="9"/>
    <n v="81"/>
    <x v="63"/>
    <x v="7"/>
    <x v="31"/>
    <n v="98"/>
    <n v="2548"/>
    <n v="0.14000000000000001"/>
    <n v="2191.2799999999997"/>
    <n v="356.72000000000025"/>
    <d v="2020-11-01T00:00:00"/>
    <d v="2020-11-01T00:00:00"/>
    <n v="550"/>
    <n v="5"/>
    <x v="5"/>
    <n v="0.09"/>
    <n v="197.21519999999998"/>
    <n v="4"/>
    <s v="Outubro"/>
  </r>
  <r>
    <n v="551"/>
    <d v="2020-10-25T00:00:00"/>
    <x v="9"/>
    <n v="42"/>
    <x v="52"/>
    <x v="6"/>
    <x v="4"/>
    <n v="104"/>
    <n v="2496"/>
    <n v="0.11"/>
    <n v="2221.44"/>
    <n v="274.55999999999995"/>
    <d v="2020-11-08T00:00:00"/>
    <d v="2020-11-08T00:00:00"/>
    <n v="551"/>
    <n v="4"/>
    <x v="8"/>
    <n v="0.1"/>
    <n v="222.14400000000001"/>
    <n v="5"/>
    <s v="Outubro"/>
  </r>
  <r>
    <n v="552"/>
    <d v="2020-10-26T00:00:00"/>
    <x v="9"/>
    <n v="35"/>
    <x v="8"/>
    <x v="1"/>
    <x v="25"/>
    <n v="120"/>
    <n v="4920"/>
    <n v="0.04"/>
    <n v="4723.2"/>
    <n v="196.80000000000018"/>
    <d v="2020-11-11T00:00:00"/>
    <d v="2020-11-11T00:00:00"/>
    <n v="552"/>
    <n v="5"/>
    <x v="9"/>
    <n v="0.06"/>
    <n v="283.392"/>
    <n v="6"/>
    <s v="Outubro"/>
  </r>
  <r>
    <n v="553"/>
    <d v="2020-10-26T00:00:00"/>
    <x v="9"/>
    <n v="32"/>
    <x v="37"/>
    <x v="6"/>
    <x v="33"/>
    <n v="114"/>
    <n v="1710"/>
    <n v="0.06"/>
    <n v="1607.4"/>
    <n v="102.59999999999991"/>
    <d v="2020-11-20T00:00:00"/>
    <d v="2020-11-20T00:00:00"/>
    <n v="553"/>
    <n v="7"/>
    <x v="8"/>
    <n v="0.08"/>
    <n v="128.59200000000001"/>
    <n v="7"/>
    <s v="Outubro"/>
  </r>
  <r>
    <n v="554"/>
    <d v="2020-10-27T00:00:00"/>
    <x v="9"/>
    <n v="73"/>
    <x v="8"/>
    <x v="3"/>
    <x v="10"/>
    <n v="94"/>
    <n v="1316"/>
    <n v="0.03"/>
    <n v="1276.52"/>
    <n v="39.480000000000018"/>
    <d v="2020-11-15T00:00:00"/>
    <d v="2020-11-15T00:00:00"/>
    <n v="554"/>
    <n v="2"/>
    <x v="6"/>
    <n v="0.05"/>
    <n v="63.826000000000001"/>
    <n v="1"/>
    <s v="Outubro"/>
  </r>
  <r>
    <n v="555"/>
    <d v="2020-10-27T00:00:00"/>
    <x v="9"/>
    <n v="18"/>
    <x v="43"/>
    <x v="6"/>
    <x v="14"/>
    <n v="98"/>
    <n v="2450"/>
    <n v="0.1"/>
    <n v="2205"/>
    <n v="245"/>
    <d v="2020-11-05T00:00:00"/>
    <d v="2020-11-05T00:00:00"/>
    <n v="555"/>
    <n v="7"/>
    <x v="4"/>
    <n v="0.09"/>
    <n v="198.45"/>
    <n v="2"/>
    <s v="Outubro"/>
  </r>
  <r>
    <n v="556"/>
    <d v="2020-10-28T00:00:00"/>
    <x v="9"/>
    <n v="27"/>
    <x v="61"/>
    <x v="2"/>
    <x v="35"/>
    <n v="101"/>
    <n v="4343"/>
    <n v="0.13"/>
    <n v="3778.41"/>
    <n v="564.59000000000015"/>
    <d v="2020-11-17T00:00:00"/>
    <d v="2020-11-17T00:00:00"/>
    <n v="556"/>
    <n v="2"/>
    <x v="6"/>
    <n v="0.1"/>
    <n v="377.84100000000001"/>
    <n v="3"/>
    <s v="Outubro"/>
  </r>
  <r>
    <n v="557"/>
    <d v="2020-10-29T00:00:00"/>
    <x v="9"/>
    <n v="86"/>
    <x v="50"/>
    <x v="0"/>
    <x v="9"/>
    <n v="108"/>
    <n v="4860"/>
    <n v="0.06"/>
    <n v="4568.3999999999996"/>
    <n v="291.60000000000036"/>
    <d v="2020-11-03T00:00:00"/>
    <d v="2020-11-03T00:00:00"/>
    <n v="557"/>
    <n v="3"/>
    <x v="0"/>
    <n v="0.1"/>
    <n v="456.84"/>
    <n v="4"/>
    <s v="Outubro"/>
  </r>
  <r>
    <n v="558"/>
    <d v="2020-10-29T00:00:00"/>
    <x v="9"/>
    <n v="18"/>
    <x v="43"/>
    <x v="6"/>
    <x v="28"/>
    <n v="97"/>
    <n v="3686"/>
    <n v="0.09"/>
    <n v="3354.26"/>
    <n v="331.73999999999978"/>
    <d v="2020-11-09T00:00:00"/>
    <d v="2020-11-09T00:00:00"/>
    <n v="558"/>
    <n v="7"/>
    <x v="6"/>
    <n v="7.0000000000000007E-2"/>
    <n v="234.79820000000004"/>
    <n v="5"/>
    <s v="Outubro"/>
  </r>
  <r>
    <n v="559"/>
    <d v="2020-10-29T00:00:00"/>
    <x v="9"/>
    <n v="73"/>
    <x v="8"/>
    <x v="9"/>
    <x v="13"/>
    <n v="113"/>
    <n v="3503"/>
    <n v="0"/>
    <n v="3503"/>
    <n v="0"/>
    <d v="2020-11-23T00:00:00"/>
    <d v="2020-11-23T00:00:00"/>
    <n v="559"/>
    <n v="3"/>
    <x v="2"/>
    <n v="0.08"/>
    <n v="280.24"/>
    <n v="6"/>
    <s v="Outubro"/>
  </r>
  <r>
    <n v="560"/>
    <d v="2020-10-30T00:00:00"/>
    <x v="9"/>
    <n v="83"/>
    <x v="60"/>
    <x v="0"/>
    <x v="40"/>
    <n v="114"/>
    <n v="1368"/>
    <n v="0.08"/>
    <n v="1258.56"/>
    <n v="109.44000000000005"/>
    <d v="2020-11-26T00:00:00"/>
    <d v="2020-11-26T00:00:00"/>
    <n v="560"/>
    <n v="1"/>
    <x v="4"/>
    <n v="7.0000000000000007E-2"/>
    <n v="88.09920000000001"/>
    <n v="7"/>
    <s v="Outubro"/>
  </r>
  <r>
    <n v="561"/>
    <d v="2020-10-30T00:00:00"/>
    <x v="9"/>
    <n v="93"/>
    <x v="5"/>
    <x v="3"/>
    <x v="38"/>
    <n v="92"/>
    <n v="3680"/>
    <n v="0.13"/>
    <n v="3201.6"/>
    <n v="478.40000000000009"/>
    <d v="2020-11-13T00:00:00"/>
    <d v="2020-11-13T00:00:00"/>
    <n v="561"/>
    <n v="5"/>
    <x v="9"/>
    <n v="0.1"/>
    <n v="320.16000000000003"/>
    <n v="1"/>
    <s v="Outubro"/>
  </r>
  <r>
    <n v="562"/>
    <d v="2020-11-01T00:00:00"/>
    <x v="10"/>
    <n v="97"/>
    <x v="27"/>
    <x v="3"/>
    <x v="31"/>
    <n v="115"/>
    <n v="2990"/>
    <n v="0.12"/>
    <n v="2631.2"/>
    <n v="358.80000000000018"/>
    <d v="2020-11-27T00:00:00"/>
    <d v="2020-11-27T00:00:00"/>
    <n v="562"/>
    <n v="2"/>
    <x v="3"/>
    <n v="0.06"/>
    <n v="157.87199999999999"/>
    <n v="2"/>
    <s v="Novembro"/>
  </r>
  <r>
    <n v="563"/>
    <d v="2020-11-02T00:00:00"/>
    <x v="10"/>
    <n v="57"/>
    <x v="49"/>
    <x v="1"/>
    <x v="6"/>
    <n v="94"/>
    <n v="1880"/>
    <n v="0.04"/>
    <n v="1804.8"/>
    <n v="75.200000000000045"/>
    <d v="2020-11-16T00:00:00"/>
    <d v="2020-11-16T00:00:00"/>
    <n v="563"/>
    <n v="5"/>
    <x v="0"/>
    <n v="0.1"/>
    <n v="180.48000000000002"/>
    <n v="3"/>
    <s v="Novembro"/>
  </r>
  <r>
    <n v="564"/>
    <d v="2020-11-03T00:00:00"/>
    <x v="10"/>
    <n v="24"/>
    <x v="34"/>
    <x v="1"/>
    <x v="36"/>
    <n v="101"/>
    <n v="4242"/>
    <n v="0.08"/>
    <n v="3902.64"/>
    <n v="339.36000000000013"/>
    <d v="2020-12-01T00:00:00"/>
    <d v="2020-12-01T00:00:00"/>
    <n v="564"/>
    <n v="2"/>
    <x v="4"/>
    <n v="7.0000000000000007E-2"/>
    <n v="273.1848"/>
    <n v="4"/>
    <s v="Novembro"/>
  </r>
  <r>
    <n v="565"/>
    <d v="2020-11-03T00:00:00"/>
    <x v="10"/>
    <n v="34"/>
    <x v="20"/>
    <x v="5"/>
    <x v="4"/>
    <n v="117"/>
    <n v="2808"/>
    <n v="0.14000000000000001"/>
    <n v="2414.88"/>
    <n v="393.11999999999989"/>
    <d v="2020-11-30T00:00:00"/>
    <d v="2020-11-30T00:00:00"/>
    <n v="565"/>
    <n v="6"/>
    <x v="7"/>
    <n v="0.1"/>
    <n v="241.48800000000003"/>
    <n v="5"/>
    <s v="Novembro"/>
  </r>
  <r>
    <n v="566"/>
    <d v="2020-11-03T00:00:00"/>
    <x v="10"/>
    <n v="92"/>
    <x v="2"/>
    <x v="5"/>
    <x v="33"/>
    <n v="116"/>
    <n v="1740"/>
    <n v="0.01"/>
    <n v="1722.6"/>
    <n v="17.400000000000091"/>
    <d v="2020-11-17T00:00:00"/>
    <d v="2020-11-17T00:00:00"/>
    <n v="566"/>
    <n v="6"/>
    <x v="6"/>
    <n v="0.08"/>
    <n v="137.80799999999999"/>
    <n v="6"/>
    <s v="Novembro"/>
  </r>
  <r>
    <n v="567"/>
    <d v="2020-11-03T00:00:00"/>
    <x v="10"/>
    <n v="25"/>
    <x v="24"/>
    <x v="1"/>
    <x v="0"/>
    <n v="95"/>
    <n v="3515"/>
    <n v="0.05"/>
    <n v="3339.25"/>
    <n v="175.75"/>
    <d v="2020-11-29T00:00:00"/>
    <d v="2020-11-29T00:00:00"/>
    <n v="567"/>
    <n v="2"/>
    <x v="9"/>
    <n v="0.1"/>
    <n v="333.92500000000001"/>
    <n v="7"/>
    <s v="Novembro"/>
  </r>
  <r>
    <n v="568"/>
    <d v="2020-11-04T00:00:00"/>
    <x v="10"/>
    <n v="87"/>
    <x v="10"/>
    <x v="8"/>
    <x v="23"/>
    <n v="103"/>
    <n v="1957"/>
    <n v="0.08"/>
    <n v="1800.44"/>
    <n v="156.55999999999995"/>
    <d v="2020-11-05T00:00:00"/>
    <d v="2020-11-05T00:00:00"/>
    <n v="568"/>
    <n v="5"/>
    <x v="6"/>
    <n v="0.09"/>
    <n v="162.03960000000001"/>
    <n v="1"/>
    <s v="Novembro"/>
  </r>
  <r>
    <n v="569"/>
    <d v="2020-11-04T00:00:00"/>
    <x v="10"/>
    <n v="68"/>
    <x v="15"/>
    <x v="6"/>
    <x v="27"/>
    <n v="102"/>
    <n v="4692"/>
    <n v="0.09"/>
    <n v="4269.72"/>
    <n v="422.27999999999975"/>
    <d v="2020-11-23T00:00:00"/>
    <d v="2020-11-23T00:00:00"/>
    <n v="569"/>
    <n v="5"/>
    <x v="7"/>
    <n v="0.06"/>
    <n v="256.1832"/>
    <n v="2"/>
    <s v="Novembro"/>
  </r>
  <r>
    <n v="570"/>
    <d v="2020-11-05T00:00:00"/>
    <x v="10"/>
    <n v="59"/>
    <x v="57"/>
    <x v="4"/>
    <x v="9"/>
    <n v="98"/>
    <n v="4410"/>
    <n v="0.08"/>
    <n v="4057.2"/>
    <n v="352.80000000000018"/>
    <d v="2020-12-02T00:00:00"/>
    <d v="2020-12-02T00:00:00"/>
    <n v="570"/>
    <n v="4"/>
    <x v="1"/>
    <n v="7.0000000000000007E-2"/>
    <n v="284.00400000000002"/>
    <n v="3"/>
    <s v="Novembro"/>
  </r>
  <r>
    <n v="571"/>
    <d v="2020-11-06T00:00:00"/>
    <x v="10"/>
    <n v="38"/>
    <x v="33"/>
    <x v="9"/>
    <x v="38"/>
    <n v="112"/>
    <n v="4480"/>
    <n v="0.01"/>
    <n v="4435.2"/>
    <n v="44.800000000000182"/>
    <d v="2020-11-26T00:00:00"/>
    <d v="2020-11-26T00:00:00"/>
    <n v="571"/>
    <n v="7"/>
    <x v="0"/>
    <n v="0.05"/>
    <n v="221.76"/>
    <n v="4"/>
    <s v="Novembro"/>
  </r>
  <r>
    <n v="572"/>
    <d v="2020-11-07T00:00:00"/>
    <x v="10"/>
    <n v="94"/>
    <x v="15"/>
    <x v="6"/>
    <x v="28"/>
    <n v="99"/>
    <n v="3762"/>
    <n v="0"/>
    <n v="3762"/>
    <n v="0"/>
    <d v="2020-11-27T00:00:00"/>
    <d v="2020-11-27T00:00:00"/>
    <n v="572"/>
    <n v="6"/>
    <x v="5"/>
    <n v="0.09"/>
    <n v="338.58"/>
    <n v="5"/>
    <s v="Novembro"/>
  </r>
  <r>
    <n v="573"/>
    <d v="2020-11-08T00:00:00"/>
    <x v="10"/>
    <n v="17"/>
    <x v="28"/>
    <x v="3"/>
    <x v="37"/>
    <n v="99"/>
    <n v="3168"/>
    <n v="0.02"/>
    <n v="3104.64"/>
    <n v="63.360000000000127"/>
    <d v="2020-11-27T00:00:00"/>
    <d v="2020-11-27T00:00:00"/>
    <n v="573"/>
    <n v="6"/>
    <x v="4"/>
    <n v="0.09"/>
    <n v="279.41759999999999"/>
    <n v="6"/>
    <s v="Novembro"/>
  </r>
  <r>
    <n v="574"/>
    <d v="2020-11-08T00:00:00"/>
    <x v="10"/>
    <n v="85"/>
    <x v="19"/>
    <x v="4"/>
    <x v="13"/>
    <n v="96"/>
    <n v="2976"/>
    <n v="0.1"/>
    <n v="2678.4"/>
    <n v="297.59999999999991"/>
    <d v="2020-11-11T00:00:00"/>
    <d v="2020-11-11T00:00:00"/>
    <n v="574"/>
    <n v="5"/>
    <x v="7"/>
    <n v="0.05"/>
    <n v="133.92000000000002"/>
    <n v="7"/>
    <s v="Novembro"/>
  </r>
  <r>
    <n v="575"/>
    <d v="2020-11-08T00:00:00"/>
    <x v="10"/>
    <n v="68"/>
    <x v="15"/>
    <x v="6"/>
    <x v="1"/>
    <n v="103"/>
    <n v="4841"/>
    <n v="0.11"/>
    <n v="4308.49"/>
    <n v="532.51000000000022"/>
    <d v="2020-12-08T00:00:00"/>
    <d v="2020-12-08T00:00:00"/>
    <n v="575"/>
    <n v="6"/>
    <x v="9"/>
    <n v="0.06"/>
    <n v="258.50939999999997"/>
    <n v="1"/>
    <s v="Novembro"/>
  </r>
  <r>
    <n v="576"/>
    <d v="2020-11-09T00:00:00"/>
    <x v="10"/>
    <n v="31"/>
    <x v="45"/>
    <x v="5"/>
    <x v="9"/>
    <n v="90"/>
    <n v="4050"/>
    <n v="0.05"/>
    <n v="3847.5"/>
    <n v="202.5"/>
    <d v="2020-11-23T00:00:00"/>
    <d v="2020-11-23T00:00:00"/>
    <n v="576"/>
    <n v="1"/>
    <x v="5"/>
    <n v="0.05"/>
    <n v="192.375"/>
    <n v="2"/>
    <s v="Novembro"/>
  </r>
  <r>
    <n v="577"/>
    <d v="2020-11-10T00:00:00"/>
    <x v="10"/>
    <n v="4"/>
    <x v="46"/>
    <x v="2"/>
    <x v="10"/>
    <n v="101"/>
    <n v="1414"/>
    <n v="0.05"/>
    <n v="1343.3"/>
    <n v="70.700000000000045"/>
    <d v="2020-11-19T00:00:00"/>
    <d v="2020-11-19T00:00:00"/>
    <n v="577"/>
    <n v="5"/>
    <x v="3"/>
    <n v="7.0000000000000007E-2"/>
    <n v="94.031000000000006"/>
    <n v="3"/>
    <s v="Novembro"/>
  </r>
  <r>
    <n v="578"/>
    <d v="2020-11-10T00:00:00"/>
    <x v="10"/>
    <n v="82"/>
    <x v="28"/>
    <x v="0"/>
    <x v="14"/>
    <n v="106"/>
    <n v="2650"/>
    <n v="0.14000000000000001"/>
    <n v="2279"/>
    <n v="371"/>
    <d v="2020-12-04T00:00:00"/>
    <d v="2020-12-04T00:00:00"/>
    <n v="578"/>
    <n v="6"/>
    <x v="9"/>
    <n v="0.06"/>
    <n v="136.74"/>
    <n v="4"/>
    <s v="Novembro"/>
  </r>
  <r>
    <n v="579"/>
    <d v="2020-11-10T00:00:00"/>
    <x v="10"/>
    <n v="83"/>
    <x v="60"/>
    <x v="5"/>
    <x v="27"/>
    <n v="105"/>
    <n v="4830"/>
    <n v="0"/>
    <n v="4830"/>
    <n v="0"/>
    <d v="2020-11-30T00:00:00"/>
    <d v="2020-11-30T00:00:00"/>
    <n v="579"/>
    <n v="6"/>
    <x v="4"/>
    <n v="0.1"/>
    <n v="483"/>
    <n v="5"/>
    <s v="Novembro"/>
  </r>
  <r>
    <n v="580"/>
    <d v="2020-11-10T00:00:00"/>
    <x v="10"/>
    <n v="83"/>
    <x v="60"/>
    <x v="1"/>
    <x v="10"/>
    <n v="117"/>
    <n v="1638"/>
    <n v="0.12"/>
    <n v="1441.44"/>
    <n v="196.55999999999995"/>
    <d v="2020-12-06T00:00:00"/>
    <d v="2020-12-06T00:00:00"/>
    <n v="580"/>
    <n v="4"/>
    <x v="2"/>
    <n v="0.09"/>
    <n v="129.7296"/>
    <n v="6"/>
    <s v="Novembro"/>
  </r>
  <r>
    <n v="581"/>
    <d v="2020-11-11T00:00:00"/>
    <x v="10"/>
    <n v="64"/>
    <x v="38"/>
    <x v="4"/>
    <x v="20"/>
    <n v="90"/>
    <n v="2070"/>
    <n v="0"/>
    <n v="2070"/>
    <n v="0"/>
    <d v="2020-11-13T00:00:00"/>
    <d v="2020-11-13T00:00:00"/>
    <n v="581"/>
    <n v="2"/>
    <x v="4"/>
    <n v="0.09"/>
    <n v="186.29999999999998"/>
    <n v="7"/>
    <s v="Novembro"/>
  </r>
  <r>
    <n v="582"/>
    <d v="2020-11-11T00:00:00"/>
    <x v="10"/>
    <n v="76"/>
    <x v="64"/>
    <x v="1"/>
    <x v="4"/>
    <n v="94"/>
    <n v="2256"/>
    <n v="0.14000000000000001"/>
    <n v="1940.1599999999999"/>
    <n v="315.84000000000015"/>
    <d v="2020-11-30T00:00:00"/>
    <d v="2020-11-30T00:00:00"/>
    <n v="582"/>
    <n v="4"/>
    <x v="6"/>
    <n v="0.06"/>
    <n v="116.40959999999998"/>
    <n v="1"/>
    <s v="Novembro"/>
  </r>
  <r>
    <n v="583"/>
    <d v="2020-11-11T00:00:00"/>
    <x v="10"/>
    <n v="57"/>
    <x v="49"/>
    <x v="0"/>
    <x v="9"/>
    <n v="92"/>
    <n v="4140"/>
    <n v="0.02"/>
    <n v="4057.2"/>
    <n v="82.800000000000182"/>
    <d v="2020-11-16T00:00:00"/>
    <d v="2020-11-16T00:00:00"/>
    <n v="583"/>
    <n v="2"/>
    <x v="4"/>
    <n v="7.0000000000000007E-2"/>
    <n v="284.00400000000002"/>
    <n v="2"/>
    <s v="Novembro"/>
  </r>
  <r>
    <n v="584"/>
    <d v="2020-11-11T00:00:00"/>
    <x v="10"/>
    <n v="62"/>
    <x v="8"/>
    <x v="1"/>
    <x v="13"/>
    <n v="100"/>
    <n v="3100"/>
    <n v="0.08"/>
    <n v="2852"/>
    <n v="248"/>
    <d v="2020-11-15T00:00:00"/>
    <d v="2020-11-15T00:00:00"/>
    <n v="584"/>
    <n v="6"/>
    <x v="7"/>
    <n v="0.06"/>
    <n v="171.12"/>
    <n v="3"/>
    <s v="Novembro"/>
  </r>
  <r>
    <n v="585"/>
    <d v="2020-11-12T00:00:00"/>
    <x v="10"/>
    <n v="73"/>
    <x v="8"/>
    <x v="6"/>
    <x v="38"/>
    <n v="116"/>
    <n v="4640"/>
    <n v="0.08"/>
    <n v="4268.8"/>
    <n v="371.19999999999982"/>
    <d v="2020-12-03T00:00:00"/>
    <d v="2020-12-03T00:00:00"/>
    <n v="585"/>
    <n v="3"/>
    <x v="7"/>
    <n v="7.0000000000000007E-2"/>
    <n v="298.81600000000003"/>
    <n v="4"/>
    <s v="Novembro"/>
  </r>
  <r>
    <n v="586"/>
    <d v="2020-11-12T00:00:00"/>
    <x v="10"/>
    <n v="27"/>
    <x v="61"/>
    <x v="3"/>
    <x v="7"/>
    <n v="114"/>
    <n v="1140"/>
    <n v="0.11"/>
    <n v="1014.6"/>
    <n v="125.39999999999998"/>
    <d v="2020-11-18T00:00:00"/>
    <d v="2020-11-18T00:00:00"/>
    <n v="586"/>
    <n v="4"/>
    <x v="4"/>
    <n v="7.0000000000000007E-2"/>
    <n v="71.022000000000006"/>
    <n v="5"/>
    <s v="Novembro"/>
  </r>
  <r>
    <n v="587"/>
    <d v="2020-11-12T00:00:00"/>
    <x v="10"/>
    <n v="70"/>
    <x v="28"/>
    <x v="3"/>
    <x v="8"/>
    <n v="112"/>
    <n v="2464"/>
    <n v="0.02"/>
    <n v="2414.7199999999998"/>
    <n v="49.2800000000002"/>
    <d v="2020-11-15T00:00:00"/>
    <d v="2020-11-15T00:00:00"/>
    <n v="587"/>
    <n v="6"/>
    <x v="4"/>
    <n v="0.1"/>
    <n v="241.47199999999998"/>
    <n v="6"/>
    <s v="Novembro"/>
  </r>
  <r>
    <n v="588"/>
    <d v="2020-11-12T00:00:00"/>
    <x v="10"/>
    <n v="39"/>
    <x v="8"/>
    <x v="9"/>
    <x v="0"/>
    <n v="116"/>
    <n v="4292"/>
    <n v="0.15"/>
    <n v="3648.2"/>
    <n v="643.80000000000018"/>
    <d v="2020-11-12T00:00:00"/>
    <d v="2020-11-12T00:00:00"/>
    <n v="588"/>
    <n v="2"/>
    <x v="6"/>
    <n v="0.08"/>
    <n v="291.85599999999999"/>
    <n v="7"/>
    <s v="Novembro"/>
  </r>
  <r>
    <n v="589"/>
    <d v="2020-11-13T00:00:00"/>
    <x v="10"/>
    <n v="90"/>
    <x v="21"/>
    <x v="2"/>
    <x v="2"/>
    <n v="116"/>
    <n v="3944"/>
    <n v="0.13"/>
    <n v="3431.2799999999997"/>
    <n v="512.72000000000025"/>
    <d v="2020-11-21T00:00:00"/>
    <d v="2020-11-21T00:00:00"/>
    <n v="589"/>
    <n v="6"/>
    <x v="6"/>
    <n v="0.1"/>
    <n v="343.12799999999999"/>
    <n v="1"/>
    <s v="Novembro"/>
  </r>
  <r>
    <n v="590"/>
    <d v="2020-11-15T00:00:00"/>
    <x v="10"/>
    <n v="40"/>
    <x v="15"/>
    <x v="5"/>
    <x v="38"/>
    <n v="115"/>
    <n v="4600"/>
    <n v="7.0000000000000007E-2"/>
    <n v="4278"/>
    <n v="322"/>
    <d v="2020-11-24T00:00:00"/>
    <d v="2020-11-24T00:00:00"/>
    <n v="590"/>
    <n v="2"/>
    <x v="5"/>
    <n v="0.1"/>
    <n v="427.8"/>
    <n v="2"/>
    <s v="Novembro"/>
  </r>
  <r>
    <n v="591"/>
    <d v="2020-11-15T00:00:00"/>
    <x v="10"/>
    <n v="88"/>
    <x v="8"/>
    <x v="7"/>
    <x v="36"/>
    <n v="96"/>
    <n v="4032"/>
    <n v="0.08"/>
    <n v="3709.44"/>
    <n v="322.55999999999995"/>
    <d v="2020-11-30T00:00:00"/>
    <d v="2020-11-30T00:00:00"/>
    <n v="591"/>
    <n v="3"/>
    <x v="0"/>
    <n v="0.08"/>
    <n v="296.7552"/>
    <n v="3"/>
    <s v="Novembro"/>
  </r>
  <r>
    <n v="592"/>
    <d v="2020-11-18T00:00:00"/>
    <x v="10"/>
    <n v="41"/>
    <x v="29"/>
    <x v="5"/>
    <x v="1"/>
    <n v="92"/>
    <n v="4324"/>
    <n v="0.15"/>
    <n v="3675.4"/>
    <n v="648.59999999999991"/>
    <d v="2020-11-30T00:00:00"/>
    <d v="2020-11-30T00:00:00"/>
    <n v="592"/>
    <n v="5"/>
    <x v="5"/>
    <n v="0.1"/>
    <n v="367.54"/>
    <n v="4"/>
    <s v="Novembro"/>
  </r>
  <r>
    <n v="593"/>
    <d v="2020-11-18T00:00:00"/>
    <x v="10"/>
    <n v="92"/>
    <x v="2"/>
    <x v="5"/>
    <x v="15"/>
    <n v="116"/>
    <n v="3480"/>
    <n v="0.01"/>
    <n v="3445.2"/>
    <n v="34.800000000000182"/>
    <d v="2020-11-27T00:00:00"/>
    <d v="2020-11-27T00:00:00"/>
    <n v="593"/>
    <n v="4"/>
    <x v="1"/>
    <n v="0.06"/>
    <n v="206.71199999999999"/>
    <n v="5"/>
    <s v="Novembro"/>
  </r>
  <r>
    <n v="594"/>
    <d v="2020-11-19T00:00:00"/>
    <x v="10"/>
    <n v="84"/>
    <x v="12"/>
    <x v="2"/>
    <x v="36"/>
    <n v="100"/>
    <n v="4200"/>
    <n v="0.05"/>
    <n v="3990"/>
    <n v="210"/>
    <d v="2020-12-05T00:00:00"/>
    <d v="2020-12-05T00:00:00"/>
    <n v="594"/>
    <n v="7"/>
    <x v="9"/>
    <n v="7.0000000000000007E-2"/>
    <n v="279.3"/>
    <n v="6"/>
    <s v="Novembro"/>
  </r>
  <r>
    <n v="595"/>
    <d v="2020-11-20T00:00:00"/>
    <x v="10"/>
    <n v="8"/>
    <x v="8"/>
    <x v="9"/>
    <x v="5"/>
    <n v="118"/>
    <n v="1298"/>
    <n v="0.11"/>
    <n v="1155.22"/>
    <n v="142.77999999999997"/>
    <d v="2020-11-20T00:00:00"/>
    <d v="2020-11-20T00:00:00"/>
    <n v="595"/>
    <n v="5"/>
    <x v="4"/>
    <n v="0.05"/>
    <n v="57.761000000000003"/>
    <n v="7"/>
    <s v="Novembro"/>
  </r>
  <r>
    <n v="596"/>
    <d v="2020-11-20T00:00:00"/>
    <x v="10"/>
    <n v="76"/>
    <x v="64"/>
    <x v="2"/>
    <x v="32"/>
    <n v="105"/>
    <n v="3675"/>
    <n v="0.04"/>
    <n v="3528"/>
    <n v="147"/>
    <d v="2020-12-18T00:00:00"/>
    <d v="2020-12-18T00:00:00"/>
    <n v="596"/>
    <n v="4"/>
    <x v="0"/>
    <n v="0.05"/>
    <n v="176.4"/>
    <n v="1"/>
    <s v="Novembro"/>
  </r>
  <r>
    <n v="597"/>
    <d v="2020-11-21T00:00:00"/>
    <x v="10"/>
    <n v="29"/>
    <x v="58"/>
    <x v="2"/>
    <x v="10"/>
    <n v="120"/>
    <n v="1680"/>
    <n v="0.08"/>
    <n v="1545.6"/>
    <n v="134.40000000000009"/>
    <d v="2020-12-16T00:00:00"/>
    <d v="2020-12-16T00:00:00"/>
    <n v="597"/>
    <n v="7"/>
    <x v="3"/>
    <n v="0.08"/>
    <n v="123.648"/>
    <n v="2"/>
    <s v="Novembro"/>
  </r>
  <r>
    <n v="598"/>
    <d v="2020-11-22T00:00:00"/>
    <x v="10"/>
    <n v="57"/>
    <x v="49"/>
    <x v="3"/>
    <x v="30"/>
    <n v="95"/>
    <n v="3135"/>
    <n v="0.1"/>
    <n v="2821.5"/>
    <n v="313.5"/>
    <d v="2020-12-08T00:00:00"/>
    <d v="2020-12-08T00:00:00"/>
    <n v="598"/>
    <n v="3"/>
    <x v="8"/>
    <n v="0.09"/>
    <n v="253.935"/>
    <n v="3"/>
    <s v="Novembro"/>
  </r>
  <r>
    <n v="599"/>
    <d v="2020-11-23T00:00:00"/>
    <x v="10"/>
    <n v="88"/>
    <x v="8"/>
    <x v="4"/>
    <x v="7"/>
    <n v="113"/>
    <n v="1130"/>
    <n v="0.1"/>
    <n v="1017"/>
    <n v="113"/>
    <d v="2020-12-18T00:00:00"/>
    <d v="2020-12-18T00:00:00"/>
    <n v="599"/>
    <n v="7"/>
    <x v="2"/>
    <n v="0.06"/>
    <n v="61.019999999999996"/>
    <n v="4"/>
    <s v="Novembro"/>
  </r>
  <r>
    <n v="600"/>
    <d v="2020-11-23T00:00:00"/>
    <x v="10"/>
    <n v="12"/>
    <x v="13"/>
    <x v="2"/>
    <x v="27"/>
    <n v="113"/>
    <n v="5198"/>
    <n v="0.14000000000000001"/>
    <n v="4470.28"/>
    <n v="727.72000000000025"/>
    <d v="2020-12-20T00:00:00"/>
    <d v="2020-12-20T00:00:00"/>
    <n v="600"/>
    <n v="6"/>
    <x v="3"/>
    <n v="0.09"/>
    <n v="402.32519999999994"/>
    <n v="5"/>
    <s v="Novembro"/>
  </r>
  <r>
    <n v="601"/>
    <d v="2020-11-24T00:00:00"/>
    <x v="10"/>
    <n v="30"/>
    <x v="56"/>
    <x v="3"/>
    <x v="33"/>
    <n v="104"/>
    <n v="1560"/>
    <n v="0.08"/>
    <n v="1435.2"/>
    <n v="124.79999999999995"/>
    <d v="2020-12-05T00:00:00"/>
    <d v="2020-12-05T00:00:00"/>
    <n v="601"/>
    <n v="4"/>
    <x v="9"/>
    <n v="0.08"/>
    <n v="114.816"/>
    <n v="6"/>
    <s v="Novembro"/>
  </r>
  <r>
    <n v="602"/>
    <d v="2020-11-24T00:00:00"/>
    <x v="10"/>
    <n v="92"/>
    <x v="2"/>
    <x v="2"/>
    <x v="31"/>
    <n v="120"/>
    <n v="3120"/>
    <n v="0"/>
    <n v="3120"/>
    <n v="0"/>
    <d v="2020-12-16T00:00:00"/>
    <d v="2020-12-16T00:00:00"/>
    <n v="602"/>
    <n v="2"/>
    <x v="4"/>
    <n v="7.0000000000000007E-2"/>
    <n v="218.40000000000003"/>
    <n v="7"/>
    <s v="Novembro"/>
  </r>
  <r>
    <n v="603"/>
    <d v="2020-11-25T00:00:00"/>
    <x v="10"/>
    <n v="100"/>
    <x v="8"/>
    <x v="2"/>
    <x v="20"/>
    <n v="101"/>
    <n v="2323"/>
    <n v="0"/>
    <n v="2323"/>
    <n v="0"/>
    <d v="2020-12-14T00:00:00"/>
    <d v="2020-12-14T00:00:00"/>
    <n v="603"/>
    <n v="6"/>
    <x v="0"/>
    <n v="0.08"/>
    <n v="185.84"/>
    <n v="1"/>
    <s v="Novembro"/>
  </r>
  <r>
    <n v="604"/>
    <d v="2020-11-26T00:00:00"/>
    <x v="10"/>
    <n v="1"/>
    <x v="53"/>
    <x v="4"/>
    <x v="9"/>
    <n v="104"/>
    <n v="4680"/>
    <n v="0.1"/>
    <n v="4212"/>
    <n v="468"/>
    <d v="2020-11-26T00:00:00"/>
    <d v="2020-11-26T00:00:00"/>
    <n v="604"/>
    <n v="4"/>
    <x v="3"/>
    <n v="0.06"/>
    <n v="252.72"/>
    <n v="2"/>
    <s v="Novembro"/>
  </r>
  <r>
    <n v="605"/>
    <d v="2020-11-26T00:00:00"/>
    <x v="10"/>
    <n v="82"/>
    <x v="28"/>
    <x v="0"/>
    <x v="34"/>
    <n v="90"/>
    <n v="1170"/>
    <n v="0.11"/>
    <n v="1041.3"/>
    <n v="128.70000000000005"/>
    <d v="2020-11-26T00:00:00"/>
    <d v="2020-11-26T00:00:00"/>
    <n v="605"/>
    <n v="4"/>
    <x v="8"/>
    <n v="7.0000000000000007E-2"/>
    <n v="72.891000000000005"/>
    <n v="3"/>
    <s v="Novembro"/>
  </r>
  <r>
    <n v="606"/>
    <d v="2020-11-27T00:00:00"/>
    <x v="10"/>
    <n v="80"/>
    <x v="8"/>
    <x v="0"/>
    <x v="22"/>
    <n v="117"/>
    <n v="3276"/>
    <n v="0.11"/>
    <n v="2915.64"/>
    <n v="360.36000000000013"/>
    <d v="2020-11-30T00:00:00"/>
    <d v="2020-11-30T00:00:00"/>
    <n v="606"/>
    <n v="4"/>
    <x v="6"/>
    <n v="7.0000000000000007E-2"/>
    <n v="204.09480000000002"/>
    <n v="4"/>
    <s v="Novembro"/>
  </r>
  <r>
    <n v="607"/>
    <d v="2020-11-27T00:00:00"/>
    <x v="10"/>
    <n v="39"/>
    <x v="8"/>
    <x v="6"/>
    <x v="16"/>
    <n v="104"/>
    <n v="2184"/>
    <n v="0.14000000000000001"/>
    <n v="1878.24"/>
    <n v="305.76"/>
    <d v="2020-12-03T00:00:00"/>
    <d v="2020-12-03T00:00:00"/>
    <n v="607"/>
    <n v="2"/>
    <x v="9"/>
    <n v="0.1"/>
    <n v="187.82400000000001"/>
    <n v="5"/>
    <s v="Novembro"/>
  </r>
  <r>
    <n v="608"/>
    <d v="2020-11-27T00:00:00"/>
    <x v="10"/>
    <n v="63"/>
    <x v="40"/>
    <x v="2"/>
    <x v="12"/>
    <n v="110"/>
    <n v="1980"/>
    <n v="0.1"/>
    <n v="1782"/>
    <n v="198"/>
    <d v="2020-12-08T00:00:00"/>
    <d v="2020-12-08T00:00:00"/>
    <n v="608"/>
    <n v="5"/>
    <x v="9"/>
    <n v="0.1"/>
    <n v="178.20000000000002"/>
    <n v="6"/>
    <s v="Novembro"/>
  </r>
  <r>
    <n v="609"/>
    <d v="2020-11-28T00:00:00"/>
    <x v="10"/>
    <n v="34"/>
    <x v="20"/>
    <x v="3"/>
    <x v="19"/>
    <n v="103"/>
    <n v="2987"/>
    <n v="0.09"/>
    <n v="2718.17"/>
    <n v="268.82999999999993"/>
    <d v="2020-12-14T00:00:00"/>
    <d v="2020-12-14T00:00:00"/>
    <n v="609"/>
    <n v="1"/>
    <x v="7"/>
    <n v="0.08"/>
    <n v="217.45360000000002"/>
    <n v="7"/>
    <s v="Novembro"/>
  </r>
  <r>
    <n v="610"/>
    <d v="2020-11-28T00:00:00"/>
    <x v="10"/>
    <n v="50"/>
    <x v="41"/>
    <x v="4"/>
    <x v="25"/>
    <n v="118"/>
    <n v="4838"/>
    <n v="0.13"/>
    <n v="4209.0599999999995"/>
    <n v="628.94000000000051"/>
    <d v="2020-12-18T00:00:00"/>
    <d v="2020-12-18T00:00:00"/>
    <n v="610"/>
    <n v="4"/>
    <x v="9"/>
    <n v="0.05"/>
    <n v="210.45299999999997"/>
    <n v="1"/>
    <s v="Novembro"/>
  </r>
  <r>
    <n v="611"/>
    <d v="2020-11-30T00:00:00"/>
    <x v="10"/>
    <n v="56"/>
    <x v="28"/>
    <x v="7"/>
    <x v="39"/>
    <n v="109"/>
    <n v="3924"/>
    <n v="0.05"/>
    <n v="3727.8"/>
    <n v="196.19999999999982"/>
    <d v="2020-12-12T00:00:00"/>
    <d v="2020-12-12T00:00:00"/>
    <n v="611"/>
    <n v="4"/>
    <x v="5"/>
    <n v="0.1"/>
    <n v="372.78000000000003"/>
    <n v="2"/>
    <s v="Novembro"/>
  </r>
  <r>
    <n v="612"/>
    <d v="2020-12-01T00:00:00"/>
    <x v="11"/>
    <n v="72"/>
    <x v="8"/>
    <x v="1"/>
    <x v="12"/>
    <n v="99"/>
    <n v="1782"/>
    <n v="0.02"/>
    <n v="1746.36"/>
    <n v="35.6400000000001"/>
    <d v="2020-12-03T00:00:00"/>
    <d v="2020-12-03T00:00:00"/>
    <n v="612"/>
    <n v="4"/>
    <x v="3"/>
    <n v="0.09"/>
    <n v="157.17239999999998"/>
    <n v="3"/>
    <s v="Dezembro"/>
  </r>
  <r>
    <n v="613"/>
    <d v="2020-12-01T00:00:00"/>
    <x v="11"/>
    <n v="11"/>
    <x v="21"/>
    <x v="2"/>
    <x v="28"/>
    <n v="115"/>
    <n v="4370"/>
    <n v="0.12"/>
    <n v="3845.6"/>
    <n v="524.40000000000009"/>
    <d v="2020-12-25T00:00:00"/>
    <d v="2020-12-25T00:00:00"/>
    <n v="613"/>
    <n v="6"/>
    <x v="9"/>
    <n v="0.06"/>
    <n v="230.73599999999999"/>
    <n v="4"/>
    <s v="Dezembro"/>
  </r>
  <r>
    <n v="614"/>
    <d v="2020-12-01T00:00:00"/>
    <x v="11"/>
    <n v="21"/>
    <x v="47"/>
    <x v="1"/>
    <x v="16"/>
    <n v="95"/>
    <n v="1995"/>
    <n v="0"/>
    <n v="1995"/>
    <n v="0"/>
    <d v="2020-12-30T00:00:00"/>
    <d v="2020-12-30T00:00:00"/>
    <n v="614"/>
    <n v="7"/>
    <x v="8"/>
    <n v="0.1"/>
    <n v="199.5"/>
    <n v="5"/>
    <s v="Dezembro"/>
  </r>
  <r>
    <n v="615"/>
    <d v="2020-12-01T00:00:00"/>
    <x v="11"/>
    <n v="15"/>
    <x v="37"/>
    <x v="3"/>
    <x v="39"/>
    <n v="113"/>
    <n v="4068"/>
    <n v="0.1"/>
    <n v="3661.2"/>
    <n v="406.80000000000018"/>
    <d v="2020-12-27T00:00:00"/>
    <d v="2020-12-27T00:00:00"/>
    <n v="615"/>
    <n v="7"/>
    <x v="0"/>
    <n v="0.06"/>
    <n v="219.67199999999997"/>
    <n v="6"/>
    <s v="Dezembro"/>
  </r>
  <r>
    <n v="616"/>
    <d v="2020-12-01T00:00:00"/>
    <x v="11"/>
    <n v="64"/>
    <x v="38"/>
    <x v="6"/>
    <x v="26"/>
    <n v="103"/>
    <n v="1648"/>
    <n v="0.15"/>
    <n v="1400.8"/>
    <n v="247.20000000000005"/>
    <d v="2020-12-25T00:00:00"/>
    <d v="2020-12-25T00:00:00"/>
    <n v="616"/>
    <n v="4"/>
    <x v="7"/>
    <n v="0.05"/>
    <n v="70.040000000000006"/>
    <n v="7"/>
    <s v="Dezembro"/>
  </r>
  <r>
    <n v="617"/>
    <d v="2020-12-01T00:00:00"/>
    <x v="11"/>
    <n v="95"/>
    <x v="8"/>
    <x v="0"/>
    <x v="32"/>
    <n v="110"/>
    <n v="3850"/>
    <n v="0.03"/>
    <n v="3734.5"/>
    <n v="115.5"/>
    <d v="2020-12-07T00:00:00"/>
    <d v="2020-12-07T00:00:00"/>
    <n v="617"/>
    <n v="1"/>
    <x v="3"/>
    <n v="0.1"/>
    <n v="373.45000000000005"/>
    <n v="1"/>
    <s v="Dezembro"/>
  </r>
  <r>
    <n v="618"/>
    <d v="2020-12-02T00:00:00"/>
    <x v="11"/>
    <n v="33"/>
    <x v="36"/>
    <x v="6"/>
    <x v="26"/>
    <n v="100"/>
    <n v="1600"/>
    <n v="0.03"/>
    <n v="1552"/>
    <n v="48"/>
    <d v="2020-12-03T00:00:00"/>
    <d v="2020-12-03T00:00:00"/>
    <n v="618"/>
    <n v="6"/>
    <x v="6"/>
    <n v="0.08"/>
    <n v="124.16"/>
    <n v="2"/>
    <s v="Dezembro"/>
  </r>
  <r>
    <n v="619"/>
    <d v="2020-12-02T00:00:00"/>
    <x v="11"/>
    <n v="18"/>
    <x v="43"/>
    <x v="1"/>
    <x v="22"/>
    <n v="96"/>
    <n v="2688"/>
    <n v="0.04"/>
    <n v="2580.48"/>
    <n v="107.51999999999998"/>
    <d v="2020-12-13T00:00:00"/>
    <d v="2020-12-13T00:00:00"/>
    <n v="619"/>
    <n v="4"/>
    <x v="5"/>
    <n v="0.06"/>
    <n v="154.8288"/>
    <n v="3"/>
    <s v="Dezembro"/>
  </r>
  <r>
    <n v="620"/>
    <d v="2020-12-02T00:00:00"/>
    <x v="11"/>
    <n v="29"/>
    <x v="58"/>
    <x v="9"/>
    <x v="8"/>
    <n v="92"/>
    <n v="2024"/>
    <n v="0.13"/>
    <n v="1760.88"/>
    <n v="263.11999999999989"/>
    <d v="2020-12-21T00:00:00"/>
    <d v="2020-12-21T00:00:00"/>
    <n v="620"/>
    <n v="5"/>
    <x v="8"/>
    <n v="0.08"/>
    <n v="140.87040000000002"/>
    <n v="4"/>
    <s v="Dezembro"/>
  </r>
  <r>
    <n v="621"/>
    <d v="2020-12-02T00:00:00"/>
    <x v="11"/>
    <n v="75"/>
    <x v="8"/>
    <x v="8"/>
    <x v="23"/>
    <n v="112"/>
    <n v="2128"/>
    <n v="0.04"/>
    <n v="2042.88"/>
    <n v="85.119999999999891"/>
    <d v="2020-12-30T00:00:00"/>
    <d v="2020-12-30T00:00:00"/>
    <n v="621"/>
    <n v="6"/>
    <x v="1"/>
    <n v="0.05"/>
    <n v="102.14400000000001"/>
    <n v="5"/>
    <s v="Dezembro"/>
  </r>
  <r>
    <n v="622"/>
    <d v="2020-12-03T00:00:00"/>
    <x v="11"/>
    <n v="26"/>
    <x v="55"/>
    <x v="2"/>
    <x v="28"/>
    <n v="90"/>
    <n v="3420"/>
    <n v="0.15"/>
    <n v="2907"/>
    <n v="513"/>
    <d v="2020-12-15T00:00:00"/>
    <d v="2020-12-15T00:00:00"/>
    <n v="622"/>
    <n v="3"/>
    <x v="8"/>
    <n v="0.06"/>
    <n v="174.42"/>
    <n v="6"/>
    <s v="Dezembro"/>
  </r>
  <r>
    <n v="623"/>
    <d v="2020-12-03T00:00:00"/>
    <x v="11"/>
    <n v="49"/>
    <x v="8"/>
    <x v="0"/>
    <x v="37"/>
    <n v="96"/>
    <n v="3072"/>
    <n v="0.15"/>
    <n v="2611.1999999999998"/>
    <n v="460.80000000000018"/>
    <d v="2020-12-13T00:00:00"/>
    <d v="2020-12-13T00:00:00"/>
    <n v="623"/>
    <n v="4"/>
    <x v="5"/>
    <n v="0.08"/>
    <n v="208.89599999999999"/>
    <n v="7"/>
    <s v="Dezembro"/>
  </r>
  <r>
    <n v="624"/>
    <d v="2020-12-03T00:00:00"/>
    <x v="11"/>
    <n v="83"/>
    <x v="60"/>
    <x v="7"/>
    <x v="23"/>
    <n v="106"/>
    <n v="2014"/>
    <n v="0.15"/>
    <n v="1711.9"/>
    <n v="302.09999999999991"/>
    <d v="2020-12-07T00:00:00"/>
    <d v="2020-12-07T00:00:00"/>
    <n v="624"/>
    <n v="5"/>
    <x v="4"/>
    <n v="0.06"/>
    <n v="102.714"/>
    <n v="1"/>
    <s v="Dezembro"/>
  </r>
  <r>
    <n v="625"/>
    <d v="2020-12-03T00:00:00"/>
    <x v="11"/>
    <n v="21"/>
    <x v="47"/>
    <x v="5"/>
    <x v="11"/>
    <n v="104"/>
    <n v="2808"/>
    <n v="0.14000000000000001"/>
    <n v="2414.88"/>
    <n v="393.11999999999989"/>
    <d v="2020-12-06T00:00:00"/>
    <d v="2020-12-06T00:00:00"/>
    <n v="625"/>
    <n v="2"/>
    <x v="1"/>
    <n v="0.1"/>
    <n v="241.48800000000003"/>
    <n v="2"/>
    <s v="Dezembro"/>
  </r>
  <r>
    <n v="626"/>
    <d v="2020-12-04T00:00:00"/>
    <x v="11"/>
    <n v="59"/>
    <x v="57"/>
    <x v="1"/>
    <x v="36"/>
    <n v="110"/>
    <n v="4620"/>
    <n v="0.1"/>
    <n v="4158"/>
    <n v="462"/>
    <d v="2020-12-22T00:00:00"/>
    <d v="2020-12-22T00:00:00"/>
    <n v="626"/>
    <n v="6"/>
    <x v="7"/>
    <n v="0.05"/>
    <n v="207.9"/>
    <n v="3"/>
    <s v="Dezembro"/>
  </r>
  <r>
    <n v="627"/>
    <d v="2020-12-05T00:00:00"/>
    <x v="11"/>
    <n v="6"/>
    <x v="48"/>
    <x v="3"/>
    <x v="29"/>
    <n v="99"/>
    <n v="4752"/>
    <n v="0.08"/>
    <n v="4371.84"/>
    <n v="380.15999999999985"/>
    <d v="2020-12-18T00:00:00"/>
    <d v="2020-12-18T00:00:00"/>
    <n v="627"/>
    <n v="5"/>
    <x v="1"/>
    <n v="0.1"/>
    <n v="437.18400000000003"/>
    <n v="4"/>
    <s v="Dezembro"/>
  </r>
  <r>
    <n v="628"/>
    <d v="2020-12-05T00:00:00"/>
    <x v="11"/>
    <n v="90"/>
    <x v="21"/>
    <x v="7"/>
    <x v="4"/>
    <n v="96"/>
    <n v="2304"/>
    <n v="0.1"/>
    <n v="2073.6"/>
    <n v="230.40000000000009"/>
    <d v="2020-12-22T00:00:00"/>
    <d v="2020-12-22T00:00:00"/>
    <n v="628"/>
    <n v="1"/>
    <x v="2"/>
    <n v="0.09"/>
    <n v="186.624"/>
    <n v="5"/>
    <s v="Dezembro"/>
  </r>
  <r>
    <n v="629"/>
    <d v="2020-12-06T00:00:00"/>
    <x v="11"/>
    <n v="44"/>
    <x v="31"/>
    <x v="0"/>
    <x v="1"/>
    <n v="109"/>
    <n v="5123"/>
    <n v="0.05"/>
    <n v="4866.8500000000004"/>
    <n v="256.14999999999964"/>
    <d v="2021-01-02T00:00:00"/>
    <d v="2021-01-02T00:00:00"/>
    <n v="629"/>
    <n v="5"/>
    <x v="8"/>
    <n v="0.05"/>
    <n v="243.34250000000003"/>
    <n v="6"/>
    <s v="Dezembro"/>
  </r>
  <r>
    <n v="630"/>
    <d v="2020-12-06T00:00:00"/>
    <x v="11"/>
    <n v="77"/>
    <x v="26"/>
    <x v="9"/>
    <x v="36"/>
    <n v="102"/>
    <n v="4284"/>
    <n v="0.14000000000000001"/>
    <n v="3684.24"/>
    <n v="599.76000000000022"/>
    <d v="2020-12-20T00:00:00"/>
    <d v="2020-12-20T00:00:00"/>
    <n v="630"/>
    <n v="2"/>
    <x v="1"/>
    <n v="0.06"/>
    <n v="221.05439999999999"/>
    <n v="7"/>
    <s v="Dezembro"/>
  </r>
  <r>
    <n v="631"/>
    <d v="2020-12-06T00:00:00"/>
    <x v="11"/>
    <n v="4"/>
    <x v="46"/>
    <x v="8"/>
    <x v="32"/>
    <n v="115"/>
    <n v="4025"/>
    <n v="0.12"/>
    <n v="3542"/>
    <n v="483"/>
    <d v="2020-12-21T00:00:00"/>
    <d v="2020-12-21T00:00:00"/>
    <n v="631"/>
    <n v="3"/>
    <x v="3"/>
    <n v="0.06"/>
    <n v="212.51999999999998"/>
    <n v="1"/>
    <s v="Dezembro"/>
  </r>
  <r>
    <n v="632"/>
    <d v="2020-12-07T00:00:00"/>
    <x v="11"/>
    <n v="43"/>
    <x v="59"/>
    <x v="2"/>
    <x v="17"/>
    <n v="118"/>
    <n v="4602"/>
    <n v="0.12"/>
    <n v="4049.76"/>
    <n v="552.23999999999978"/>
    <d v="2021-01-01T00:00:00"/>
    <d v="2021-01-01T00:00:00"/>
    <n v="632"/>
    <n v="3"/>
    <x v="3"/>
    <n v="7.0000000000000007E-2"/>
    <n v="283.48320000000007"/>
    <n v="2"/>
    <s v="Dezembro"/>
  </r>
  <r>
    <n v="633"/>
    <d v="2020-12-07T00:00:00"/>
    <x v="11"/>
    <n v="63"/>
    <x v="40"/>
    <x v="8"/>
    <x v="37"/>
    <n v="108"/>
    <n v="3456"/>
    <n v="0.11"/>
    <n v="3075.84"/>
    <n v="380.15999999999985"/>
    <d v="2021-01-04T00:00:00"/>
    <d v="2021-01-04T00:00:00"/>
    <n v="633"/>
    <n v="4"/>
    <x v="7"/>
    <n v="0.08"/>
    <n v="246.06720000000001"/>
    <n v="3"/>
    <s v="Dezembro"/>
  </r>
  <r>
    <n v="634"/>
    <d v="2020-12-08T00:00:00"/>
    <x v="11"/>
    <n v="2"/>
    <x v="6"/>
    <x v="6"/>
    <x v="33"/>
    <n v="117"/>
    <n v="1755"/>
    <n v="0.08"/>
    <n v="1614.6"/>
    <n v="140.40000000000009"/>
    <d v="2021-01-01T00:00:00"/>
    <d v="2021-01-01T00:00:00"/>
    <n v="634"/>
    <n v="4"/>
    <x v="9"/>
    <n v="7.0000000000000007E-2"/>
    <n v="113.02200000000001"/>
    <n v="4"/>
    <s v="Dezembro"/>
  </r>
  <r>
    <n v="635"/>
    <d v="2020-12-08T00:00:00"/>
    <x v="11"/>
    <n v="93"/>
    <x v="5"/>
    <x v="2"/>
    <x v="9"/>
    <n v="100"/>
    <n v="4500"/>
    <n v="0.02"/>
    <n v="4410"/>
    <n v="90"/>
    <d v="2021-01-02T00:00:00"/>
    <d v="2021-01-02T00:00:00"/>
    <n v="635"/>
    <n v="6"/>
    <x v="2"/>
    <n v="0.09"/>
    <n v="396.9"/>
    <n v="5"/>
    <s v="Dezembro"/>
  </r>
  <r>
    <n v="636"/>
    <d v="2020-12-09T00:00:00"/>
    <x v="11"/>
    <n v="11"/>
    <x v="21"/>
    <x v="9"/>
    <x v="2"/>
    <n v="103"/>
    <n v="3502"/>
    <n v="0.02"/>
    <n v="3431.96"/>
    <n v="70.039999999999964"/>
    <d v="2020-12-22T00:00:00"/>
    <d v="2020-12-22T00:00:00"/>
    <n v="636"/>
    <n v="7"/>
    <x v="4"/>
    <n v="0.09"/>
    <n v="308.87639999999999"/>
    <n v="6"/>
    <s v="Dezembro"/>
  </r>
  <r>
    <n v="637"/>
    <d v="2020-12-11T00:00:00"/>
    <x v="11"/>
    <n v="64"/>
    <x v="38"/>
    <x v="1"/>
    <x v="34"/>
    <n v="101"/>
    <n v="1313"/>
    <n v="0.12"/>
    <n v="1155.44"/>
    <n v="157.55999999999995"/>
    <d v="2021-01-07T00:00:00"/>
    <d v="2021-01-07T00:00:00"/>
    <n v="637"/>
    <n v="7"/>
    <x v="5"/>
    <n v="7.0000000000000007E-2"/>
    <n v="80.880800000000008"/>
    <n v="7"/>
    <s v="Dezembro"/>
  </r>
  <r>
    <n v="638"/>
    <d v="2020-12-11T00:00:00"/>
    <x v="11"/>
    <n v="85"/>
    <x v="19"/>
    <x v="0"/>
    <x v="1"/>
    <n v="115"/>
    <n v="5405"/>
    <n v="0.01"/>
    <n v="5350.95"/>
    <n v="54.050000000000182"/>
    <d v="2020-12-31T00:00:00"/>
    <d v="2020-12-31T00:00:00"/>
    <n v="638"/>
    <n v="6"/>
    <x v="9"/>
    <n v="0.1"/>
    <n v="535.09500000000003"/>
    <n v="1"/>
    <s v="Dezembro"/>
  </r>
  <r>
    <n v="639"/>
    <d v="2020-12-12T00:00:00"/>
    <x v="11"/>
    <n v="1"/>
    <x v="53"/>
    <x v="7"/>
    <x v="19"/>
    <n v="103"/>
    <n v="2987"/>
    <n v="0.11"/>
    <n v="2658.43"/>
    <n v="328.57000000000016"/>
    <d v="2020-12-19T00:00:00"/>
    <d v="2020-12-19T00:00:00"/>
    <n v="639"/>
    <n v="5"/>
    <x v="1"/>
    <n v="0.09"/>
    <n v="239.25869999999998"/>
    <n v="2"/>
    <s v="Dezembro"/>
  </r>
  <r>
    <n v="640"/>
    <d v="2020-12-12T00:00:00"/>
    <x v="11"/>
    <n v="40"/>
    <x v="15"/>
    <x v="6"/>
    <x v="38"/>
    <n v="115"/>
    <n v="4600"/>
    <n v="0.09"/>
    <n v="4186"/>
    <n v="414"/>
    <d v="2020-12-16T00:00:00"/>
    <d v="2020-12-16T00:00:00"/>
    <n v="640"/>
    <n v="3"/>
    <x v="0"/>
    <n v="0.09"/>
    <n v="376.74"/>
    <n v="3"/>
    <s v="Dezembro"/>
  </r>
  <r>
    <n v="641"/>
    <d v="2020-12-14T00:00:00"/>
    <x v="11"/>
    <n v="36"/>
    <x v="30"/>
    <x v="3"/>
    <x v="20"/>
    <n v="90"/>
    <n v="2070"/>
    <n v="0.13"/>
    <n v="1800.9"/>
    <n v="269.09999999999991"/>
    <d v="2020-12-23T00:00:00"/>
    <d v="2020-12-23T00:00:00"/>
    <n v="641"/>
    <n v="5"/>
    <x v="4"/>
    <n v="0.06"/>
    <n v="108.054"/>
    <n v="4"/>
    <s v="Dezembro"/>
  </r>
  <r>
    <n v="642"/>
    <d v="2020-12-14T00:00:00"/>
    <x v="11"/>
    <n v="21"/>
    <x v="47"/>
    <x v="3"/>
    <x v="13"/>
    <n v="100"/>
    <n v="3100"/>
    <n v="0.11"/>
    <n v="2759"/>
    <n v="341"/>
    <d v="2021-01-07T00:00:00"/>
    <d v="2021-01-07T00:00:00"/>
    <n v="642"/>
    <n v="1"/>
    <x v="8"/>
    <n v="0.05"/>
    <n v="137.95000000000002"/>
    <n v="5"/>
    <s v="Dezembro"/>
  </r>
  <r>
    <n v="643"/>
    <d v="2020-12-14T00:00:00"/>
    <x v="11"/>
    <n v="55"/>
    <x v="12"/>
    <x v="2"/>
    <x v="14"/>
    <n v="96"/>
    <n v="2400"/>
    <n v="0.03"/>
    <n v="2328"/>
    <n v="72"/>
    <d v="2020-12-24T00:00:00"/>
    <d v="2020-12-24T00:00:00"/>
    <n v="643"/>
    <n v="5"/>
    <x v="6"/>
    <n v="0.05"/>
    <n v="116.4"/>
    <n v="6"/>
    <s v="Dezembro"/>
  </r>
  <r>
    <n v="644"/>
    <d v="2020-12-15T00:00:00"/>
    <x v="11"/>
    <n v="84"/>
    <x v="12"/>
    <x v="2"/>
    <x v="40"/>
    <n v="94"/>
    <n v="1128"/>
    <n v="0.05"/>
    <n v="1071.5999999999999"/>
    <n v="56.400000000000091"/>
    <d v="2020-12-22T00:00:00"/>
    <d v="2020-12-22T00:00:00"/>
    <n v="644"/>
    <n v="2"/>
    <x v="3"/>
    <n v="0.1"/>
    <n v="107.16"/>
    <n v="7"/>
    <s v="Dezembro"/>
  </r>
  <r>
    <n v="645"/>
    <d v="2020-12-15T00:00:00"/>
    <x v="11"/>
    <n v="18"/>
    <x v="43"/>
    <x v="0"/>
    <x v="29"/>
    <n v="96"/>
    <n v="4608"/>
    <n v="0.06"/>
    <n v="4331.5200000000004"/>
    <n v="276.47999999999956"/>
    <d v="2020-12-17T00:00:00"/>
    <d v="2020-12-17T00:00:00"/>
    <n v="645"/>
    <n v="1"/>
    <x v="5"/>
    <n v="7.0000000000000007E-2"/>
    <n v="303.20640000000009"/>
    <n v="1"/>
    <s v="Dezembro"/>
  </r>
  <r>
    <n v="646"/>
    <d v="2020-12-15T00:00:00"/>
    <x v="11"/>
    <n v="46"/>
    <x v="54"/>
    <x v="2"/>
    <x v="32"/>
    <n v="93"/>
    <n v="3255"/>
    <n v="0.15"/>
    <n v="2766.75"/>
    <n v="488.25"/>
    <d v="2020-12-16T00:00:00"/>
    <m/>
    <n v="646"/>
    <n v="4"/>
    <x v="8"/>
    <n v="0.06"/>
    <n v="166.005"/>
    <n v="2"/>
    <s v="Dezembro"/>
  </r>
  <r>
    <n v="647"/>
    <d v="2020-12-16T00:00:00"/>
    <x v="11"/>
    <n v="15"/>
    <x v="37"/>
    <x v="2"/>
    <x v="27"/>
    <n v="96"/>
    <n v="4416"/>
    <n v="0.13"/>
    <n v="3841.92"/>
    <n v="574.07999999999993"/>
    <d v="2020-12-27T00:00:00"/>
    <d v="2020-12-27T00:00:00"/>
    <n v="647"/>
    <n v="5"/>
    <x v="9"/>
    <n v="0.08"/>
    <n v="307.35360000000003"/>
    <n v="3"/>
    <s v="Dezembro"/>
  </r>
  <r>
    <n v="648"/>
    <d v="2020-12-17T00:00:00"/>
    <x v="11"/>
    <n v="18"/>
    <x v="43"/>
    <x v="2"/>
    <x v="36"/>
    <n v="100"/>
    <n v="4200"/>
    <n v="0.14000000000000001"/>
    <n v="3612"/>
    <n v="588"/>
    <d v="2020-12-18T00:00:00"/>
    <d v="2020-12-18T00:00:00"/>
    <n v="648"/>
    <n v="6"/>
    <x v="7"/>
    <n v="0.05"/>
    <n v="180.60000000000002"/>
    <n v="4"/>
    <s v="Dezembro"/>
  </r>
  <r>
    <n v="649"/>
    <d v="2020-12-17T00:00:00"/>
    <x v="11"/>
    <n v="56"/>
    <x v="28"/>
    <x v="6"/>
    <x v="8"/>
    <n v="92"/>
    <n v="2024"/>
    <n v="0.02"/>
    <n v="1983.52"/>
    <n v="40.480000000000018"/>
    <d v="2020-12-31T00:00:00"/>
    <d v="2020-12-31T00:00:00"/>
    <n v="649"/>
    <n v="5"/>
    <x v="6"/>
    <n v="0.1"/>
    <n v="198.352"/>
    <n v="5"/>
    <s v="Dezembro"/>
  </r>
  <r>
    <n v="650"/>
    <d v="2020-12-17T00:00:00"/>
    <x v="11"/>
    <n v="52"/>
    <x v="1"/>
    <x v="6"/>
    <x v="16"/>
    <n v="119"/>
    <n v="2499"/>
    <n v="0.13"/>
    <n v="2174.13"/>
    <n v="324.86999999999989"/>
    <d v="2021-01-03T00:00:00"/>
    <d v="2021-01-03T00:00:00"/>
    <n v="650"/>
    <n v="4"/>
    <x v="4"/>
    <n v="0.05"/>
    <n v="108.70650000000001"/>
    <n v="6"/>
    <s v="Dezembro"/>
  </r>
  <r>
    <n v="651"/>
    <d v="2020-12-17T00:00:00"/>
    <x v="11"/>
    <n v="6"/>
    <x v="48"/>
    <x v="5"/>
    <x v="19"/>
    <n v="97"/>
    <n v="2813"/>
    <n v="0.09"/>
    <n v="2559.83"/>
    <n v="253.17000000000007"/>
    <d v="2021-01-10T00:00:00"/>
    <d v="2021-01-10T00:00:00"/>
    <n v="651"/>
    <n v="7"/>
    <x v="8"/>
    <n v="7.0000000000000007E-2"/>
    <n v="179.18810000000002"/>
    <n v="7"/>
    <s v="Dezembro"/>
  </r>
  <r>
    <n v="652"/>
    <d v="2020-12-19T00:00:00"/>
    <x v="11"/>
    <n v="49"/>
    <x v="8"/>
    <x v="6"/>
    <x v="9"/>
    <n v="103"/>
    <n v="4635"/>
    <n v="0.02"/>
    <n v="4542.3"/>
    <n v="92.699999999999818"/>
    <d v="2021-01-11T00:00:00"/>
    <d v="2021-01-11T00:00:00"/>
    <n v="652"/>
    <n v="7"/>
    <x v="0"/>
    <n v="0.09"/>
    <n v="408.80700000000002"/>
    <n v="1"/>
    <s v="Dezembro"/>
  </r>
  <r>
    <n v="653"/>
    <d v="2020-12-20T00:00:00"/>
    <x v="11"/>
    <n v="99"/>
    <x v="44"/>
    <x v="4"/>
    <x v="11"/>
    <n v="91"/>
    <n v="2457"/>
    <n v="0.08"/>
    <n v="2260.44"/>
    <n v="196.55999999999995"/>
    <d v="2020-12-28T00:00:00"/>
    <d v="2020-12-28T00:00:00"/>
    <n v="653"/>
    <n v="7"/>
    <x v="0"/>
    <n v="0.05"/>
    <n v="113.02200000000001"/>
    <n v="2"/>
    <s v="Dezembro"/>
  </r>
  <r>
    <n v="654"/>
    <d v="2020-12-21T00:00:00"/>
    <x v="11"/>
    <n v="71"/>
    <x v="0"/>
    <x v="9"/>
    <x v="15"/>
    <n v="108"/>
    <n v="3240"/>
    <n v="0.13"/>
    <n v="2818.8"/>
    <n v="421.19999999999982"/>
    <d v="2021-01-01T00:00:00"/>
    <d v="2021-01-01T00:00:00"/>
    <n v="654"/>
    <n v="2"/>
    <x v="2"/>
    <n v="7.0000000000000007E-2"/>
    <n v="197.31600000000003"/>
    <n v="3"/>
    <s v="Dezembro"/>
  </r>
  <r>
    <n v="655"/>
    <d v="2020-12-21T00:00:00"/>
    <x v="11"/>
    <n v="73"/>
    <x v="8"/>
    <x v="9"/>
    <x v="38"/>
    <n v="92"/>
    <n v="3680"/>
    <n v="0.02"/>
    <n v="3606.4"/>
    <n v="73.599999999999909"/>
    <d v="2020-12-31T00:00:00"/>
    <d v="2020-12-31T00:00:00"/>
    <n v="655"/>
    <n v="7"/>
    <x v="5"/>
    <n v="0.05"/>
    <n v="180.32000000000002"/>
    <n v="4"/>
    <s v="Dezembro"/>
  </r>
  <r>
    <n v="656"/>
    <d v="2020-12-21T00:00:00"/>
    <x v="11"/>
    <n v="6"/>
    <x v="48"/>
    <x v="1"/>
    <x v="0"/>
    <n v="92"/>
    <n v="3404"/>
    <n v="0.04"/>
    <n v="3267.84"/>
    <n v="136.15999999999985"/>
    <d v="2021-01-09T00:00:00"/>
    <d v="2021-01-09T00:00:00"/>
    <n v="656"/>
    <n v="6"/>
    <x v="8"/>
    <n v="0.08"/>
    <n v="261.42720000000003"/>
    <n v="5"/>
    <s v="Dezembro"/>
  </r>
  <r>
    <n v="657"/>
    <d v="2020-12-21T00:00:00"/>
    <x v="11"/>
    <n v="13"/>
    <x v="35"/>
    <x v="8"/>
    <x v="38"/>
    <n v="111"/>
    <n v="4440"/>
    <n v="0.02"/>
    <n v="4351.2"/>
    <n v="88.800000000000182"/>
    <d v="2020-12-24T00:00:00"/>
    <d v="2020-12-24T00:00:00"/>
    <n v="657"/>
    <n v="7"/>
    <x v="1"/>
    <n v="0.08"/>
    <n v="348.096"/>
    <n v="6"/>
    <s v="Dezembro"/>
  </r>
  <r>
    <n v="658"/>
    <d v="2020-12-22T00:00:00"/>
    <x v="11"/>
    <n v="72"/>
    <x v="8"/>
    <x v="0"/>
    <x v="13"/>
    <n v="104"/>
    <n v="3224"/>
    <n v="0.11"/>
    <n v="2869.36"/>
    <n v="354.63999999999987"/>
    <d v="2020-12-31T00:00:00"/>
    <d v="2020-12-31T00:00:00"/>
    <n v="658"/>
    <n v="5"/>
    <x v="0"/>
    <n v="0.06"/>
    <n v="172.16159999999999"/>
    <n v="7"/>
    <s v="Dezembro"/>
  </r>
  <r>
    <n v="659"/>
    <d v="2020-12-22T00:00:00"/>
    <x v="11"/>
    <n v="9"/>
    <x v="7"/>
    <x v="1"/>
    <x v="39"/>
    <n v="98"/>
    <n v="3528"/>
    <n v="0.14000000000000001"/>
    <n v="3034.08"/>
    <n v="493.92000000000007"/>
    <d v="2021-01-13T00:00:00"/>
    <d v="2021-01-13T00:00:00"/>
    <n v="659"/>
    <n v="4"/>
    <x v="8"/>
    <n v="0.1"/>
    <n v="303.40800000000002"/>
    <n v="1"/>
    <s v="Dezembro"/>
  </r>
  <r>
    <n v="660"/>
    <d v="2020-12-25T00:00:00"/>
    <x v="11"/>
    <n v="57"/>
    <x v="49"/>
    <x v="2"/>
    <x v="14"/>
    <n v="106"/>
    <n v="2650"/>
    <n v="0.06"/>
    <n v="2491"/>
    <n v="159"/>
    <d v="2020-12-27T00:00:00"/>
    <d v="2020-12-27T00:00:00"/>
    <n v="660"/>
    <n v="7"/>
    <x v="4"/>
    <n v="0.09"/>
    <n v="224.19"/>
    <n v="2"/>
    <s v="Dezembro"/>
  </r>
  <r>
    <n v="661"/>
    <d v="2020-12-25T00:00:00"/>
    <x v="11"/>
    <n v="6"/>
    <x v="48"/>
    <x v="5"/>
    <x v="33"/>
    <n v="118"/>
    <n v="1770"/>
    <n v="0.15"/>
    <n v="1504.5"/>
    <n v="265.5"/>
    <d v="2021-01-18T00:00:00"/>
    <d v="2021-01-18T00:00:00"/>
    <n v="661"/>
    <n v="5"/>
    <x v="9"/>
    <n v="0.05"/>
    <n v="75.225000000000009"/>
    <n v="3"/>
    <s v="Dezembro"/>
  </r>
  <r>
    <n v="662"/>
    <d v="2020-12-26T00:00:00"/>
    <x v="11"/>
    <n v="48"/>
    <x v="22"/>
    <x v="1"/>
    <x v="37"/>
    <n v="93"/>
    <n v="2976"/>
    <n v="0.11"/>
    <n v="2648.64"/>
    <n v="327.36000000000013"/>
    <d v="2021-01-12T00:00:00"/>
    <d v="2021-01-12T00:00:00"/>
    <n v="662"/>
    <n v="4"/>
    <x v="0"/>
    <n v="0.1"/>
    <n v="264.86399999999998"/>
    <n v="4"/>
    <s v="Dezembro"/>
  </r>
  <r>
    <n v="663"/>
    <d v="2020-12-26T00:00:00"/>
    <x v="11"/>
    <n v="38"/>
    <x v="33"/>
    <x v="7"/>
    <x v="22"/>
    <n v="90"/>
    <n v="2520"/>
    <n v="0.06"/>
    <n v="2368.8000000000002"/>
    <n v="151.19999999999982"/>
    <d v="2020-12-30T00:00:00"/>
    <d v="2020-12-30T00:00:00"/>
    <n v="663"/>
    <n v="7"/>
    <x v="7"/>
    <n v="0.06"/>
    <n v="142.12800000000001"/>
    <n v="5"/>
    <s v="Dezembro"/>
  </r>
  <r>
    <n v="664"/>
    <d v="2020-12-26T00:00:00"/>
    <x v="11"/>
    <n v="93"/>
    <x v="5"/>
    <x v="0"/>
    <x v="19"/>
    <n v="92"/>
    <n v="2668"/>
    <n v="0.13"/>
    <n v="2321.16"/>
    <n v="346.84000000000015"/>
    <d v="2021-01-22T00:00:00"/>
    <m/>
    <n v="664"/>
    <n v="3"/>
    <x v="9"/>
    <n v="0.08"/>
    <n v="185.69280000000001"/>
    <n v="6"/>
    <s v="Dezembro"/>
  </r>
  <r>
    <n v="665"/>
    <d v="2020-12-27T00:00:00"/>
    <x v="11"/>
    <n v="58"/>
    <x v="32"/>
    <x v="5"/>
    <x v="5"/>
    <n v="117"/>
    <n v="1287"/>
    <n v="0.14000000000000001"/>
    <n v="1106.82"/>
    <n v="180.18000000000006"/>
    <d v="2020-12-27T00:00:00"/>
    <d v="2020-12-27T00:00:00"/>
    <n v="665"/>
    <n v="1"/>
    <x v="1"/>
    <n v="0.09"/>
    <n v="99.613799999999998"/>
    <n v="7"/>
    <s v="Dezembro"/>
  </r>
  <r>
    <n v="666"/>
    <d v="2020-12-28T00:00:00"/>
    <x v="11"/>
    <n v="76"/>
    <x v="64"/>
    <x v="7"/>
    <x v="34"/>
    <n v="93"/>
    <n v="1209"/>
    <n v="0"/>
    <n v="1209"/>
    <n v="0"/>
    <d v="2021-01-14T00:00:00"/>
    <d v="2021-01-14T00:00:00"/>
    <n v="666"/>
    <n v="7"/>
    <x v="7"/>
    <n v="0.1"/>
    <n v="120.9"/>
    <n v="1"/>
    <s v="Dezembro"/>
  </r>
  <r>
    <n v="667"/>
    <d v="2020-12-28T00:00:00"/>
    <x v="11"/>
    <n v="66"/>
    <x v="4"/>
    <x v="4"/>
    <x v="21"/>
    <n v="118"/>
    <n v="2006"/>
    <n v="0.06"/>
    <n v="1885.64"/>
    <n v="120.3599999999999"/>
    <d v="2021-01-02T00:00:00"/>
    <d v="2021-01-02T00:00:00"/>
    <n v="667"/>
    <n v="7"/>
    <x v="1"/>
    <n v="0.06"/>
    <n v="113.1384"/>
    <n v="2"/>
    <s v="Dezembro"/>
  </r>
  <r>
    <n v="668"/>
    <d v="2020-12-29T00:00:00"/>
    <x v="11"/>
    <n v="18"/>
    <x v="43"/>
    <x v="2"/>
    <x v="7"/>
    <n v="112"/>
    <n v="1120"/>
    <n v="0.06"/>
    <n v="1052.8"/>
    <n v="67.200000000000045"/>
    <d v="2020-12-29T00:00:00"/>
    <d v="2020-12-29T00:00:00"/>
    <n v="668"/>
    <n v="7"/>
    <x v="0"/>
    <n v="0.08"/>
    <n v="84.224000000000004"/>
    <n v="3"/>
    <s v="Dezembro"/>
  </r>
  <r>
    <n v="669"/>
    <d v="2020-12-30T00:00:00"/>
    <x v="11"/>
    <n v="11"/>
    <x v="21"/>
    <x v="9"/>
    <x v="13"/>
    <n v="115"/>
    <n v="3565"/>
    <n v="0.04"/>
    <n v="3422.4"/>
    <n v="142.59999999999991"/>
    <d v="2021-01-04T00:00:00"/>
    <d v="2021-01-04T00:00:00"/>
    <n v="669"/>
    <n v="3"/>
    <x v="4"/>
    <n v="0.09"/>
    <n v="308.01600000000002"/>
    <n v="4"/>
    <s v="Dezembro"/>
  </r>
  <r>
    <n v="670"/>
    <d v="2020-12-30T00:00:00"/>
    <x v="11"/>
    <n v="22"/>
    <x v="16"/>
    <x v="3"/>
    <x v="0"/>
    <n v="110"/>
    <n v="4070"/>
    <n v="0.05"/>
    <n v="3866.5"/>
    <n v="203.5"/>
    <d v="2021-01-14T00:00:00"/>
    <m/>
    <n v="670"/>
    <n v="6"/>
    <x v="5"/>
    <n v="0.06"/>
    <n v="231.98999999999998"/>
    <n v="5"/>
    <s v="Dezembro"/>
  </r>
  <r>
    <n v="671"/>
    <d v="2020-12-30T00:00:00"/>
    <x v="11"/>
    <n v="79"/>
    <x v="5"/>
    <x v="8"/>
    <x v="16"/>
    <n v="103"/>
    <n v="2163"/>
    <n v="0.09"/>
    <n v="1968.33"/>
    <n v="194.67000000000007"/>
    <d v="2021-01-25T00:00:00"/>
    <d v="2021-01-25T00:00:00"/>
    <n v="671"/>
    <n v="5"/>
    <x v="8"/>
    <n v="7.0000000000000007E-2"/>
    <n v="137.78310000000002"/>
    <n v="6"/>
    <s v="Dezembro"/>
  </r>
  <r>
    <n v="672"/>
    <d v="2020-12-31T00:00:00"/>
    <x v="11"/>
    <n v="72"/>
    <x v="8"/>
    <x v="9"/>
    <x v="3"/>
    <n v="116"/>
    <n v="5104"/>
    <n v="0.11"/>
    <n v="4542.5599999999995"/>
    <n v="561.44000000000051"/>
    <d v="2021-01-15T00:00:00"/>
    <d v="2021-01-15T00:00:00"/>
    <n v="672"/>
    <n v="6"/>
    <x v="6"/>
    <n v="0.05"/>
    <n v="227.12799999999999"/>
    <n v="7"/>
    <s v="Dezembro"/>
  </r>
  <r>
    <n v="673"/>
    <d v="2020-12-31T00:00:00"/>
    <x v="11"/>
    <n v="86"/>
    <x v="50"/>
    <x v="6"/>
    <x v="22"/>
    <n v="110"/>
    <n v="3080"/>
    <n v="0.12"/>
    <n v="2710.4"/>
    <n v="369.59999999999991"/>
    <d v="2021-01-03T00:00:00"/>
    <d v="2021-01-03T00:00:00"/>
    <n v="673"/>
    <n v="4"/>
    <x v="0"/>
    <n v="0.05"/>
    <n v="135.52000000000001"/>
    <n v="1"/>
    <s v="Dezembro"/>
  </r>
  <r>
    <n v="674"/>
    <d v="2021-01-03T00:00:00"/>
    <x v="0"/>
    <n v="13"/>
    <x v="35"/>
    <x v="1"/>
    <x v="23"/>
    <n v="115"/>
    <n v="2185"/>
    <n v="0.06"/>
    <n v="2053.9"/>
    <n v="131.09999999999991"/>
    <d v="2021-01-14T00:00:00"/>
    <d v="2021-01-14T00:00:00"/>
    <n v="674"/>
    <n v="3"/>
    <x v="8"/>
    <n v="0.05"/>
    <n v="102.69500000000001"/>
    <n v="2"/>
    <s v="Janeiro"/>
  </r>
  <r>
    <n v="675"/>
    <d v="2021-01-03T00:00:00"/>
    <x v="0"/>
    <n v="64"/>
    <x v="38"/>
    <x v="1"/>
    <x v="11"/>
    <n v="99"/>
    <n v="2673"/>
    <n v="0.08"/>
    <n v="2459.16"/>
    <n v="213.84000000000015"/>
    <d v="2021-01-12T00:00:00"/>
    <d v="2021-01-12T00:00:00"/>
    <n v="675"/>
    <n v="6"/>
    <x v="9"/>
    <n v="0.09"/>
    <n v="221.32439999999997"/>
    <n v="3"/>
    <s v="Janeiro"/>
  </r>
  <r>
    <n v="676"/>
    <d v="2021-01-03T00:00:00"/>
    <x v="0"/>
    <n v="20"/>
    <x v="9"/>
    <x v="7"/>
    <x v="1"/>
    <n v="94"/>
    <n v="4418"/>
    <n v="0.08"/>
    <n v="4064.56"/>
    <n v="353.44000000000005"/>
    <d v="2021-01-19T00:00:00"/>
    <d v="2021-01-19T00:00:00"/>
    <n v="676"/>
    <n v="7"/>
    <x v="9"/>
    <n v="0.1"/>
    <n v="406.45600000000002"/>
    <n v="4"/>
    <s v="Janeiro"/>
  </r>
  <r>
    <n v="677"/>
    <d v="2021-01-04T00:00:00"/>
    <x v="0"/>
    <n v="47"/>
    <x v="10"/>
    <x v="3"/>
    <x v="2"/>
    <n v="108"/>
    <n v="3672"/>
    <n v="0.01"/>
    <n v="3635.28"/>
    <n v="36.7199999999998"/>
    <d v="2021-01-08T00:00:00"/>
    <d v="2021-01-08T00:00:00"/>
    <n v="677"/>
    <n v="6"/>
    <x v="8"/>
    <n v="0.05"/>
    <n v="181.76400000000001"/>
    <n v="5"/>
    <s v="Janeiro"/>
  </r>
  <r>
    <n v="678"/>
    <d v="2021-01-05T00:00:00"/>
    <x v="0"/>
    <n v="92"/>
    <x v="2"/>
    <x v="5"/>
    <x v="15"/>
    <n v="95"/>
    <n v="2850"/>
    <n v="0.03"/>
    <n v="2764.5"/>
    <n v="85.5"/>
    <d v="2021-01-21T00:00:00"/>
    <d v="2021-01-21T00:00:00"/>
    <n v="678"/>
    <n v="7"/>
    <x v="7"/>
    <n v="0.08"/>
    <n v="221.16"/>
    <n v="6"/>
    <s v="Janeiro"/>
  </r>
  <r>
    <n v="679"/>
    <d v="2021-01-06T00:00:00"/>
    <x v="0"/>
    <n v="70"/>
    <x v="28"/>
    <x v="5"/>
    <x v="15"/>
    <n v="91"/>
    <n v="2730"/>
    <n v="0.05"/>
    <n v="2593.5"/>
    <n v="136.5"/>
    <d v="2021-02-01T00:00:00"/>
    <d v="2021-02-01T00:00:00"/>
    <n v="679"/>
    <n v="4"/>
    <x v="3"/>
    <n v="0.08"/>
    <n v="207.48000000000002"/>
    <n v="7"/>
    <s v="Janeiro"/>
  </r>
  <r>
    <n v="680"/>
    <d v="2021-01-06T00:00:00"/>
    <x v="0"/>
    <n v="33"/>
    <x v="36"/>
    <x v="5"/>
    <x v="19"/>
    <n v="92"/>
    <n v="2668"/>
    <n v="0.14000000000000001"/>
    <n v="2294.48"/>
    <n v="373.52"/>
    <d v="2021-01-08T00:00:00"/>
    <d v="2021-01-08T00:00:00"/>
    <n v="680"/>
    <n v="1"/>
    <x v="1"/>
    <n v="0.08"/>
    <n v="183.55840000000001"/>
    <n v="1"/>
    <s v="Janeiro"/>
  </r>
  <r>
    <n v="681"/>
    <d v="2021-01-06T00:00:00"/>
    <x v="0"/>
    <n v="50"/>
    <x v="41"/>
    <x v="6"/>
    <x v="23"/>
    <n v="111"/>
    <n v="2109"/>
    <n v="0.08"/>
    <n v="1940.28"/>
    <n v="168.72000000000003"/>
    <d v="2021-01-09T00:00:00"/>
    <d v="2021-01-09T00:00:00"/>
    <n v="681"/>
    <n v="7"/>
    <x v="6"/>
    <n v="0.08"/>
    <n v="155.22239999999999"/>
    <n v="2"/>
    <s v="Janeiro"/>
  </r>
  <r>
    <n v="682"/>
    <d v="2021-01-06T00:00:00"/>
    <x v="0"/>
    <n v="57"/>
    <x v="49"/>
    <x v="4"/>
    <x v="11"/>
    <n v="111"/>
    <n v="2997"/>
    <n v="0.04"/>
    <n v="2877.12"/>
    <n v="119.88000000000011"/>
    <d v="2021-01-13T00:00:00"/>
    <d v="2021-01-13T00:00:00"/>
    <n v="682"/>
    <n v="3"/>
    <x v="5"/>
    <n v="0.06"/>
    <n v="172.62719999999999"/>
    <n v="3"/>
    <s v="Janeiro"/>
  </r>
  <r>
    <n v="683"/>
    <d v="2021-01-06T00:00:00"/>
    <x v="0"/>
    <n v="7"/>
    <x v="62"/>
    <x v="3"/>
    <x v="35"/>
    <n v="118"/>
    <n v="5074"/>
    <n v="0.15"/>
    <n v="4312.8999999999996"/>
    <n v="761.10000000000036"/>
    <d v="2021-01-09T00:00:00"/>
    <d v="2021-01-09T00:00:00"/>
    <n v="683"/>
    <n v="7"/>
    <x v="0"/>
    <n v="0.09"/>
    <n v="388.16099999999994"/>
    <n v="4"/>
    <s v="Janeiro"/>
  </r>
  <r>
    <n v="684"/>
    <d v="2021-01-07T00:00:00"/>
    <x v="0"/>
    <n v="62"/>
    <x v="8"/>
    <x v="3"/>
    <x v="34"/>
    <n v="101"/>
    <n v="1313"/>
    <n v="0.06"/>
    <n v="1234.22"/>
    <n v="78.779999999999973"/>
    <d v="2021-02-02T00:00:00"/>
    <d v="2021-02-02T00:00:00"/>
    <n v="684"/>
    <n v="3"/>
    <x v="2"/>
    <n v="0.1"/>
    <n v="123.42200000000001"/>
    <n v="5"/>
    <s v="Janeiro"/>
  </r>
  <r>
    <n v="685"/>
    <d v="2021-01-07T00:00:00"/>
    <x v="0"/>
    <n v="32"/>
    <x v="37"/>
    <x v="3"/>
    <x v="37"/>
    <n v="112"/>
    <n v="3584"/>
    <n v="0.09"/>
    <n v="3261.44"/>
    <n v="322.55999999999995"/>
    <d v="2021-01-09T00:00:00"/>
    <d v="2021-01-09T00:00:00"/>
    <n v="685"/>
    <n v="2"/>
    <x v="5"/>
    <n v="0.06"/>
    <n v="195.68639999999999"/>
    <n v="6"/>
    <s v="Janeiro"/>
  </r>
  <r>
    <n v="686"/>
    <d v="2021-01-08T00:00:00"/>
    <x v="0"/>
    <n v="40"/>
    <x v="15"/>
    <x v="1"/>
    <x v="20"/>
    <n v="119"/>
    <n v="2737"/>
    <n v="0.01"/>
    <n v="2709.63"/>
    <n v="27.369999999999891"/>
    <d v="2021-01-14T00:00:00"/>
    <d v="2021-01-14T00:00:00"/>
    <n v="686"/>
    <n v="3"/>
    <x v="8"/>
    <n v="0.09"/>
    <n v="243.86670000000001"/>
    <n v="7"/>
    <s v="Janeiro"/>
  </r>
  <r>
    <n v="687"/>
    <d v="2021-01-09T00:00:00"/>
    <x v="0"/>
    <n v="5"/>
    <x v="8"/>
    <x v="5"/>
    <x v="39"/>
    <n v="101"/>
    <n v="3636"/>
    <n v="7.0000000000000007E-2"/>
    <n v="3381.48"/>
    <n v="254.51999999999998"/>
    <d v="2021-01-24T00:00:00"/>
    <d v="2021-01-24T00:00:00"/>
    <n v="687"/>
    <n v="4"/>
    <x v="0"/>
    <n v="7.0000000000000007E-2"/>
    <n v="236.70360000000002"/>
    <n v="1"/>
    <s v="Janeiro"/>
  </r>
  <r>
    <n v="688"/>
    <d v="2021-01-09T00:00:00"/>
    <x v="0"/>
    <n v="97"/>
    <x v="27"/>
    <x v="9"/>
    <x v="6"/>
    <n v="103"/>
    <n v="2060"/>
    <n v="7.0000000000000007E-2"/>
    <n v="1915.8"/>
    <n v="144.20000000000005"/>
    <d v="2021-01-09T00:00:00"/>
    <d v="2021-01-09T00:00:00"/>
    <n v="688"/>
    <n v="3"/>
    <x v="1"/>
    <n v="0.06"/>
    <n v="114.94799999999999"/>
    <n v="2"/>
    <s v="Janeiro"/>
  </r>
  <r>
    <n v="689"/>
    <d v="2021-01-10T00:00:00"/>
    <x v="0"/>
    <n v="69"/>
    <x v="28"/>
    <x v="3"/>
    <x v="10"/>
    <n v="109"/>
    <n v="1526"/>
    <n v="0.09"/>
    <n v="1388.66"/>
    <n v="137.33999999999992"/>
    <d v="2021-02-01T00:00:00"/>
    <d v="2021-02-01T00:00:00"/>
    <n v="689"/>
    <n v="2"/>
    <x v="9"/>
    <n v="0.06"/>
    <n v="83.319600000000008"/>
    <n v="3"/>
    <s v="Janeiro"/>
  </r>
  <r>
    <n v="690"/>
    <d v="2021-01-11T00:00:00"/>
    <x v="0"/>
    <n v="75"/>
    <x v="8"/>
    <x v="7"/>
    <x v="15"/>
    <n v="113"/>
    <n v="3390"/>
    <n v="7.0000000000000007E-2"/>
    <n v="3152.7"/>
    <n v="237.30000000000018"/>
    <d v="2021-02-01T00:00:00"/>
    <d v="2021-02-01T00:00:00"/>
    <n v="690"/>
    <n v="3"/>
    <x v="3"/>
    <n v="7.0000000000000007E-2"/>
    <n v="220.68900000000002"/>
    <n v="4"/>
    <s v="Janeiro"/>
  </r>
  <r>
    <n v="691"/>
    <d v="2021-01-11T00:00:00"/>
    <x v="0"/>
    <n v="4"/>
    <x v="46"/>
    <x v="6"/>
    <x v="17"/>
    <n v="105"/>
    <n v="4095"/>
    <n v="7.0000000000000007E-2"/>
    <n v="3808.35"/>
    <n v="286.65000000000009"/>
    <d v="2021-02-05T00:00:00"/>
    <m/>
    <n v="691"/>
    <n v="6"/>
    <x v="8"/>
    <n v="0.1"/>
    <n v="380.83500000000004"/>
    <n v="5"/>
    <s v="Janeiro"/>
  </r>
  <r>
    <n v="692"/>
    <d v="2021-01-12T00:00:00"/>
    <x v="0"/>
    <n v="82"/>
    <x v="28"/>
    <x v="7"/>
    <x v="6"/>
    <n v="119"/>
    <n v="2380"/>
    <n v="0.13"/>
    <n v="2070.6"/>
    <n v="309.40000000000009"/>
    <d v="2021-02-11T00:00:00"/>
    <d v="2021-02-11T00:00:00"/>
    <n v="692"/>
    <n v="3"/>
    <x v="0"/>
    <n v="0.09"/>
    <n v="186.35399999999998"/>
    <n v="6"/>
    <s v="Janeiro"/>
  </r>
  <r>
    <n v="693"/>
    <d v="2021-01-12T00:00:00"/>
    <x v="0"/>
    <n v="54"/>
    <x v="39"/>
    <x v="5"/>
    <x v="39"/>
    <n v="112"/>
    <n v="4032"/>
    <n v="0.01"/>
    <n v="3991.68"/>
    <n v="40.320000000000164"/>
    <d v="2021-02-03T00:00:00"/>
    <d v="2021-02-03T00:00:00"/>
    <n v="693"/>
    <n v="7"/>
    <x v="1"/>
    <n v="0.08"/>
    <n v="319.33440000000002"/>
    <n v="7"/>
    <s v="Janeiro"/>
  </r>
  <r>
    <n v="694"/>
    <d v="2021-01-13T00:00:00"/>
    <x v="0"/>
    <n v="29"/>
    <x v="58"/>
    <x v="1"/>
    <x v="1"/>
    <n v="97"/>
    <n v="4559"/>
    <n v="7.0000000000000007E-2"/>
    <n v="4239.87"/>
    <n v="319.13000000000011"/>
    <d v="2021-02-03T00:00:00"/>
    <d v="2021-02-03T00:00:00"/>
    <n v="694"/>
    <n v="6"/>
    <x v="7"/>
    <n v="0.09"/>
    <n v="381.5883"/>
    <n v="1"/>
    <s v="Janeiro"/>
  </r>
  <r>
    <n v="695"/>
    <d v="2021-01-13T00:00:00"/>
    <x v="0"/>
    <n v="8"/>
    <x v="8"/>
    <x v="8"/>
    <x v="0"/>
    <n v="120"/>
    <n v="4440"/>
    <n v="0.06"/>
    <n v="4173.6000000000004"/>
    <n v="266.39999999999964"/>
    <d v="2021-01-15T00:00:00"/>
    <d v="2021-01-15T00:00:00"/>
    <n v="695"/>
    <n v="4"/>
    <x v="6"/>
    <n v="0.08"/>
    <n v="333.88800000000003"/>
    <n v="2"/>
    <s v="Janeiro"/>
  </r>
  <r>
    <n v="696"/>
    <d v="2021-01-13T00:00:00"/>
    <x v="0"/>
    <n v="40"/>
    <x v="15"/>
    <x v="1"/>
    <x v="19"/>
    <n v="108"/>
    <n v="3132"/>
    <n v="0"/>
    <n v="3132"/>
    <n v="0"/>
    <d v="2021-02-05T00:00:00"/>
    <d v="2021-02-05T00:00:00"/>
    <n v="696"/>
    <n v="5"/>
    <x v="6"/>
    <n v="0.06"/>
    <n v="187.92"/>
    <n v="3"/>
    <s v="Janeiro"/>
  </r>
  <r>
    <n v="697"/>
    <d v="2021-01-13T00:00:00"/>
    <x v="0"/>
    <n v="13"/>
    <x v="35"/>
    <x v="8"/>
    <x v="4"/>
    <n v="93"/>
    <n v="2232"/>
    <n v="0.11"/>
    <n v="1986.48"/>
    <n v="245.51999999999998"/>
    <d v="2021-02-03T00:00:00"/>
    <d v="2021-02-03T00:00:00"/>
    <n v="697"/>
    <n v="3"/>
    <x v="3"/>
    <n v="0.08"/>
    <n v="158.91839999999999"/>
    <n v="4"/>
    <s v="Janeiro"/>
  </r>
  <r>
    <n v="698"/>
    <d v="2021-01-14T00:00:00"/>
    <x v="0"/>
    <n v="69"/>
    <x v="28"/>
    <x v="8"/>
    <x v="12"/>
    <n v="106"/>
    <n v="1908"/>
    <n v="0.15"/>
    <n v="1621.8"/>
    <n v="286.20000000000005"/>
    <d v="2021-01-22T00:00:00"/>
    <d v="2021-01-22T00:00:00"/>
    <n v="698"/>
    <n v="1"/>
    <x v="5"/>
    <n v="7.0000000000000007E-2"/>
    <n v="113.52600000000001"/>
    <n v="5"/>
    <s v="Janeiro"/>
  </r>
  <r>
    <n v="699"/>
    <d v="2021-01-14T00:00:00"/>
    <x v="0"/>
    <n v="63"/>
    <x v="40"/>
    <x v="0"/>
    <x v="31"/>
    <n v="107"/>
    <n v="2782"/>
    <n v="0.15"/>
    <n v="2364.6999999999998"/>
    <n v="417.30000000000018"/>
    <d v="2021-02-05T00:00:00"/>
    <d v="2021-02-05T00:00:00"/>
    <n v="699"/>
    <n v="1"/>
    <x v="7"/>
    <n v="0.1"/>
    <n v="236.47"/>
    <n v="6"/>
    <s v="Janeiro"/>
  </r>
  <r>
    <n v="700"/>
    <d v="2021-01-14T00:00:00"/>
    <x v="0"/>
    <n v="6"/>
    <x v="48"/>
    <x v="3"/>
    <x v="18"/>
    <n v="103"/>
    <n v="5047"/>
    <n v="0.13"/>
    <n v="4390.8900000000003"/>
    <n v="656.10999999999967"/>
    <d v="2021-02-08T00:00:00"/>
    <d v="2021-02-08T00:00:00"/>
    <n v="700"/>
    <n v="1"/>
    <x v="9"/>
    <n v="0.1"/>
    <n v="439.08900000000006"/>
    <n v="7"/>
    <s v="Janeiro"/>
  </r>
  <r>
    <n v="701"/>
    <d v="2021-01-15T00:00:00"/>
    <x v="0"/>
    <n v="31"/>
    <x v="45"/>
    <x v="3"/>
    <x v="14"/>
    <n v="92"/>
    <n v="2300"/>
    <n v="0.01"/>
    <n v="2277"/>
    <n v="23"/>
    <d v="2021-01-28T00:00:00"/>
    <d v="2021-01-28T00:00:00"/>
    <n v="701"/>
    <n v="1"/>
    <x v="1"/>
    <n v="0.05"/>
    <n v="113.85000000000001"/>
    <n v="1"/>
    <s v="Janeiro"/>
  </r>
  <r>
    <n v="702"/>
    <d v="2021-01-18T00:00:00"/>
    <x v="0"/>
    <n v="96"/>
    <x v="11"/>
    <x v="1"/>
    <x v="26"/>
    <n v="98"/>
    <n v="1568"/>
    <n v="0.15"/>
    <n v="1332.8"/>
    <n v="235.20000000000005"/>
    <d v="2021-01-29T00:00:00"/>
    <d v="2021-01-29T00:00:00"/>
    <n v="702"/>
    <n v="5"/>
    <x v="5"/>
    <n v="7.0000000000000007E-2"/>
    <n v="93.296000000000006"/>
    <n v="2"/>
    <s v="Janeiro"/>
  </r>
  <r>
    <n v="703"/>
    <d v="2021-01-18T00:00:00"/>
    <x v="0"/>
    <n v="62"/>
    <x v="8"/>
    <x v="7"/>
    <x v="19"/>
    <n v="112"/>
    <n v="3248"/>
    <n v="0.03"/>
    <n v="3150.56"/>
    <n v="97.440000000000055"/>
    <d v="2021-02-06T00:00:00"/>
    <d v="2021-02-06T00:00:00"/>
    <n v="703"/>
    <n v="6"/>
    <x v="2"/>
    <n v="0.06"/>
    <n v="189.03359999999998"/>
    <n v="3"/>
    <s v="Janeiro"/>
  </r>
  <r>
    <n v="704"/>
    <d v="2021-01-18T00:00:00"/>
    <x v="0"/>
    <n v="85"/>
    <x v="19"/>
    <x v="9"/>
    <x v="37"/>
    <n v="97"/>
    <n v="3104"/>
    <n v="0.01"/>
    <n v="3072.96"/>
    <n v="31.039999999999964"/>
    <d v="2021-01-21T00:00:00"/>
    <d v="2021-01-21T00:00:00"/>
    <n v="704"/>
    <n v="2"/>
    <x v="0"/>
    <n v="0.1"/>
    <n v="307.29600000000005"/>
    <n v="4"/>
    <s v="Janeiro"/>
  </r>
  <r>
    <n v="705"/>
    <d v="2021-01-18T00:00:00"/>
    <x v="0"/>
    <n v="38"/>
    <x v="33"/>
    <x v="3"/>
    <x v="27"/>
    <n v="102"/>
    <n v="4692"/>
    <n v="0.08"/>
    <n v="4316.6400000000003"/>
    <n v="375.35999999999967"/>
    <d v="2021-02-13T00:00:00"/>
    <d v="2021-02-13T00:00:00"/>
    <n v="705"/>
    <n v="1"/>
    <x v="5"/>
    <n v="0.05"/>
    <n v="215.83200000000002"/>
    <n v="5"/>
    <s v="Janeiro"/>
  </r>
  <r>
    <n v="706"/>
    <d v="2021-01-19T00:00:00"/>
    <x v="0"/>
    <n v="27"/>
    <x v="61"/>
    <x v="7"/>
    <x v="10"/>
    <n v="110"/>
    <n v="1540"/>
    <n v="0.06"/>
    <n v="1447.6"/>
    <n v="92.400000000000091"/>
    <d v="2021-02-06T00:00:00"/>
    <d v="2021-02-06T00:00:00"/>
    <n v="706"/>
    <n v="1"/>
    <x v="6"/>
    <n v="0.06"/>
    <n v="86.855999999999995"/>
    <n v="6"/>
    <s v="Janeiro"/>
  </r>
  <r>
    <n v="707"/>
    <d v="2021-01-19T00:00:00"/>
    <x v="0"/>
    <n v="31"/>
    <x v="45"/>
    <x v="2"/>
    <x v="10"/>
    <n v="116"/>
    <n v="1624"/>
    <n v="0.14000000000000001"/>
    <n v="1396.6399999999999"/>
    <n v="227.36000000000013"/>
    <d v="2021-01-21T00:00:00"/>
    <d v="2021-01-21T00:00:00"/>
    <n v="707"/>
    <n v="1"/>
    <x v="0"/>
    <n v="0.08"/>
    <n v="111.73119999999999"/>
    <n v="7"/>
    <s v="Janeiro"/>
  </r>
  <r>
    <n v="708"/>
    <d v="2021-01-19T00:00:00"/>
    <x v="0"/>
    <n v="84"/>
    <x v="12"/>
    <x v="5"/>
    <x v="17"/>
    <n v="117"/>
    <n v="4563"/>
    <n v="0.12"/>
    <n v="4015.44"/>
    <n v="547.55999999999995"/>
    <d v="2021-02-06T00:00:00"/>
    <d v="2021-02-06T00:00:00"/>
    <n v="708"/>
    <n v="6"/>
    <x v="7"/>
    <n v="0.08"/>
    <n v="321.23520000000002"/>
    <n v="1"/>
    <s v="Janeiro"/>
  </r>
  <r>
    <n v="709"/>
    <d v="2021-01-19T00:00:00"/>
    <x v="0"/>
    <n v="2"/>
    <x v="6"/>
    <x v="6"/>
    <x v="34"/>
    <n v="97"/>
    <n v="1261"/>
    <n v="0"/>
    <n v="1261"/>
    <n v="0"/>
    <d v="2021-02-10T00:00:00"/>
    <d v="2021-02-10T00:00:00"/>
    <n v="709"/>
    <n v="2"/>
    <x v="7"/>
    <n v="0.06"/>
    <n v="75.66"/>
    <n v="2"/>
    <s v="Janeiro"/>
  </r>
  <r>
    <n v="710"/>
    <d v="2021-01-19T00:00:00"/>
    <x v="0"/>
    <n v="59"/>
    <x v="57"/>
    <x v="1"/>
    <x v="16"/>
    <n v="114"/>
    <n v="2394"/>
    <n v="0.12"/>
    <n v="2106.7200000000003"/>
    <n v="287.27999999999975"/>
    <d v="2021-02-18T00:00:00"/>
    <d v="2021-02-18T00:00:00"/>
    <n v="710"/>
    <n v="7"/>
    <x v="8"/>
    <n v="0.05"/>
    <n v="105.33600000000001"/>
    <n v="3"/>
    <s v="Janeiro"/>
  </r>
  <r>
    <n v="711"/>
    <d v="2021-01-21T00:00:00"/>
    <x v="0"/>
    <n v="47"/>
    <x v="10"/>
    <x v="6"/>
    <x v="37"/>
    <n v="119"/>
    <n v="3808"/>
    <n v="0"/>
    <n v="3808"/>
    <n v="0"/>
    <d v="2021-01-30T00:00:00"/>
    <d v="2021-01-30T00:00:00"/>
    <n v="711"/>
    <n v="3"/>
    <x v="0"/>
    <n v="0.1"/>
    <n v="380.8"/>
    <n v="4"/>
    <s v="Janeiro"/>
  </r>
  <r>
    <n v="712"/>
    <d v="2021-01-21T00:00:00"/>
    <x v="0"/>
    <n v="44"/>
    <x v="31"/>
    <x v="9"/>
    <x v="22"/>
    <n v="108"/>
    <n v="3024"/>
    <n v="0.14000000000000001"/>
    <n v="2600.64"/>
    <n v="423.36000000000013"/>
    <d v="2021-02-13T00:00:00"/>
    <d v="2021-02-13T00:00:00"/>
    <n v="712"/>
    <n v="7"/>
    <x v="5"/>
    <n v="0.1"/>
    <n v="260.06400000000002"/>
    <n v="5"/>
    <s v="Janeiro"/>
  </r>
  <r>
    <n v="713"/>
    <d v="2021-01-22T00:00:00"/>
    <x v="0"/>
    <n v="34"/>
    <x v="20"/>
    <x v="8"/>
    <x v="13"/>
    <n v="119"/>
    <n v="3689"/>
    <n v="0.12"/>
    <n v="3246.32"/>
    <n v="442.67999999999984"/>
    <d v="2021-02-06T00:00:00"/>
    <d v="2021-02-06T00:00:00"/>
    <n v="713"/>
    <n v="6"/>
    <x v="8"/>
    <n v="0.09"/>
    <n v="292.16879999999998"/>
    <n v="6"/>
    <s v="Janeiro"/>
  </r>
  <r>
    <n v="714"/>
    <d v="2021-01-22T00:00:00"/>
    <x v="0"/>
    <n v="51"/>
    <x v="17"/>
    <x v="5"/>
    <x v="33"/>
    <n v="116"/>
    <n v="1740"/>
    <n v="0.15"/>
    <n v="1479"/>
    <n v="261"/>
    <d v="2021-02-06T00:00:00"/>
    <d v="2021-02-06T00:00:00"/>
    <n v="714"/>
    <n v="6"/>
    <x v="4"/>
    <n v="0.06"/>
    <n v="88.74"/>
    <n v="7"/>
    <s v="Janeiro"/>
  </r>
  <r>
    <n v="715"/>
    <d v="2021-01-23T00:00:00"/>
    <x v="0"/>
    <n v="41"/>
    <x v="29"/>
    <x v="5"/>
    <x v="5"/>
    <n v="90"/>
    <n v="990"/>
    <n v="0.09"/>
    <n v="900.9"/>
    <n v="89.100000000000023"/>
    <d v="2021-02-02T00:00:00"/>
    <d v="2021-02-02T00:00:00"/>
    <n v="715"/>
    <n v="5"/>
    <x v="3"/>
    <n v="0.1"/>
    <n v="90.09"/>
    <n v="1"/>
    <s v="Janeiro"/>
  </r>
  <r>
    <n v="716"/>
    <d v="2021-01-23T00:00:00"/>
    <x v="0"/>
    <n v="89"/>
    <x v="15"/>
    <x v="9"/>
    <x v="31"/>
    <n v="116"/>
    <n v="3016"/>
    <n v="0.03"/>
    <n v="2925.52"/>
    <n v="90.480000000000018"/>
    <d v="2021-01-29T00:00:00"/>
    <d v="2021-01-29T00:00:00"/>
    <n v="716"/>
    <n v="4"/>
    <x v="3"/>
    <n v="0.1"/>
    <n v="292.55200000000002"/>
    <n v="2"/>
    <s v="Janeiro"/>
  </r>
  <r>
    <n v="717"/>
    <d v="2021-01-24T00:00:00"/>
    <x v="0"/>
    <n v="61"/>
    <x v="18"/>
    <x v="2"/>
    <x v="19"/>
    <n v="97"/>
    <n v="2813"/>
    <n v="0"/>
    <n v="2813"/>
    <n v="0"/>
    <d v="2021-02-08T00:00:00"/>
    <d v="2021-02-08T00:00:00"/>
    <n v="717"/>
    <n v="1"/>
    <x v="0"/>
    <n v="0.06"/>
    <n v="168.78"/>
    <n v="3"/>
    <s v="Janeiro"/>
  </r>
  <r>
    <n v="718"/>
    <d v="2021-01-25T00:00:00"/>
    <x v="0"/>
    <n v="83"/>
    <x v="60"/>
    <x v="0"/>
    <x v="26"/>
    <n v="92"/>
    <n v="1472"/>
    <n v="0.04"/>
    <n v="1413.12"/>
    <n v="58.880000000000109"/>
    <d v="2021-02-02T00:00:00"/>
    <d v="2021-02-02T00:00:00"/>
    <n v="718"/>
    <n v="1"/>
    <x v="5"/>
    <n v="0.08"/>
    <n v="113.0496"/>
    <n v="4"/>
    <s v="Janeiro"/>
  </r>
  <r>
    <n v="719"/>
    <d v="2021-01-26T00:00:00"/>
    <x v="0"/>
    <n v="30"/>
    <x v="56"/>
    <x v="3"/>
    <x v="20"/>
    <n v="109"/>
    <n v="2507"/>
    <n v="0.04"/>
    <n v="2406.7199999999998"/>
    <n v="100.2800000000002"/>
    <d v="2021-02-12T00:00:00"/>
    <d v="2021-02-12T00:00:00"/>
    <n v="719"/>
    <n v="4"/>
    <x v="8"/>
    <n v="0.1"/>
    <n v="240.672"/>
    <n v="5"/>
    <s v="Janeiro"/>
  </r>
  <r>
    <n v="720"/>
    <d v="2021-01-26T00:00:00"/>
    <x v="0"/>
    <n v="93"/>
    <x v="5"/>
    <x v="2"/>
    <x v="24"/>
    <n v="120"/>
    <n v="6000"/>
    <n v="0.08"/>
    <n v="5520"/>
    <n v="480"/>
    <d v="2021-02-16T00:00:00"/>
    <d v="2021-02-16T00:00:00"/>
    <n v="720"/>
    <n v="1"/>
    <x v="8"/>
    <n v="0.1"/>
    <n v="552"/>
    <n v="6"/>
    <s v="Janeiro"/>
  </r>
  <r>
    <n v="721"/>
    <d v="2021-01-27T00:00:00"/>
    <x v="0"/>
    <n v="38"/>
    <x v="33"/>
    <x v="9"/>
    <x v="0"/>
    <n v="109"/>
    <n v="4033"/>
    <n v="0.05"/>
    <n v="3831.35"/>
    <n v="201.65000000000009"/>
    <d v="2021-01-29T00:00:00"/>
    <d v="2021-01-29T00:00:00"/>
    <n v="721"/>
    <n v="5"/>
    <x v="5"/>
    <n v="0.05"/>
    <n v="191.5675"/>
    <n v="7"/>
    <s v="Janeiro"/>
  </r>
  <r>
    <n v="722"/>
    <d v="2021-01-27T00:00:00"/>
    <x v="0"/>
    <n v="95"/>
    <x v="8"/>
    <x v="0"/>
    <x v="20"/>
    <n v="108"/>
    <n v="2484"/>
    <n v="0.01"/>
    <n v="2459.16"/>
    <n v="24.840000000000146"/>
    <d v="2021-02-17T00:00:00"/>
    <d v="2021-02-17T00:00:00"/>
    <n v="722"/>
    <n v="2"/>
    <x v="4"/>
    <n v="0.05"/>
    <n v="122.958"/>
    <n v="1"/>
    <s v="Janeiro"/>
  </r>
  <r>
    <n v="723"/>
    <d v="2021-01-28T00:00:00"/>
    <x v="0"/>
    <n v="81"/>
    <x v="63"/>
    <x v="1"/>
    <x v="5"/>
    <n v="91"/>
    <n v="1001"/>
    <n v="0.04"/>
    <n v="960.96"/>
    <n v="40.039999999999964"/>
    <d v="2021-02-23T00:00:00"/>
    <d v="2021-02-23T00:00:00"/>
    <n v="723"/>
    <n v="3"/>
    <x v="8"/>
    <n v="0.08"/>
    <n v="76.876800000000003"/>
    <n v="2"/>
    <s v="Janeiro"/>
  </r>
  <r>
    <n v="724"/>
    <d v="2021-01-30T00:00:00"/>
    <x v="0"/>
    <n v="84"/>
    <x v="12"/>
    <x v="1"/>
    <x v="26"/>
    <n v="119"/>
    <n v="1904"/>
    <n v="0.08"/>
    <n v="1751.68"/>
    <n v="152.31999999999994"/>
    <d v="2021-02-26T00:00:00"/>
    <d v="2021-02-26T00:00:00"/>
    <n v="724"/>
    <n v="3"/>
    <x v="2"/>
    <n v="0.06"/>
    <n v="105.10080000000001"/>
    <n v="3"/>
    <s v="Janeiro"/>
  </r>
  <r>
    <n v="725"/>
    <d v="2021-01-30T00:00:00"/>
    <x v="0"/>
    <n v="96"/>
    <x v="11"/>
    <x v="0"/>
    <x v="34"/>
    <n v="107"/>
    <n v="1391"/>
    <n v="0.14000000000000001"/>
    <n v="1196.26"/>
    <n v="194.74"/>
    <d v="2021-02-03T00:00:00"/>
    <d v="2021-02-03T00:00:00"/>
    <n v="725"/>
    <n v="7"/>
    <x v="5"/>
    <n v="0.09"/>
    <n v="107.6634"/>
    <n v="4"/>
    <s v="Janeiro"/>
  </r>
  <r>
    <n v="726"/>
    <d v="2021-02-01T00:00:00"/>
    <x v="1"/>
    <n v="18"/>
    <x v="43"/>
    <x v="0"/>
    <x v="35"/>
    <n v="90"/>
    <n v="3870"/>
    <n v="0.06"/>
    <n v="3637.8"/>
    <n v="232.19999999999982"/>
    <d v="2021-02-26T00:00:00"/>
    <d v="2021-02-26T00:00:00"/>
    <n v="726"/>
    <n v="3"/>
    <x v="7"/>
    <n v="0.08"/>
    <n v="291.024"/>
    <n v="5"/>
    <s v="Fevereiro"/>
  </r>
  <r>
    <n v="727"/>
    <d v="2021-02-01T00:00:00"/>
    <x v="1"/>
    <n v="6"/>
    <x v="48"/>
    <x v="8"/>
    <x v="11"/>
    <n v="97"/>
    <n v="2619"/>
    <n v="0.02"/>
    <n v="2566.62"/>
    <n v="52.380000000000109"/>
    <d v="2021-03-01T00:00:00"/>
    <d v="2021-03-01T00:00:00"/>
    <n v="727"/>
    <n v="6"/>
    <x v="8"/>
    <n v="0.08"/>
    <n v="205.3296"/>
    <n v="6"/>
    <s v="Fevereiro"/>
  </r>
  <r>
    <n v="728"/>
    <d v="2021-02-01T00:00:00"/>
    <x v="1"/>
    <n v="76"/>
    <x v="64"/>
    <x v="5"/>
    <x v="2"/>
    <n v="120"/>
    <n v="4080"/>
    <n v="0.02"/>
    <n v="3998.4"/>
    <n v="81.599999999999909"/>
    <d v="2021-02-04T00:00:00"/>
    <d v="2021-02-04T00:00:00"/>
    <n v="728"/>
    <n v="7"/>
    <x v="4"/>
    <n v="0.09"/>
    <n v="359.85599999999999"/>
    <n v="7"/>
    <s v="Fevereiro"/>
  </r>
  <r>
    <n v="729"/>
    <d v="2021-02-03T00:00:00"/>
    <x v="1"/>
    <n v="32"/>
    <x v="37"/>
    <x v="2"/>
    <x v="27"/>
    <n v="93"/>
    <n v="4278"/>
    <n v="0"/>
    <n v="4278"/>
    <n v="0"/>
    <d v="2021-02-28T00:00:00"/>
    <d v="2021-02-28T00:00:00"/>
    <n v="729"/>
    <n v="6"/>
    <x v="0"/>
    <n v="0.09"/>
    <n v="385.02"/>
    <n v="1"/>
    <s v="Fevereiro"/>
  </r>
  <r>
    <n v="730"/>
    <d v="2021-02-03T00:00:00"/>
    <x v="1"/>
    <n v="5"/>
    <x v="8"/>
    <x v="5"/>
    <x v="9"/>
    <n v="91"/>
    <n v="4095"/>
    <n v="0.03"/>
    <n v="3972.15"/>
    <n v="122.84999999999991"/>
    <d v="2021-02-26T00:00:00"/>
    <d v="2021-02-26T00:00:00"/>
    <n v="730"/>
    <n v="5"/>
    <x v="9"/>
    <n v="7.0000000000000007E-2"/>
    <n v="278.05050000000006"/>
    <n v="2"/>
    <s v="Fevereiro"/>
  </r>
  <r>
    <n v="731"/>
    <d v="2021-02-05T00:00:00"/>
    <x v="1"/>
    <n v="31"/>
    <x v="45"/>
    <x v="4"/>
    <x v="24"/>
    <n v="104"/>
    <n v="5200"/>
    <n v="0.15"/>
    <n v="4420"/>
    <n v="780"/>
    <d v="2021-02-25T00:00:00"/>
    <d v="2021-02-25T00:00:00"/>
    <n v="731"/>
    <n v="7"/>
    <x v="7"/>
    <n v="0.06"/>
    <n v="265.2"/>
    <n v="3"/>
    <s v="Fevereiro"/>
  </r>
  <r>
    <n v="732"/>
    <d v="2021-02-05T00:00:00"/>
    <x v="1"/>
    <n v="72"/>
    <x v="8"/>
    <x v="0"/>
    <x v="37"/>
    <n v="99"/>
    <n v="3168"/>
    <n v="7.0000000000000007E-2"/>
    <n v="2946.24"/>
    <n v="221.76000000000022"/>
    <d v="2021-02-22T00:00:00"/>
    <d v="2021-02-22T00:00:00"/>
    <n v="732"/>
    <n v="5"/>
    <x v="1"/>
    <n v="7.0000000000000007E-2"/>
    <n v="206.23680000000002"/>
    <n v="4"/>
    <s v="Fevereiro"/>
  </r>
  <r>
    <n v="733"/>
    <d v="2021-02-05T00:00:00"/>
    <x v="1"/>
    <n v="55"/>
    <x v="12"/>
    <x v="6"/>
    <x v="23"/>
    <n v="111"/>
    <n v="2109"/>
    <n v="0.02"/>
    <n v="2066.8200000000002"/>
    <n v="42.179999999999836"/>
    <d v="2021-02-21T00:00:00"/>
    <d v="2021-02-21T00:00:00"/>
    <n v="733"/>
    <n v="4"/>
    <x v="6"/>
    <n v="0.06"/>
    <n v="124.00920000000001"/>
    <n v="5"/>
    <s v="Fevereiro"/>
  </r>
  <r>
    <n v="734"/>
    <d v="2021-02-05T00:00:00"/>
    <x v="1"/>
    <n v="7"/>
    <x v="62"/>
    <x v="6"/>
    <x v="14"/>
    <n v="107"/>
    <n v="2675"/>
    <n v="0.02"/>
    <n v="2621.5"/>
    <n v="53.5"/>
    <d v="2021-03-04T00:00:00"/>
    <d v="2021-03-04T00:00:00"/>
    <n v="734"/>
    <n v="6"/>
    <x v="7"/>
    <n v="0.06"/>
    <n v="157.29"/>
    <n v="6"/>
    <s v="Fevereiro"/>
  </r>
  <r>
    <n v="735"/>
    <d v="2021-02-06T00:00:00"/>
    <x v="1"/>
    <n v="19"/>
    <x v="8"/>
    <x v="6"/>
    <x v="6"/>
    <n v="107"/>
    <n v="2140"/>
    <n v="0.05"/>
    <n v="2033"/>
    <n v="107"/>
    <d v="2021-02-14T00:00:00"/>
    <d v="2021-02-14T00:00:00"/>
    <n v="735"/>
    <n v="2"/>
    <x v="0"/>
    <n v="0.09"/>
    <n v="182.97"/>
    <n v="7"/>
    <s v="Fevereiro"/>
  </r>
  <r>
    <n v="736"/>
    <d v="2021-02-06T00:00:00"/>
    <x v="1"/>
    <n v="7"/>
    <x v="62"/>
    <x v="3"/>
    <x v="11"/>
    <n v="112"/>
    <n v="3024"/>
    <n v="0.04"/>
    <n v="2903.04"/>
    <n v="120.96000000000004"/>
    <d v="2021-02-06T00:00:00"/>
    <d v="2021-02-06T00:00:00"/>
    <n v="736"/>
    <n v="1"/>
    <x v="8"/>
    <n v="0.09"/>
    <n v="261.27359999999999"/>
    <n v="1"/>
    <s v="Fevereiro"/>
  </r>
  <r>
    <n v="737"/>
    <d v="2021-02-06T00:00:00"/>
    <x v="1"/>
    <n v="47"/>
    <x v="10"/>
    <x v="7"/>
    <x v="22"/>
    <n v="113"/>
    <n v="3164"/>
    <n v="0.04"/>
    <n v="3037.44"/>
    <n v="126.55999999999995"/>
    <d v="2021-02-06T00:00:00"/>
    <d v="2021-02-06T00:00:00"/>
    <n v="737"/>
    <n v="6"/>
    <x v="5"/>
    <n v="0.09"/>
    <n v="273.36959999999999"/>
    <n v="2"/>
    <s v="Fevereiro"/>
  </r>
  <r>
    <n v="738"/>
    <d v="2021-02-06T00:00:00"/>
    <x v="1"/>
    <n v="48"/>
    <x v="22"/>
    <x v="7"/>
    <x v="30"/>
    <n v="110"/>
    <n v="3630"/>
    <n v="0"/>
    <n v="3630"/>
    <n v="0"/>
    <d v="2021-02-28T00:00:00"/>
    <d v="2021-02-28T00:00:00"/>
    <n v="738"/>
    <n v="4"/>
    <x v="9"/>
    <n v="7.0000000000000007E-2"/>
    <n v="254.10000000000002"/>
    <n v="3"/>
    <s v="Fevereiro"/>
  </r>
  <r>
    <n v="739"/>
    <d v="2021-02-07T00:00:00"/>
    <x v="1"/>
    <n v="37"/>
    <x v="14"/>
    <x v="3"/>
    <x v="26"/>
    <n v="92"/>
    <n v="1472"/>
    <n v="0.14000000000000001"/>
    <n v="1265.92"/>
    <n v="206.07999999999993"/>
    <d v="2021-02-08T00:00:00"/>
    <d v="2021-02-08T00:00:00"/>
    <n v="739"/>
    <n v="7"/>
    <x v="5"/>
    <n v="0.08"/>
    <n v="101.2736"/>
    <n v="4"/>
    <s v="Fevereiro"/>
  </r>
  <r>
    <n v="740"/>
    <d v="2021-02-08T00:00:00"/>
    <x v="1"/>
    <n v="65"/>
    <x v="25"/>
    <x v="6"/>
    <x v="33"/>
    <n v="99"/>
    <n v="1485"/>
    <n v="0.12"/>
    <n v="1306.8"/>
    <n v="178.20000000000005"/>
    <d v="2021-02-23T00:00:00"/>
    <d v="2021-02-23T00:00:00"/>
    <n v="740"/>
    <n v="4"/>
    <x v="4"/>
    <n v="0.06"/>
    <n v="78.408000000000001"/>
    <n v="5"/>
    <s v="Fevereiro"/>
  </r>
  <r>
    <n v="741"/>
    <d v="2021-02-09T00:00:00"/>
    <x v="1"/>
    <n v="7"/>
    <x v="62"/>
    <x v="5"/>
    <x v="3"/>
    <n v="101"/>
    <n v="4444"/>
    <n v="0.08"/>
    <n v="4088.48"/>
    <n v="355.52"/>
    <d v="2021-03-08T00:00:00"/>
    <d v="2021-03-08T00:00:00"/>
    <n v="741"/>
    <n v="1"/>
    <x v="0"/>
    <n v="0.06"/>
    <n v="245.30879999999999"/>
    <n v="6"/>
    <s v="Fevereiro"/>
  </r>
  <r>
    <n v="742"/>
    <d v="2021-02-09T00:00:00"/>
    <x v="1"/>
    <n v="28"/>
    <x v="46"/>
    <x v="2"/>
    <x v="15"/>
    <n v="119"/>
    <n v="3570"/>
    <n v="0.15"/>
    <n v="3034.5"/>
    <n v="535.5"/>
    <d v="2021-03-10T00:00:00"/>
    <d v="2021-03-10T00:00:00"/>
    <n v="742"/>
    <n v="4"/>
    <x v="2"/>
    <n v="7.0000000000000007E-2"/>
    <n v="212.41500000000002"/>
    <n v="7"/>
    <s v="Fevereiro"/>
  </r>
  <r>
    <n v="743"/>
    <d v="2021-02-10T00:00:00"/>
    <x v="1"/>
    <n v="23"/>
    <x v="65"/>
    <x v="5"/>
    <x v="23"/>
    <n v="98"/>
    <n v="1862"/>
    <n v="0"/>
    <n v="1862"/>
    <n v="0"/>
    <d v="2021-02-22T00:00:00"/>
    <d v="2021-02-22T00:00:00"/>
    <n v="743"/>
    <n v="5"/>
    <x v="5"/>
    <n v="7.0000000000000007E-2"/>
    <n v="130.34"/>
    <n v="1"/>
    <s v="Fevereiro"/>
  </r>
  <r>
    <n v="744"/>
    <d v="2021-02-12T00:00:00"/>
    <x v="1"/>
    <n v="29"/>
    <x v="58"/>
    <x v="6"/>
    <x v="18"/>
    <n v="92"/>
    <n v="4508"/>
    <n v="0.02"/>
    <n v="4417.84"/>
    <n v="90.159999999999854"/>
    <d v="2021-02-12T00:00:00"/>
    <d v="2021-02-12T00:00:00"/>
    <n v="744"/>
    <n v="5"/>
    <x v="4"/>
    <n v="0.08"/>
    <n v="353.42720000000003"/>
    <n v="2"/>
    <s v="Fevereiro"/>
  </r>
  <r>
    <n v="745"/>
    <d v="2021-02-13T00:00:00"/>
    <x v="1"/>
    <n v="42"/>
    <x v="52"/>
    <x v="1"/>
    <x v="23"/>
    <n v="92"/>
    <n v="1748"/>
    <n v="0.03"/>
    <n v="1695.56"/>
    <n v="52.440000000000055"/>
    <d v="2021-03-03T00:00:00"/>
    <d v="2021-03-03T00:00:00"/>
    <n v="745"/>
    <n v="5"/>
    <x v="0"/>
    <n v="7.0000000000000007E-2"/>
    <n v="118.68920000000001"/>
    <n v="3"/>
    <s v="Fevereiro"/>
  </r>
  <r>
    <n v="746"/>
    <d v="2021-02-14T00:00:00"/>
    <x v="1"/>
    <n v="16"/>
    <x v="3"/>
    <x v="1"/>
    <x v="19"/>
    <n v="96"/>
    <n v="2784"/>
    <n v="7.0000000000000007E-2"/>
    <n v="2589.12"/>
    <n v="194.88000000000011"/>
    <d v="2021-03-11T00:00:00"/>
    <d v="2021-03-11T00:00:00"/>
    <n v="746"/>
    <n v="5"/>
    <x v="7"/>
    <n v="0.08"/>
    <n v="207.12959999999998"/>
    <n v="4"/>
    <s v="Fevereiro"/>
  </r>
  <r>
    <n v="747"/>
    <d v="2021-02-14T00:00:00"/>
    <x v="1"/>
    <n v="74"/>
    <x v="8"/>
    <x v="8"/>
    <x v="37"/>
    <n v="103"/>
    <n v="3296"/>
    <n v="0.03"/>
    <n v="3197.12"/>
    <n v="98.880000000000109"/>
    <d v="2021-02-16T00:00:00"/>
    <d v="2021-02-16T00:00:00"/>
    <n v="747"/>
    <n v="1"/>
    <x v="3"/>
    <n v="0.08"/>
    <n v="255.7696"/>
    <n v="5"/>
    <s v="Fevereiro"/>
  </r>
  <r>
    <n v="748"/>
    <d v="2021-02-14T00:00:00"/>
    <x v="1"/>
    <n v="30"/>
    <x v="56"/>
    <x v="1"/>
    <x v="28"/>
    <n v="117"/>
    <n v="4446"/>
    <n v="0.14000000000000001"/>
    <n v="3823.56"/>
    <n v="622.44000000000005"/>
    <d v="2021-02-25T00:00:00"/>
    <d v="2021-02-25T00:00:00"/>
    <n v="748"/>
    <n v="6"/>
    <x v="1"/>
    <n v="7.0000000000000007E-2"/>
    <n v="267.64920000000001"/>
    <n v="6"/>
    <s v="Fevereiro"/>
  </r>
  <r>
    <n v="749"/>
    <d v="2021-02-15T00:00:00"/>
    <x v="1"/>
    <n v="94"/>
    <x v="15"/>
    <x v="5"/>
    <x v="12"/>
    <n v="97"/>
    <n v="1746"/>
    <n v="0.06"/>
    <n v="1641.24"/>
    <n v="104.75999999999999"/>
    <d v="2021-03-17T00:00:00"/>
    <d v="2021-03-17T00:00:00"/>
    <n v="749"/>
    <n v="7"/>
    <x v="5"/>
    <n v="0.08"/>
    <n v="131.29920000000001"/>
    <n v="7"/>
    <s v="Fevereiro"/>
  </r>
  <r>
    <n v="750"/>
    <d v="2021-02-15T00:00:00"/>
    <x v="1"/>
    <n v="62"/>
    <x v="8"/>
    <x v="9"/>
    <x v="1"/>
    <n v="90"/>
    <n v="4230"/>
    <n v="0.06"/>
    <n v="3976.2"/>
    <n v="253.80000000000018"/>
    <d v="2021-03-11T00:00:00"/>
    <d v="2021-03-11T00:00:00"/>
    <n v="750"/>
    <n v="7"/>
    <x v="9"/>
    <n v="0.05"/>
    <n v="198.81"/>
    <n v="1"/>
    <s v="Fevereiro"/>
  </r>
  <r>
    <n v="751"/>
    <d v="2021-02-16T00:00:00"/>
    <x v="1"/>
    <n v="12"/>
    <x v="13"/>
    <x v="7"/>
    <x v="18"/>
    <n v="117"/>
    <n v="5733"/>
    <n v="0.04"/>
    <n v="5503.68"/>
    <n v="229.31999999999971"/>
    <d v="2021-03-18T00:00:00"/>
    <d v="2021-03-18T00:00:00"/>
    <n v="751"/>
    <n v="1"/>
    <x v="3"/>
    <n v="0.09"/>
    <n v="495.33120000000002"/>
    <n v="2"/>
    <s v="Fevereiro"/>
  </r>
  <r>
    <n v="752"/>
    <d v="2021-02-17T00:00:00"/>
    <x v="1"/>
    <n v="54"/>
    <x v="39"/>
    <x v="7"/>
    <x v="18"/>
    <n v="115"/>
    <n v="5635"/>
    <n v="0.15"/>
    <n v="4789.75"/>
    <n v="845.25"/>
    <d v="2021-03-15T00:00:00"/>
    <d v="2021-03-15T00:00:00"/>
    <n v="752"/>
    <n v="3"/>
    <x v="5"/>
    <n v="0.08"/>
    <n v="383.18"/>
    <n v="3"/>
    <s v="Fevereiro"/>
  </r>
  <r>
    <n v="753"/>
    <d v="2021-02-18T00:00:00"/>
    <x v="1"/>
    <n v="84"/>
    <x v="12"/>
    <x v="7"/>
    <x v="5"/>
    <n v="113"/>
    <n v="1243"/>
    <n v="0.13"/>
    <n v="1081.4100000000001"/>
    <n v="161.58999999999992"/>
    <d v="2021-03-10T00:00:00"/>
    <d v="2021-03-10T00:00:00"/>
    <n v="753"/>
    <n v="1"/>
    <x v="1"/>
    <n v="7.0000000000000007E-2"/>
    <n v="75.698700000000017"/>
    <n v="4"/>
    <s v="Fevereiro"/>
  </r>
  <r>
    <n v="754"/>
    <d v="2021-02-18T00:00:00"/>
    <x v="1"/>
    <n v="79"/>
    <x v="5"/>
    <x v="3"/>
    <x v="23"/>
    <n v="115"/>
    <n v="2185"/>
    <n v="7.0000000000000007E-2"/>
    <n v="2032.05"/>
    <n v="152.95000000000005"/>
    <d v="2021-03-16T00:00:00"/>
    <d v="2021-03-16T00:00:00"/>
    <n v="754"/>
    <n v="5"/>
    <x v="5"/>
    <n v="0.05"/>
    <n v="101.60250000000001"/>
    <n v="5"/>
    <s v="Fevereiro"/>
  </r>
  <r>
    <n v="755"/>
    <d v="2021-02-19T00:00:00"/>
    <x v="1"/>
    <n v="93"/>
    <x v="5"/>
    <x v="6"/>
    <x v="3"/>
    <n v="105"/>
    <n v="4620"/>
    <n v="0.04"/>
    <n v="4435.2"/>
    <n v="184.80000000000018"/>
    <d v="2021-03-14T00:00:00"/>
    <d v="2021-03-14T00:00:00"/>
    <n v="755"/>
    <n v="4"/>
    <x v="1"/>
    <n v="7.0000000000000007E-2"/>
    <n v="310.464"/>
    <n v="6"/>
    <s v="Fevereiro"/>
  </r>
  <r>
    <n v="756"/>
    <d v="2021-02-19T00:00:00"/>
    <x v="1"/>
    <n v="83"/>
    <x v="60"/>
    <x v="5"/>
    <x v="6"/>
    <n v="90"/>
    <n v="1800"/>
    <n v="0"/>
    <n v="1800"/>
    <n v="0"/>
    <d v="2021-03-03T00:00:00"/>
    <d v="2021-03-03T00:00:00"/>
    <n v="756"/>
    <n v="6"/>
    <x v="5"/>
    <n v="0.05"/>
    <n v="90"/>
    <n v="7"/>
    <s v="Fevereiro"/>
  </r>
  <r>
    <n v="757"/>
    <d v="2021-02-19T00:00:00"/>
    <x v="1"/>
    <n v="87"/>
    <x v="10"/>
    <x v="6"/>
    <x v="17"/>
    <n v="105"/>
    <n v="4095"/>
    <n v="0.08"/>
    <n v="3767.4"/>
    <n v="327.59999999999991"/>
    <d v="2021-02-28T00:00:00"/>
    <d v="2021-02-28T00:00:00"/>
    <n v="757"/>
    <n v="7"/>
    <x v="1"/>
    <n v="0.08"/>
    <n v="301.392"/>
    <n v="1"/>
    <s v="Fevereiro"/>
  </r>
  <r>
    <n v="758"/>
    <d v="2021-02-19T00:00:00"/>
    <x v="1"/>
    <n v="34"/>
    <x v="20"/>
    <x v="1"/>
    <x v="10"/>
    <n v="106"/>
    <n v="1484"/>
    <n v="0.12"/>
    <n v="1305.92"/>
    <n v="178.07999999999993"/>
    <d v="2021-02-24T00:00:00"/>
    <d v="2021-02-24T00:00:00"/>
    <n v="758"/>
    <n v="1"/>
    <x v="1"/>
    <n v="0.1"/>
    <n v="130.59200000000001"/>
    <n v="2"/>
    <s v="Fevereiro"/>
  </r>
  <r>
    <n v="759"/>
    <d v="2021-02-20T00:00:00"/>
    <x v="1"/>
    <n v="94"/>
    <x v="15"/>
    <x v="3"/>
    <x v="40"/>
    <n v="90"/>
    <n v="1080"/>
    <n v="0.05"/>
    <n v="1026"/>
    <n v="54"/>
    <d v="2021-03-01T00:00:00"/>
    <d v="2021-03-01T00:00:00"/>
    <n v="759"/>
    <n v="7"/>
    <x v="9"/>
    <n v="0.08"/>
    <n v="82.08"/>
    <n v="3"/>
    <s v="Fevereiro"/>
  </r>
  <r>
    <n v="760"/>
    <d v="2021-02-20T00:00:00"/>
    <x v="1"/>
    <n v="84"/>
    <x v="12"/>
    <x v="1"/>
    <x v="11"/>
    <n v="100"/>
    <n v="2700"/>
    <n v="0.11"/>
    <n v="2403"/>
    <n v="297"/>
    <d v="2021-03-06T00:00:00"/>
    <d v="2021-03-06T00:00:00"/>
    <n v="760"/>
    <n v="3"/>
    <x v="6"/>
    <n v="7.0000000000000007E-2"/>
    <n v="168.21"/>
    <n v="4"/>
    <s v="Fevereiro"/>
  </r>
  <r>
    <n v="761"/>
    <d v="2021-02-21T00:00:00"/>
    <x v="1"/>
    <n v="74"/>
    <x v="8"/>
    <x v="5"/>
    <x v="11"/>
    <n v="90"/>
    <n v="2430"/>
    <n v="0.14000000000000001"/>
    <n v="2089.8000000000002"/>
    <n v="340.19999999999982"/>
    <d v="2021-02-21T00:00:00"/>
    <d v="2021-02-21T00:00:00"/>
    <n v="761"/>
    <n v="5"/>
    <x v="2"/>
    <n v="0.08"/>
    <n v="167.18400000000003"/>
    <n v="5"/>
    <s v="Fevereiro"/>
  </r>
  <r>
    <n v="762"/>
    <d v="2021-02-21T00:00:00"/>
    <x v="1"/>
    <n v="26"/>
    <x v="55"/>
    <x v="2"/>
    <x v="29"/>
    <n v="96"/>
    <n v="4608"/>
    <n v="0.13"/>
    <n v="4008.96"/>
    <n v="599.04"/>
    <d v="2021-03-23T00:00:00"/>
    <d v="2021-03-23T00:00:00"/>
    <n v="762"/>
    <n v="2"/>
    <x v="7"/>
    <n v="7.0000000000000007E-2"/>
    <n v="280.62720000000002"/>
    <n v="6"/>
    <s v="Fevereiro"/>
  </r>
  <r>
    <n v="763"/>
    <d v="2021-02-21T00:00:00"/>
    <x v="1"/>
    <n v="53"/>
    <x v="48"/>
    <x v="6"/>
    <x v="25"/>
    <n v="100"/>
    <n v="4100"/>
    <n v="0"/>
    <n v="4100"/>
    <n v="0"/>
    <d v="2021-03-16T00:00:00"/>
    <d v="2021-03-16T00:00:00"/>
    <n v="763"/>
    <n v="5"/>
    <x v="6"/>
    <n v="0.06"/>
    <n v="246"/>
    <n v="7"/>
    <s v="Fevereiro"/>
  </r>
  <r>
    <n v="764"/>
    <d v="2021-02-21T00:00:00"/>
    <x v="1"/>
    <n v="65"/>
    <x v="25"/>
    <x v="3"/>
    <x v="9"/>
    <n v="112"/>
    <n v="5040"/>
    <n v="0.05"/>
    <n v="4788"/>
    <n v="252"/>
    <d v="2021-02-22T00:00:00"/>
    <d v="2021-02-22T00:00:00"/>
    <n v="764"/>
    <n v="3"/>
    <x v="1"/>
    <n v="0.09"/>
    <n v="430.91999999999996"/>
    <n v="1"/>
    <s v="Fevereiro"/>
  </r>
  <r>
    <n v="765"/>
    <d v="2021-02-21T00:00:00"/>
    <x v="1"/>
    <n v="18"/>
    <x v="43"/>
    <x v="3"/>
    <x v="6"/>
    <n v="92"/>
    <n v="1840"/>
    <n v="0.15"/>
    <n v="1564"/>
    <n v="276"/>
    <d v="2021-03-15T00:00:00"/>
    <d v="2021-03-15T00:00:00"/>
    <n v="765"/>
    <n v="3"/>
    <x v="4"/>
    <n v="0.05"/>
    <n v="78.2"/>
    <n v="2"/>
    <s v="Fevereiro"/>
  </r>
  <r>
    <n v="766"/>
    <d v="2021-02-21T00:00:00"/>
    <x v="1"/>
    <n v="94"/>
    <x v="15"/>
    <x v="3"/>
    <x v="22"/>
    <n v="105"/>
    <n v="2940"/>
    <n v="0.02"/>
    <n v="2881.2"/>
    <n v="58.800000000000182"/>
    <d v="2021-02-23T00:00:00"/>
    <d v="2021-02-23T00:00:00"/>
    <n v="766"/>
    <n v="5"/>
    <x v="1"/>
    <n v="0.1"/>
    <n v="288.12"/>
    <n v="3"/>
    <s v="Fevereiro"/>
  </r>
  <r>
    <n v="767"/>
    <d v="2021-02-22T00:00:00"/>
    <x v="1"/>
    <n v="38"/>
    <x v="33"/>
    <x v="5"/>
    <x v="28"/>
    <n v="119"/>
    <n v="4522"/>
    <n v="0.04"/>
    <n v="4341.12"/>
    <n v="180.88000000000011"/>
    <d v="2021-03-04T00:00:00"/>
    <d v="2021-03-04T00:00:00"/>
    <n v="767"/>
    <n v="4"/>
    <x v="3"/>
    <n v="0.06"/>
    <n v="260.46719999999999"/>
    <n v="4"/>
    <s v="Fevereiro"/>
  </r>
  <r>
    <n v="768"/>
    <d v="2021-02-22T00:00:00"/>
    <x v="1"/>
    <n v="23"/>
    <x v="65"/>
    <x v="5"/>
    <x v="19"/>
    <n v="109"/>
    <n v="3161"/>
    <n v="0.09"/>
    <n v="2876.51"/>
    <n v="284.48999999999978"/>
    <d v="2021-03-23T00:00:00"/>
    <d v="2021-03-23T00:00:00"/>
    <n v="768"/>
    <n v="3"/>
    <x v="0"/>
    <n v="0.05"/>
    <n v="143.82550000000001"/>
    <n v="5"/>
    <s v="Fevereiro"/>
  </r>
  <r>
    <n v="769"/>
    <d v="2021-02-22T00:00:00"/>
    <x v="1"/>
    <n v="89"/>
    <x v="15"/>
    <x v="3"/>
    <x v="5"/>
    <n v="106"/>
    <n v="1166"/>
    <n v="0.06"/>
    <n v="1096.04"/>
    <n v="69.960000000000036"/>
    <d v="2021-03-24T00:00:00"/>
    <d v="2021-03-24T00:00:00"/>
    <n v="769"/>
    <n v="7"/>
    <x v="4"/>
    <n v="0.05"/>
    <n v="54.802"/>
    <n v="6"/>
    <s v="Fevereiro"/>
  </r>
  <r>
    <n v="770"/>
    <d v="2021-02-23T00:00:00"/>
    <x v="1"/>
    <n v="96"/>
    <x v="11"/>
    <x v="8"/>
    <x v="6"/>
    <n v="102"/>
    <n v="2040"/>
    <n v="0.08"/>
    <n v="1876.8"/>
    <n v="163.20000000000005"/>
    <d v="2021-03-12T00:00:00"/>
    <d v="2021-03-12T00:00:00"/>
    <n v="770"/>
    <n v="5"/>
    <x v="7"/>
    <n v="0.08"/>
    <n v="150.14400000000001"/>
    <n v="7"/>
    <s v="Fevereiro"/>
  </r>
  <r>
    <n v="771"/>
    <d v="2021-02-23T00:00:00"/>
    <x v="1"/>
    <n v="86"/>
    <x v="50"/>
    <x v="2"/>
    <x v="30"/>
    <n v="118"/>
    <n v="3894"/>
    <n v="0.09"/>
    <n v="3543.54"/>
    <n v="350.46000000000004"/>
    <d v="2021-03-05T00:00:00"/>
    <d v="2021-03-05T00:00:00"/>
    <n v="771"/>
    <n v="7"/>
    <x v="6"/>
    <n v="0.05"/>
    <n v="177.17700000000002"/>
    <n v="1"/>
    <s v="Fevereiro"/>
  </r>
  <r>
    <n v="772"/>
    <d v="2021-02-24T00:00:00"/>
    <x v="1"/>
    <n v="51"/>
    <x v="17"/>
    <x v="2"/>
    <x v="23"/>
    <n v="99"/>
    <n v="1881"/>
    <n v="0.06"/>
    <n v="1768.14"/>
    <n v="112.8599999999999"/>
    <d v="2021-03-20T00:00:00"/>
    <d v="2021-03-20T00:00:00"/>
    <n v="772"/>
    <n v="6"/>
    <x v="8"/>
    <n v="0.08"/>
    <n v="141.4512"/>
    <n v="2"/>
    <s v="Fevereiro"/>
  </r>
  <r>
    <n v="773"/>
    <d v="2021-02-24T00:00:00"/>
    <x v="1"/>
    <n v="33"/>
    <x v="36"/>
    <x v="6"/>
    <x v="39"/>
    <n v="98"/>
    <n v="3528"/>
    <n v="0.1"/>
    <n v="3175.2"/>
    <n v="352.80000000000018"/>
    <d v="2021-03-24T00:00:00"/>
    <d v="2021-03-24T00:00:00"/>
    <n v="773"/>
    <n v="1"/>
    <x v="8"/>
    <n v="0.09"/>
    <n v="285.76799999999997"/>
    <n v="3"/>
    <s v="Fevereiro"/>
  </r>
  <r>
    <n v="774"/>
    <d v="2021-02-25T00:00:00"/>
    <x v="1"/>
    <n v="60"/>
    <x v="42"/>
    <x v="3"/>
    <x v="22"/>
    <n v="97"/>
    <n v="2716"/>
    <n v="0.06"/>
    <n v="2553.04"/>
    <n v="162.96000000000004"/>
    <d v="2021-03-05T00:00:00"/>
    <d v="2021-03-05T00:00:00"/>
    <n v="774"/>
    <n v="1"/>
    <x v="9"/>
    <n v="0.08"/>
    <n v="204.2432"/>
    <n v="4"/>
    <s v="Fevereiro"/>
  </r>
  <r>
    <n v="775"/>
    <d v="2021-02-25T00:00:00"/>
    <x v="1"/>
    <n v="75"/>
    <x v="8"/>
    <x v="1"/>
    <x v="17"/>
    <n v="113"/>
    <n v="4407"/>
    <n v="0.1"/>
    <n v="3966.3"/>
    <n v="440.69999999999982"/>
    <d v="2021-03-27T00:00:00"/>
    <d v="2021-03-27T00:00:00"/>
    <n v="775"/>
    <n v="5"/>
    <x v="1"/>
    <n v="0.06"/>
    <n v="237.97800000000001"/>
    <n v="5"/>
    <s v="Fevereiro"/>
  </r>
  <r>
    <n v="776"/>
    <d v="2021-02-25T00:00:00"/>
    <x v="1"/>
    <n v="62"/>
    <x v="8"/>
    <x v="6"/>
    <x v="32"/>
    <n v="98"/>
    <n v="3430"/>
    <n v="0.02"/>
    <n v="3361.4"/>
    <n v="68.599999999999909"/>
    <d v="2021-03-27T00:00:00"/>
    <d v="2021-03-27T00:00:00"/>
    <n v="776"/>
    <n v="7"/>
    <x v="6"/>
    <n v="0.05"/>
    <n v="168.07000000000002"/>
    <n v="6"/>
    <s v="Fevereiro"/>
  </r>
  <r>
    <n v="777"/>
    <d v="2021-02-25T00:00:00"/>
    <x v="1"/>
    <n v="21"/>
    <x v="47"/>
    <x v="2"/>
    <x v="34"/>
    <n v="106"/>
    <n v="1378"/>
    <n v="0"/>
    <n v="1378"/>
    <n v="0"/>
    <d v="2021-02-28T00:00:00"/>
    <d v="2021-02-28T00:00:00"/>
    <n v="777"/>
    <n v="4"/>
    <x v="1"/>
    <n v="0.05"/>
    <n v="68.900000000000006"/>
    <n v="7"/>
    <s v="Fevereiro"/>
  </r>
  <r>
    <n v="778"/>
    <d v="2021-02-26T00:00:00"/>
    <x v="1"/>
    <n v="17"/>
    <x v="28"/>
    <x v="5"/>
    <x v="7"/>
    <n v="104"/>
    <n v="1040"/>
    <n v="0.12"/>
    <n v="915.2"/>
    <n v="124.79999999999995"/>
    <d v="2021-03-09T00:00:00"/>
    <d v="2021-03-09T00:00:00"/>
    <n v="778"/>
    <n v="2"/>
    <x v="7"/>
    <n v="0.09"/>
    <n v="82.367999999999995"/>
    <n v="1"/>
    <s v="Fevereiro"/>
  </r>
  <r>
    <n v="779"/>
    <d v="2021-02-26T00:00:00"/>
    <x v="1"/>
    <n v="49"/>
    <x v="8"/>
    <x v="7"/>
    <x v="0"/>
    <n v="112"/>
    <n v="4144"/>
    <n v="0.03"/>
    <n v="4019.68"/>
    <n v="124.32000000000016"/>
    <d v="2021-03-14T00:00:00"/>
    <d v="2021-03-14T00:00:00"/>
    <n v="779"/>
    <n v="4"/>
    <x v="3"/>
    <n v="0.08"/>
    <n v="321.57439999999997"/>
    <n v="2"/>
    <s v="Fevereiro"/>
  </r>
  <r>
    <n v="780"/>
    <d v="2021-02-26T00:00:00"/>
    <x v="1"/>
    <n v="24"/>
    <x v="34"/>
    <x v="7"/>
    <x v="15"/>
    <n v="110"/>
    <n v="3300"/>
    <n v="0.01"/>
    <n v="3267"/>
    <n v="33"/>
    <d v="2021-03-21T00:00:00"/>
    <d v="2021-03-21T00:00:00"/>
    <n v="780"/>
    <n v="2"/>
    <x v="0"/>
    <n v="0.08"/>
    <n v="261.36"/>
    <n v="3"/>
    <s v="Fevereiro"/>
  </r>
  <r>
    <n v="781"/>
    <d v="2021-02-27T00:00:00"/>
    <x v="1"/>
    <n v="14"/>
    <x v="3"/>
    <x v="6"/>
    <x v="9"/>
    <n v="104"/>
    <n v="4680"/>
    <n v="0.13"/>
    <n v="4071.6"/>
    <n v="608.40000000000009"/>
    <d v="2021-03-29T00:00:00"/>
    <d v="2021-03-29T00:00:00"/>
    <n v="781"/>
    <n v="3"/>
    <x v="6"/>
    <n v="0.06"/>
    <n v="244.29599999999999"/>
    <n v="4"/>
    <s v="Fevereiro"/>
  </r>
  <r>
    <n v="782"/>
    <d v="2021-02-27T00:00:00"/>
    <x v="1"/>
    <n v="21"/>
    <x v="47"/>
    <x v="2"/>
    <x v="24"/>
    <n v="114"/>
    <n v="5700"/>
    <n v="0"/>
    <n v="5700"/>
    <n v="0"/>
    <d v="2021-03-27T00:00:00"/>
    <d v="2021-03-27T00:00:00"/>
    <n v="782"/>
    <n v="3"/>
    <x v="9"/>
    <n v="0.1"/>
    <n v="570"/>
    <n v="5"/>
    <s v="Fevereiro"/>
  </r>
  <r>
    <n v="783"/>
    <d v="2021-02-28T00:00:00"/>
    <x v="1"/>
    <n v="15"/>
    <x v="37"/>
    <x v="2"/>
    <x v="33"/>
    <n v="112"/>
    <n v="1680"/>
    <n v="0.14000000000000001"/>
    <n v="1444.8"/>
    <n v="235.20000000000005"/>
    <d v="2021-03-28T00:00:00"/>
    <d v="2021-03-28T00:00:00"/>
    <n v="783"/>
    <n v="1"/>
    <x v="4"/>
    <n v="7.0000000000000007E-2"/>
    <n v="101.13600000000001"/>
    <n v="6"/>
    <s v="Fevereiro"/>
  </r>
  <r>
    <n v="784"/>
    <d v="2021-03-01T00:00:00"/>
    <x v="2"/>
    <n v="38"/>
    <x v="33"/>
    <x v="6"/>
    <x v="1"/>
    <n v="105"/>
    <n v="4935"/>
    <n v="0.15"/>
    <n v="4194.75"/>
    <n v="740.25"/>
    <d v="2021-03-21T00:00:00"/>
    <d v="2021-03-21T00:00:00"/>
    <n v="784"/>
    <n v="6"/>
    <x v="9"/>
    <n v="0.1"/>
    <n v="419.47500000000002"/>
    <n v="7"/>
    <s v="Março"/>
  </r>
  <r>
    <n v="785"/>
    <d v="2021-03-02T00:00:00"/>
    <x v="2"/>
    <n v="85"/>
    <x v="19"/>
    <x v="2"/>
    <x v="34"/>
    <n v="94"/>
    <n v="1222"/>
    <n v="0.02"/>
    <n v="1197.56"/>
    <n v="24.440000000000055"/>
    <d v="2021-03-28T00:00:00"/>
    <d v="2021-03-28T00:00:00"/>
    <n v="785"/>
    <n v="4"/>
    <x v="5"/>
    <n v="0.09"/>
    <n v="107.78039999999999"/>
    <n v="1"/>
    <s v="Março"/>
  </r>
  <r>
    <n v="786"/>
    <d v="2021-03-02T00:00:00"/>
    <x v="2"/>
    <n v="70"/>
    <x v="28"/>
    <x v="6"/>
    <x v="19"/>
    <n v="96"/>
    <n v="2784"/>
    <n v="7.0000000000000007E-2"/>
    <n v="2589.12"/>
    <n v="194.88000000000011"/>
    <d v="2021-03-11T00:00:00"/>
    <d v="2021-03-11T00:00:00"/>
    <n v="786"/>
    <n v="1"/>
    <x v="2"/>
    <n v="7.0000000000000007E-2"/>
    <n v="181.23840000000001"/>
    <n v="2"/>
    <s v="Março"/>
  </r>
  <r>
    <n v="787"/>
    <d v="2021-03-02T00:00:00"/>
    <x v="2"/>
    <n v="30"/>
    <x v="56"/>
    <x v="6"/>
    <x v="4"/>
    <n v="100"/>
    <n v="2400"/>
    <n v="0.15"/>
    <n v="2040"/>
    <n v="360"/>
    <d v="2021-03-24T00:00:00"/>
    <d v="2021-03-24T00:00:00"/>
    <n v="787"/>
    <n v="3"/>
    <x v="7"/>
    <n v="0.06"/>
    <n v="122.39999999999999"/>
    <n v="3"/>
    <s v="Março"/>
  </r>
  <r>
    <n v="788"/>
    <d v="2021-03-02T00:00:00"/>
    <x v="2"/>
    <n v="66"/>
    <x v="4"/>
    <x v="1"/>
    <x v="2"/>
    <n v="111"/>
    <n v="3774"/>
    <n v="7.0000000000000007E-2"/>
    <n v="3509.82"/>
    <n v="264.17999999999984"/>
    <d v="2021-03-24T00:00:00"/>
    <d v="2021-03-24T00:00:00"/>
    <n v="788"/>
    <n v="2"/>
    <x v="6"/>
    <n v="0.06"/>
    <n v="210.58920000000001"/>
    <n v="4"/>
    <s v="Março"/>
  </r>
  <r>
    <n v="789"/>
    <d v="2021-03-04T00:00:00"/>
    <x v="2"/>
    <n v="98"/>
    <x v="2"/>
    <x v="3"/>
    <x v="18"/>
    <n v="115"/>
    <n v="5635"/>
    <n v="0.09"/>
    <n v="5127.8500000000004"/>
    <n v="507.14999999999964"/>
    <d v="2021-04-01T00:00:00"/>
    <d v="2021-04-01T00:00:00"/>
    <n v="789"/>
    <n v="1"/>
    <x v="9"/>
    <n v="0.08"/>
    <n v="410.22800000000007"/>
    <n v="5"/>
    <s v="Março"/>
  </r>
  <r>
    <n v="790"/>
    <d v="2021-03-05T00:00:00"/>
    <x v="2"/>
    <n v="1"/>
    <x v="53"/>
    <x v="5"/>
    <x v="0"/>
    <n v="97"/>
    <n v="3589"/>
    <n v="0.03"/>
    <n v="3481.33"/>
    <n v="107.67000000000007"/>
    <d v="2021-03-27T00:00:00"/>
    <d v="2021-03-27T00:00:00"/>
    <n v="790"/>
    <n v="4"/>
    <x v="7"/>
    <n v="0.09"/>
    <n v="313.31969999999995"/>
    <n v="6"/>
    <s v="Março"/>
  </r>
  <r>
    <n v="791"/>
    <d v="2021-03-05T00:00:00"/>
    <x v="2"/>
    <n v="42"/>
    <x v="52"/>
    <x v="5"/>
    <x v="1"/>
    <n v="98"/>
    <n v="4606"/>
    <n v="0.01"/>
    <n v="4559.9399999999996"/>
    <n v="46.0600000000004"/>
    <d v="2021-03-20T00:00:00"/>
    <d v="2021-03-20T00:00:00"/>
    <n v="791"/>
    <n v="5"/>
    <x v="8"/>
    <n v="0.06"/>
    <n v="273.59639999999996"/>
    <n v="7"/>
    <s v="Março"/>
  </r>
  <r>
    <n v="792"/>
    <d v="2021-03-05T00:00:00"/>
    <x v="2"/>
    <n v="81"/>
    <x v="63"/>
    <x v="0"/>
    <x v="40"/>
    <n v="101"/>
    <n v="1212"/>
    <n v="0.01"/>
    <n v="1199.8800000000001"/>
    <n v="12.119999999999891"/>
    <d v="2021-03-28T00:00:00"/>
    <d v="2021-03-28T00:00:00"/>
    <n v="792"/>
    <n v="3"/>
    <x v="0"/>
    <n v="7.0000000000000007E-2"/>
    <n v="83.99160000000002"/>
    <n v="1"/>
    <s v="Março"/>
  </r>
  <r>
    <n v="793"/>
    <d v="2021-03-06T00:00:00"/>
    <x v="2"/>
    <n v="91"/>
    <x v="23"/>
    <x v="2"/>
    <x v="18"/>
    <n v="112"/>
    <n v="5488"/>
    <n v="0.02"/>
    <n v="5378.24"/>
    <n v="109.76000000000022"/>
    <d v="2021-03-17T00:00:00"/>
    <d v="2021-03-17T00:00:00"/>
    <n v="793"/>
    <n v="2"/>
    <x v="3"/>
    <n v="0.1"/>
    <n v="537.82399999999996"/>
    <n v="2"/>
    <s v="Março"/>
  </r>
  <r>
    <n v="794"/>
    <d v="2021-03-06T00:00:00"/>
    <x v="2"/>
    <n v="93"/>
    <x v="5"/>
    <x v="2"/>
    <x v="15"/>
    <n v="90"/>
    <n v="2700"/>
    <n v="0.02"/>
    <n v="2646"/>
    <n v="54"/>
    <d v="2021-04-03T00:00:00"/>
    <d v="2021-04-03T00:00:00"/>
    <n v="794"/>
    <n v="5"/>
    <x v="9"/>
    <n v="0.05"/>
    <n v="132.30000000000001"/>
    <n v="3"/>
    <s v="Março"/>
  </r>
  <r>
    <n v="795"/>
    <d v="2021-03-06T00:00:00"/>
    <x v="2"/>
    <n v="6"/>
    <x v="48"/>
    <x v="5"/>
    <x v="25"/>
    <n v="110"/>
    <n v="4510"/>
    <n v="0.1"/>
    <n v="4059"/>
    <n v="451"/>
    <d v="2021-03-09T00:00:00"/>
    <m/>
    <n v="795"/>
    <n v="3"/>
    <x v="5"/>
    <n v="0.06"/>
    <n v="243.54"/>
    <n v="4"/>
    <s v="Março"/>
  </r>
  <r>
    <n v="796"/>
    <d v="2021-03-06T00:00:00"/>
    <x v="2"/>
    <n v="11"/>
    <x v="21"/>
    <x v="0"/>
    <x v="20"/>
    <n v="114"/>
    <n v="2622"/>
    <n v="0.15"/>
    <n v="2228.6999999999998"/>
    <n v="393.30000000000018"/>
    <d v="2021-03-13T00:00:00"/>
    <d v="2021-03-13T00:00:00"/>
    <n v="796"/>
    <n v="6"/>
    <x v="0"/>
    <n v="7.0000000000000007E-2"/>
    <n v="156.00900000000001"/>
    <n v="5"/>
    <s v="Março"/>
  </r>
  <r>
    <n v="797"/>
    <d v="2021-03-06T00:00:00"/>
    <x v="2"/>
    <n v="15"/>
    <x v="37"/>
    <x v="1"/>
    <x v="19"/>
    <n v="107"/>
    <n v="3103"/>
    <n v="0.15"/>
    <n v="2637.55"/>
    <n v="465.44999999999982"/>
    <d v="2021-03-26T00:00:00"/>
    <d v="2021-03-26T00:00:00"/>
    <n v="797"/>
    <n v="2"/>
    <x v="2"/>
    <n v="0.06"/>
    <n v="158.25300000000001"/>
    <n v="6"/>
    <s v="Março"/>
  </r>
  <r>
    <n v="798"/>
    <d v="2021-03-07T00:00:00"/>
    <x v="2"/>
    <n v="89"/>
    <x v="15"/>
    <x v="9"/>
    <x v="17"/>
    <n v="109"/>
    <n v="4251"/>
    <n v="0"/>
    <n v="4251"/>
    <n v="0"/>
    <d v="2021-03-12T00:00:00"/>
    <d v="2021-03-12T00:00:00"/>
    <n v="798"/>
    <n v="5"/>
    <x v="9"/>
    <n v="0.08"/>
    <n v="340.08"/>
    <n v="7"/>
    <s v="Março"/>
  </r>
  <r>
    <n v="799"/>
    <d v="2021-03-07T00:00:00"/>
    <x v="2"/>
    <n v="15"/>
    <x v="37"/>
    <x v="6"/>
    <x v="11"/>
    <n v="109"/>
    <n v="2943"/>
    <n v="0.05"/>
    <n v="2795.85"/>
    <n v="147.15000000000009"/>
    <d v="2021-03-22T00:00:00"/>
    <d v="2021-03-22T00:00:00"/>
    <n v="799"/>
    <n v="5"/>
    <x v="8"/>
    <n v="7.0000000000000007E-2"/>
    <n v="195.70950000000002"/>
    <n v="1"/>
    <s v="Março"/>
  </r>
  <r>
    <n v="800"/>
    <d v="2021-03-07T00:00:00"/>
    <x v="2"/>
    <n v="61"/>
    <x v="18"/>
    <x v="0"/>
    <x v="14"/>
    <n v="119"/>
    <n v="2975"/>
    <n v="0.05"/>
    <n v="2826.25"/>
    <n v="148.75"/>
    <d v="2021-03-14T00:00:00"/>
    <d v="2021-03-14T00:00:00"/>
    <n v="800"/>
    <n v="4"/>
    <x v="5"/>
    <n v="0.09"/>
    <n v="254.36249999999998"/>
    <n v="2"/>
    <s v="Março"/>
  </r>
  <r>
    <n v="801"/>
    <d v="2021-03-07T00:00:00"/>
    <x v="2"/>
    <n v="3"/>
    <x v="51"/>
    <x v="8"/>
    <x v="23"/>
    <n v="98"/>
    <n v="1862"/>
    <n v="0.02"/>
    <n v="1824.76"/>
    <n v="37.240000000000009"/>
    <d v="2021-04-03T00:00:00"/>
    <d v="2021-04-03T00:00:00"/>
    <n v="801"/>
    <n v="5"/>
    <x v="1"/>
    <n v="7.0000000000000007E-2"/>
    <n v="127.73320000000001"/>
    <n v="3"/>
    <s v="Março"/>
  </r>
  <r>
    <n v="802"/>
    <d v="2021-03-07T00:00:00"/>
    <x v="2"/>
    <n v="22"/>
    <x v="16"/>
    <x v="1"/>
    <x v="7"/>
    <n v="97"/>
    <n v="970"/>
    <n v="0.01"/>
    <n v="960.3"/>
    <n v="9.7000000000000455"/>
    <d v="2021-03-12T00:00:00"/>
    <d v="2021-03-12T00:00:00"/>
    <n v="802"/>
    <n v="7"/>
    <x v="5"/>
    <n v="0.1"/>
    <n v="96.03"/>
    <n v="4"/>
    <s v="Março"/>
  </r>
  <r>
    <n v="803"/>
    <d v="2021-03-09T00:00:00"/>
    <x v="2"/>
    <n v="87"/>
    <x v="10"/>
    <x v="5"/>
    <x v="14"/>
    <n v="119"/>
    <n v="2975"/>
    <n v="0.01"/>
    <n v="2945.25"/>
    <n v="29.75"/>
    <d v="2021-04-01T00:00:00"/>
    <d v="2021-04-01T00:00:00"/>
    <n v="803"/>
    <n v="3"/>
    <x v="2"/>
    <n v="0.05"/>
    <n v="147.26250000000002"/>
    <n v="5"/>
    <s v="Março"/>
  </r>
  <r>
    <n v="804"/>
    <d v="2021-03-09T00:00:00"/>
    <x v="2"/>
    <n v="26"/>
    <x v="55"/>
    <x v="5"/>
    <x v="9"/>
    <n v="116"/>
    <n v="5220"/>
    <n v="0.15"/>
    <n v="4437"/>
    <n v="783"/>
    <d v="2021-03-18T00:00:00"/>
    <d v="2021-03-18T00:00:00"/>
    <n v="804"/>
    <n v="1"/>
    <x v="3"/>
    <n v="0.06"/>
    <n v="266.21999999999997"/>
    <n v="6"/>
    <s v="Março"/>
  </r>
  <r>
    <n v="805"/>
    <d v="2021-03-09T00:00:00"/>
    <x v="2"/>
    <n v="3"/>
    <x v="51"/>
    <x v="0"/>
    <x v="17"/>
    <n v="115"/>
    <n v="4485"/>
    <n v="0.14000000000000001"/>
    <n v="3857.1"/>
    <n v="627.90000000000009"/>
    <d v="2021-03-18T00:00:00"/>
    <d v="2021-03-18T00:00:00"/>
    <n v="805"/>
    <n v="6"/>
    <x v="2"/>
    <n v="0.06"/>
    <n v="231.42599999999999"/>
    <n v="7"/>
    <s v="Março"/>
  </r>
  <r>
    <n v="806"/>
    <d v="2021-03-10T00:00:00"/>
    <x v="2"/>
    <n v="68"/>
    <x v="15"/>
    <x v="9"/>
    <x v="29"/>
    <n v="112"/>
    <n v="5376"/>
    <n v="0.09"/>
    <n v="4892.16"/>
    <n v="483.84000000000015"/>
    <d v="2021-03-25T00:00:00"/>
    <d v="2021-03-25T00:00:00"/>
    <n v="806"/>
    <n v="1"/>
    <x v="5"/>
    <n v="7.0000000000000007E-2"/>
    <n v="342.45120000000003"/>
    <n v="1"/>
    <s v="Março"/>
  </r>
  <r>
    <n v="807"/>
    <d v="2021-03-10T00:00:00"/>
    <x v="2"/>
    <n v="46"/>
    <x v="54"/>
    <x v="1"/>
    <x v="28"/>
    <n v="102"/>
    <n v="3876"/>
    <n v="0.08"/>
    <n v="3565.92"/>
    <n v="310.07999999999993"/>
    <d v="2021-03-14T00:00:00"/>
    <d v="2021-03-14T00:00:00"/>
    <n v="807"/>
    <n v="7"/>
    <x v="8"/>
    <n v="0.09"/>
    <n v="320.93279999999999"/>
    <n v="2"/>
    <s v="Março"/>
  </r>
  <r>
    <n v="808"/>
    <d v="2021-03-10T00:00:00"/>
    <x v="2"/>
    <n v="37"/>
    <x v="14"/>
    <x v="3"/>
    <x v="10"/>
    <n v="113"/>
    <n v="1582"/>
    <n v="0.01"/>
    <n v="1566.18"/>
    <n v="15.819999999999936"/>
    <d v="2021-04-05T00:00:00"/>
    <m/>
    <n v="808"/>
    <n v="3"/>
    <x v="6"/>
    <n v="0.05"/>
    <n v="78.309000000000012"/>
    <n v="3"/>
    <s v="Março"/>
  </r>
  <r>
    <n v="809"/>
    <d v="2021-03-10T00:00:00"/>
    <x v="2"/>
    <n v="11"/>
    <x v="21"/>
    <x v="1"/>
    <x v="11"/>
    <n v="104"/>
    <n v="2808"/>
    <n v="0.02"/>
    <n v="2751.84"/>
    <n v="56.159999999999854"/>
    <d v="2021-03-21T00:00:00"/>
    <d v="2021-03-21T00:00:00"/>
    <n v="809"/>
    <n v="3"/>
    <x v="1"/>
    <n v="0.08"/>
    <n v="220.14720000000003"/>
    <n v="4"/>
    <s v="Março"/>
  </r>
  <r>
    <n v="810"/>
    <d v="2021-03-11T00:00:00"/>
    <x v="2"/>
    <n v="100"/>
    <x v="8"/>
    <x v="7"/>
    <x v="29"/>
    <n v="96"/>
    <n v="4608"/>
    <n v="0.06"/>
    <n v="4331.5200000000004"/>
    <n v="276.47999999999956"/>
    <d v="2021-03-27T00:00:00"/>
    <d v="2021-03-27T00:00:00"/>
    <n v="810"/>
    <n v="5"/>
    <x v="8"/>
    <n v="0.05"/>
    <n v="216.57600000000002"/>
    <n v="5"/>
    <s v="Março"/>
  </r>
  <r>
    <n v="811"/>
    <d v="2021-03-12T00:00:00"/>
    <x v="2"/>
    <n v="75"/>
    <x v="8"/>
    <x v="9"/>
    <x v="8"/>
    <n v="101"/>
    <n v="2222"/>
    <n v="0.02"/>
    <n v="2177.56"/>
    <n v="44.440000000000055"/>
    <d v="2021-04-03T00:00:00"/>
    <d v="2021-04-03T00:00:00"/>
    <n v="811"/>
    <n v="7"/>
    <x v="6"/>
    <n v="0.1"/>
    <n v="217.756"/>
    <n v="6"/>
    <s v="Março"/>
  </r>
  <r>
    <n v="812"/>
    <d v="2021-03-12T00:00:00"/>
    <x v="2"/>
    <n v="35"/>
    <x v="8"/>
    <x v="8"/>
    <x v="15"/>
    <n v="118"/>
    <n v="3540"/>
    <n v="0.01"/>
    <n v="3504.6"/>
    <n v="35.400000000000091"/>
    <d v="2021-03-16T00:00:00"/>
    <d v="2021-03-16T00:00:00"/>
    <n v="812"/>
    <n v="1"/>
    <x v="1"/>
    <n v="0.06"/>
    <n v="210.27599999999998"/>
    <n v="7"/>
    <s v="Março"/>
  </r>
  <r>
    <n v="813"/>
    <d v="2021-03-13T00:00:00"/>
    <x v="2"/>
    <n v="26"/>
    <x v="55"/>
    <x v="3"/>
    <x v="21"/>
    <n v="111"/>
    <n v="1887"/>
    <n v="0"/>
    <n v="1887"/>
    <n v="0"/>
    <d v="2021-03-18T00:00:00"/>
    <d v="2021-03-18T00:00:00"/>
    <n v="813"/>
    <n v="5"/>
    <x v="8"/>
    <n v="0.05"/>
    <n v="94.350000000000009"/>
    <n v="1"/>
    <s v="Março"/>
  </r>
  <r>
    <n v="814"/>
    <d v="2021-03-13T00:00:00"/>
    <x v="2"/>
    <n v="49"/>
    <x v="8"/>
    <x v="2"/>
    <x v="10"/>
    <n v="113"/>
    <n v="1582"/>
    <n v="0.11"/>
    <n v="1407.98"/>
    <n v="174.01999999999998"/>
    <d v="2021-03-13T00:00:00"/>
    <d v="2021-03-13T00:00:00"/>
    <n v="814"/>
    <n v="3"/>
    <x v="2"/>
    <n v="7.0000000000000007E-2"/>
    <n v="98.558600000000013"/>
    <n v="2"/>
    <s v="Março"/>
  </r>
  <r>
    <n v="815"/>
    <d v="2021-03-14T00:00:00"/>
    <x v="2"/>
    <n v="14"/>
    <x v="3"/>
    <x v="5"/>
    <x v="33"/>
    <n v="118"/>
    <n v="1770"/>
    <n v="0.14000000000000001"/>
    <n v="1522.2"/>
    <n v="247.79999999999995"/>
    <d v="2021-03-24T00:00:00"/>
    <d v="2021-03-24T00:00:00"/>
    <n v="815"/>
    <n v="3"/>
    <x v="3"/>
    <n v="0.09"/>
    <n v="136.99799999999999"/>
    <n v="3"/>
    <s v="Março"/>
  </r>
  <r>
    <n v="816"/>
    <d v="2021-03-15T00:00:00"/>
    <x v="2"/>
    <n v="69"/>
    <x v="28"/>
    <x v="1"/>
    <x v="7"/>
    <n v="100"/>
    <n v="1000"/>
    <n v="0.08"/>
    <n v="920"/>
    <n v="80"/>
    <d v="2021-04-11T00:00:00"/>
    <d v="2021-04-11T00:00:00"/>
    <n v="816"/>
    <n v="2"/>
    <x v="8"/>
    <n v="0.08"/>
    <n v="73.600000000000009"/>
    <n v="4"/>
    <s v="Março"/>
  </r>
  <r>
    <n v="817"/>
    <d v="2021-03-16T00:00:00"/>
    <x v="2"/>
    <n v="66"/>
    <x v="4"/>
    <x v="3"/>
    <x v="29"/>
    <n v="102"/>
    <n v="4896"/>
    <n v="0.05"/>
    <n v="4651.2"/>
    <n v="244.80000000000018"/>
    <d v="2021-04-05T00:00:00"/>
    <d v="2021-04-05T00:00:00"/>
    <n v="817"/>
    <n v="1"/>
    <x v="6"/>
    <n v="0.08"/>
    <n v="372.096"/>
    <n v="5"/>
    <s v="Março"/>
  </r>
  <r>
    <n v="818"/>
    <d v="2021-03-16T00:00:00"/>
    <x v="2"/>
    <n v="21"/>
    <x v="47"/>
    <x v="6"/>
    <x v="5"/>
    <n v="92"/>
    <n v="1012"/>
    <n v="0.14000000000000001"/>
    <n v="870.31999999999994"/>
    <n v="141.68000000000006"/>
    <d v="2021-04-02T00:00:00"/>
    <d v="2021-04-02T00:00:00"/>
    <n v="818"/>
    <n v="5"/>
    <x v="4"/>
    <n v="7.0000000000000007E-2"/>
    <n v="60.922400000000003"/>
    <n v="6"/>
    <s v="Março"/>
  </r>
  <r>
    <n v="819"/>
    <d v="2021-03-16T00:00:00"/>
    <x v="2"/>
    <n v="50"/>
    <x v="41"/>
    <x v="3"/>
    <x v="20"/>
    <n v="119"/>
    <n v="2737"/>
    <n v="0.02"/>
    <n v="2682.26"/>
    <n v="54.739999999999782"/>
    <d v="2021-03-29T00:00:00"/>
    <d v="2021-03-29T00:00:00"/>
    <n v="819"/>
    <n v="4"/>
    <x v="5"/>
    <n v="0.08"/>
    <n v="214.58080000000001"/>
    <n v="7"/>
    <s v="Março"/>
  </r>
  <r>
    <n v="820"/>
    <d v="2021-03-17T00:00:00"/>
    <x v="2"/>
    <n v="87"/>
    <x v="10"/>
    <x v="6"/>
    <x v="10"/>
    <n v="117"/>
    <n v="1638"/>
    <n v="0.09"/>
    <n v="1490.58"/>
    <n v="147.42000000000007"/>
    <d v="2021-04-04T00:00:00"/>
    <d v="2021-04-04T00:00:00"/>
    <n v="820"/>
    <n v="3"/>
    <x v="8"/>
    <n v="0.06"/>
    <n v="89.434799999999996"/>
    <n v="1"/>
    <s v="Março"/>
  </r>
  <r>
    <n v="821"/>
    <d v="2021-03-18T00:00:00"/>
    <x v="2"/>
    <n v="19"/>
    <x v="8"/>
    <x v="1"/>
    <x v="9"/>
    <n v="96"/>
    <n v="4320"/>
    <n v="0.1"/>
    <n v="3888"/>
    <n v="432"/>
    <d v="2021-04-04T00:00:00"/>
    <d v="2021-04-04T00:00:00"/>
    <n v="821"/>
    <n v="2"/>
    <x v="5"/>
    <n v="0.08"/>
    <n v="311.04000000000002"/>
    <n v="2"/>
    <s v="Março"/>
  </r>
  <r>
    <n v="822"/>
    <d v="2021-03-18T00:00:00"/>
    <x v="2"/>
    <n v="61"/>
    <x v="18"/>
    <x v="1"/>
    <x v="15"/>
    <n v="112"/>
    <n v="3360"/>
    <n v="0.09"/>
    <n v="3057.6"/>
    <n v="302.40000000000009"/>
    <d v="2021-04-14T00:00:00"/>
    <d v="2021-04-14T00:00:00"/>
    <n v="822"/>
    <n v="6"/>
    <x v="1"/>
    <n v="0.09"/>
    <n v="275.18399999999997"/>
    <n v="3"/>
    <s v="Março"/>
  </r>
  <r>
    <n v="823"/>
    <d v="2021-03-18T00:00:00"/>
    <x v="2"/>
    <n v="73"/>
    <x v="8"/>
    <x v="5"/>
    <x v="2"/>
    <n v="92"/>
    <n v="3128"/>
    <n v="0.14000000000000001"/>
    <n v="2690.08"/>
    <n v="437.92000000000007"/>
    <d v="2021-03-22T00:00:00"/>
    <d v="2021-03-22T00:00:00"/>
    <n v="823"/>
    <n v="4"/>
    <x v="6"/>
    <n v="0.05"/>
    <n v="134.50399999999999"/>
    <n v="4"/>
    <s v="Março"/>
  </r>
  <r>
    <n v="824"/>
    <d v="2021-03-18T00:00:00"/>
    <x v="2"/>
    <n v="37"/>
    <x v="14"/>
    <x v="3"/>
    <x v="40"/>
    <n v="118"/>
    <n v="1416"/>
    <n v="0.06"/>
    <n v="1331.04"/>
    <n v="84.960000000000036"/>
    <d v="2021-03-28T00:00:00"/>
    <d v="2021-03-28T00:00:00"/>
    <n v="824"/>
    <n v="3"/>
    <x v="4"/>
    <n v="0.05"/>
    <n v="66.552000000000007"/>
    <n v="5"/>
    <s v="Março"/>
  </r>
  <r>
    <n v="825"/>
    <d v="2021-03-19T00:00:00"/>
    <x v="2"/>
    <n v="86"/>
    <x v="50"/>
    <x v="5"/>
    <x v="38"/>
    <n v="90"/>
    <n v="3600"/>
    <n v="0.13"/>
    <n v="3132"/>
    <n v="468"/>
    <d v="2021-03-27T00:00:00"/>
    <d v="2021-03-27T00:00:00"/>
    <n v="825"/>
    <n v="4"/>
    <x v="0"/>
    <n v="0.09"/>
    <n v="281.88"/>
    <n v="6"/>
    <s v="Março"/>
  </r>
  <r>
    <n v="826"/>
    <d v="2021-03-20T00:00:00"/>
    <x v="2"/>
    <n v="6"/>
    <x v="48"/>
    <x v="6"/>
    <x v="2"/>
    <n v="117"/>
    <n v="3978"/>
    <n v="0.01"/>
    <n v="3938.22"/>
    <n v="39.7800000000002"/>
    <d v="2021-03-22T00:00:00"/>
    <d v="2021-03-22T00:00:00"/>
    <n v="826"/>
    <n v="6"/>
    <x v="3"/>
    <n v="7.0000000000000007E-2"/>
    <n v="275.67540000000002"/>
    <n v="7"/>
    <s v="Março"/>
  </r>
  <r>
    <n v="827"/>
    <d v="2021-03-23T00:00:00"/>
    <x v="2"/>
    <n v="63"/>
    <x v="40"/>
    <x v="5"/>
    <x v="29"/>
    <n v="108"/>
    <n v="5184"/>
    <n v="0.04"/>
    <n v="4976.6400000000003"/>
    <n v="207.35999999999967"/>
    <d v="2021-04-20T00:00:00"/>
    <d v="2021-04-20T00:00:00"/>
    <n v="827"/>
    <n v="5"/>
    <x v="2"/>
    <n v="0.09"/>
    <n v="447.89760000000001"/>
    <n v="1"/>
    <s v="Março"/>
  </r>
  <r>
    <n v="828"/>
    <d v="2021-03-24T00:00:00"/>
    <x v="2"/>
    <n v="37"/>
    <x v="14"/>
    <x v="3"/>
    <x v="1"/>
    <n v="108"/>
    <n v="5076"/>
    <n v="0"/>
    <n v="5076"/>
    <n v="0"/>
    <d v="2021-04-09T00:00:00"/>
    <d v="2021-04-09T00:00:00"/>
    <n v="828"/>
    <n v="5"/>
    <x v="4"/>
    <n v="7.0000000000000007E-2"/>
    <n v="355.32000000000005"/>
    <n v="2"/>
    <s v="Março"/>
  </r>
  <r>
    <n v="829"/>
    <d v="2021-03-24T00:00:00"/>
    <x v="2"/>
    <n v="10"/>
    <x v="49"/>
    <x v="1"/>
    <x v="6"/>
    <n v="117"/>
    <n v="2340"/>
    <n v="0.08"/>
    <n v="2152.8000000000002"/>
    <n v="187.19999999999982"/>
    <d v="2021-04-08T00:00:00"/>
    <d v="2021-04-08T00:00:00"/>
    <n v="829"/>
    <n v="3"/>
    <x v="2"/>
    <n v="0.1"/>
    <n v="215.28000000000003"/>
    <n v="3"/>
    <s v="Março"/>
  </r>
  <r>
    <n v="830"/>
    <d v="2021-03-24T00:00:00"/>
    <x v="2"/>
    <n v="85"/>
    <x v="19"/>
    <x v="9"/>
    <x v="24"/>
    <n v="107"/>
    <n v="5350"/>
    <n v="0.15"/>
    <n v="4547.5"/>
    <n v="802.5"/>
    <d v="2021-04-05T00:00:00"/>
    <d v="2021-04-05T00:00:00"/>
    <n v="830"/>
    <n v="6"/>
    <x v="3"/>
    <n v="0.05"/>
    <n v="227.375"/>
    <n v="4"/>
    <s v="Março"/>
  </r>
  <r>
    <n v="831"/>
    <d v="2021-03-26T00:00:00"/>
    <x v="2"/>
    <n v="39"/>
    <x v="8"/>
    <x v="2"/>
    <x v="11"/>
    <n v="116"/>
    <n v="3132"/>
    <n v="0.09"/>
    <n v="2850.12"/>
    <n v="281.88000000000011"/>
    <d v="2021-04-09T00:00:00"/>
    <d v="2021-04-09T00:00:00"/>
    <n v="831"/>
    <n v="2"/>
    <x v="5"/>
    <n v="0.1"/>
    <n v="285.012"/>
    <n v="5"/>
    <s v="Março"/>
  </r>
  <r>
    <n v="832"/>
    <d v="2021-03-26T00:00:00"/>
    <x v="2"/>
    <n v="46"/>
    <x v="54"/>
    <x v="5"/>
    <x v="24"/>
    <n v="93"/>
    <n v="4650"/>
    <n v="0.13"/>
    <n v="4045.5"/>
    <n v="604.5"/>
    <d v="2021-04-13T00:00:00"/>
    <d v="2021-04-13T00:00:00"/>
    <n v="832"/>
    <n v="1"/>
    <x v="8"/>
    <n v="0.1"/>
    <n v="404.55"/>
    <n v="6"/>
    <s v="Março"/>
  </r>
  <r>
    <n v="833"/>
    <d v="2021-03-26T00:00:00"/>
    <x v="2"/>
    <n v="72"/>
    <x v="8"/>
    <x v="6"/>
    <x v="16"/>
    <n v="115"/>
    <n v="2415"/>
    <n v="0.12"/>
    <n v="2125.1999999999998"/>
    <n v="289.80000000000018"/>
    <d v="2021-03-27T00:00:00"/>
    <d v="2021-03-27T00:00:00"/>
    <n v="833"/>
    <n v="7"/>
    <x v="9"/>
    <n v="0.09"/>
    <n v="191.26799999999997"/>
    <n v="7"/>
    <s v="Março"/>
  </r>
  <r>
    <n v="834"/>
    <d v="2021-03-26T00:00:00"/>
    <x v="2"/>
    <n v="29"/>
    <x v="58"/>
    <x v="9"/>
    <x v="40"/>
    <n v="97"/>
    <n v="1164"/>
    <n v="0.03"/>
    <n v="1129.08"/>
    <n v="34.920000000000073"/>
    <d v="2021-04-06T00:00:00"/>
    <d v="2021-04-06T00:00:00"/>
    <n v="834"/>
    <n v="5"/>
    <x v="4"/>
    <n v="0.05"/>
    <n v="56.454000000000001"/>
    <n v="1"/>
    <s v="Março"/>
  </r>
  <r>
    <n v="835"/>
    <d v="2021-03-27T00:00:00"/>
    <x v="2"/>
    <n v="66"/>
    <x v="4"/>
    <x v="1"/>
    <x v="20"/>
    <n v="99"/>
    <n v="2277"/>
    <n v="0.02"/>
    <n v="2231.46"/>
    <n v="45.539999999999964"/>
    <d v="2021-04-02T00:00:00"/>
    <d v="2021-04-02T00:00:00"/>
    <n v="835"/>
    <n v="1"/>
    <x v="9"/>
    <n v="7.0000000000000007E-2"/>
    <n v="156.2022"/>
    <n v="2"/>
    <s v="Março"/>
  </r>
  <r>
    <n v="836"/>
    <d v="2021-03-27T00:00:00"/>
    <x v="2"/>
    <n v="70"/>
    <x v="28"/>
    <x v="3"/>
    <x v="9"/>
    <n v="98"/>
    <n v="4410"/>
    <n v="0.14000000000000001"/>
    <n v="3792.6"/>
    <n v="617.40000000000009"/>
    <d v="2021-04-21T00:00:00"/>
    <d v="2021-04-21T00:00:00"/>
    <n v="836"/>
    <n v="7"/>
    <x v="5"/>
    <n v="0.09"/>
    <n v="341.334"/>
    <n v="3"/>
    <s v="Março"/>
  </r>
  <r>
    <n v="837"/>
    <d v="2021-03-27T00:00:00"/>
    <x v="2"/>
    <n v="75"/>
    <x v="8"/>
    <x v="5"/>
    <x v="31"/>
    <n v="94"/>
    <n v="2444"/>
    <n v="0.09"/>
    <n v="2224.04"/>
    <n v="219.96000000000004"/>
    <d v="2021-04-01T00:00:00"/>
    <d v="2021-04-01T00:00:00"/>
    <n v="837"/>
    <n v="3"/>
    <x v="4"/>
    <n v="0.09"/>
    <n v="200.1636"/>
    <n v="4"/>
    <s v="Março"/>
  </r>
  <r>
    <n v="838"/>
    <d v="2021-03-27T00:00:00"/>
    <x v="2"/>
    <n v="17"/>
    <x v="28"/>
    <x v="0"/>
    <x v="20"/>
    <n v="115"/>
    <n v="2645"/>
    <n v="7.0000000000000007E-2"/>
    <n v="2459.85"/>
    <n v="185.15000000000009"/>
    <d v="2021-03-29T00:00:00"/>
    <d v="2021-03-29T00:00:00"/>
    <n v="838"/>
    <n v="3"/>
    <x v="7"/>
    <n v="0.06"/>
    <n v="147.59099999999998"/>
    <n v="5"/>
    <s v="Março"/>
  </r>
  <r>
    <n v="839"/>
    <d v="2021-03-28T00:00:00"/>
    <x v="2"/>
    <n v="68"/>
    <x v="15"/>
    <x v="7"/>
    <x v="8"/>
    <n v="116"/>
    <n v="2552"/>
    <n v="0.09"/>
    <n v="2322.3200000000002"/>
    <n v="229.67999999999984"/>
    <d v="2021-04-26T00:00:00"/>
    <d v="2021-04-26T00:00:00"/>
    <n v="839"/>
    <n v="5"/>
    <x v="2"/>
    <n v="0.06"/>
    <n v="139.33920000000001"/>
    <n v="6"/>
    <s v="Março"/>
  </r>
  <r>
    <n v="840"/>
    <d v="2021-03-28T00:00:00"/>
    <x v="2"/>
    <n v="50"/>
    <x v="41"/>
    <x v="6"/>
    <x v="0"/>
    <n v="91"/>
    <n v="3367"/>
    <n v="0.02"/>
    <n v="3299.66"/>
    <n v="67.340000000000146"/>
    <d v="2021-03-29T00:00:00"/>
    <d v="2021-03-29T00:00:00"/>
    <n v="840"/>
    <n v="7"/>
    <x v="2"/>
    <n v="7.0000000000000007E-2"/>
    <n v="230.97620000000001"/>
    <n v="7"/>
    <s v="Março"/>
  </r>
  <r>
    <n v="841"/>
    <d v="2021-03-28T00:00:00"/>
    <x v="2"/>
    <n v="23"/>
    <x v="65"/>
    <x v="8"/>
    <x v="1"/>
    <n v="99"/>
    <n v="4653"/>
    <n v="0.03"/>
    <n v="4513.41"/>
    <n v="139.59000000000015"/>
    <d v="2021-04-21T00:00:00"/>
    <d v="2021-04-21T00:00:00"/>
    <n v="841"/>
    <n v="3"/>
    <x v="2"/>
    <n v="0.09"/>
    <n v="406.20689999999996"/>
    <n v="1"/>
    <s v="Março"/>
  </r>
  <r>
    <n v="842"/>
    <d v="2021-03-29T00:00:00"/>
    <x v="2"/>
    <n v="85"/>
    <x v="19"/>
    <x v="1"/>
    <x v="6"/>
    <n v="93"/>
    <n v="1860"/>
    <n v="0.1"/>
    <n v="1674"/>
    <n v="186"/>
    <d v="2021-04-02T00:00:00"/>
    <d v="2021-04-02T00:00:00"/>
    <n v="842"/>
    <n v="2"/>
    <x v="1"/>
    <n v="0.06"/>
    <n v="100.44"/>
    <n v="2"/>
    <s v="Março"/>
  </r>
  <r>
    <n v="843"/>
    <d v="2021-03-29T00:00:00"/>
    <x v="2"/>
    <n v="1"/>
    <x v="53"/>
    <x v="7"/>
    <x v="34"/>
    <n v="92"/>
    <n v="1196"/>
    <n v="7.0000000000000007E-2"/>
    <n v="1112.28"/>
    <n v="83.720000000000027"/>
    <d v="2021-04-25T00:00:00"/>
    <d v="2021-04-25T00:00:00"/>
    <n v="843"/>
    <n v="4"/>
    <x v="6"/>
    <n v="0.05"/>
    <n v="55.614000000000004"/>
    <n v="3"/>
    <s v="Março"/>
  </r>
  <r>
    <n v="844"/>
    <d v="2021-03-29T00:00:00"/>
    <x v="2"/>
    <n v="68"/>
    <x v="15"/>
    <x v="7"/>
    <x v="27"/>
    <n v="104"/>
    <n v="4784"/>
    <n v="0.08"/>
    <n v="4401.28"/>
    <n v="382.72000000000025"/>
    <d v="2021-04-28T00:00:00"/>
    <d v="2021-04-28T00:00:00"/>
    <n v="844"/>
    <n v="1"/>
    <x v="6"/>
    <n v="0.06"/>
    <n v="264.07679999999999"/>
    <n v="4"/>
    <s v="Março"/>
  </r>
  <r>
    <n v="845"/>
    <d v="2021-03-30T00:00:00"/>
    <x v="2"/>
    <n v="85"/>
    <x v="19"/>
    <x v="7"/>
    <x v="10"/>
    <n v="93"/>
    <n v="1302"/>
    <n v="0.02"/>
    <n v="1275.96"/>
    <n v="26.039999999999964"/>
    <d v="2021-04-04T00:00:00"/>
    <d v="2021-04-04T00:00:00"/>
    <n v="845"/>
    <n v="2"/>
    <x v="4"/>
    <n v="0.1"/>
    <n v="127.596"/>
    <n v="5"/>
    <s v="Março"/>
  </r>
  <r>
    <n v="846"/>
    <d v="2021-03-30T00:00:00"/>
    <x v="2"/>
    <n v="86"/>
    <x v="50"/>
    <x v="5"/>
    <x v="24"/>
    <n v="118"/>
    <n v="5900"/>
    <n v="0.12"/>
    <n v="5192"/>
    <n v="708"/>
    <d v="2021-04-27T00:00:00"/>
    <d v="2021-04-27T00:00:00"/>
    <n v="846"/>
    <n v="7"/>
    <x v="5"/>
    <n v="0.05"/>
    <n v="259.60000000000002"/>
    <n v="6"/>
    <s v="Março"/>
  </r>
  <r>
    <n v="847"/>
    <d v="2021-03-31T00:00:00"/>
    <x v="2"/>
    <n v="57"/>
    <x v="49"/>
    <x v="8"/>
    <x v="31"/>
    <n v="103"/>
    <n v="2678"/>
    <n v="0.05"/>
    <n v="2544.1"/>
    <n v="133.90000000000009"/>
    <d v="2021-04-28T00:00:00"/>
    <d v="2021-04-28T00:00:00"/>
    <n v="847"/>
    <n v="6"/>
    <x v="5"/>
    <n v="0.1"/>
    <n v="254.41"/>
    <n v="7"/>
    <s v="Março"/>
  </r>
  <r>
    <n v="848"/>
    <d v="2021-03-31T00:00:00"/>
    <x v="2"/>
    <n v="84"/>
    <x v="12"/>
    <x v="1"/>
    <x v="36"/>
    <n v="91"/>
    <n v="3822"/>
    <n v="0.01"/>
    <n v="3783.78"/>
    <n v="38.2199999999998"/>
    <d v="2021-04-08T00:00:00"/>
    <d v="2021-04-08T00:00:00"/>
    <n v="848"/>
    <n v="6"/>
    <x v="4"/>
    <n v="0.06"/>
    <n v="227.02680000000001"/>
    <n v="1"/>
    <s v="Março"/>
  </r>
  <r>
    <n v="849"/>
    <d v="2021-03-31T00:00:00"/>
    <x v="2"/>
    <n v="58"/>
    <x v="32"/>
    <x v="0"/>
    <x v="16"/>
    <n v="93"/>
    <n v="1953"/>
    <n v="0"/>
    <n v="1953"/>
    <n v="0"/>
    <d v="2021-04-22T00:00:00"/>
    <d v="2021-04-22T00:00:00"/>
    <n v="849"/>
    <n v="2"/>
    <x v="2"/>
    <n v="0.1"/>
    <n v="195.3"/>
    <n v="2"/>
    <s v="Março"/>
  </r>
  <r>
    <n v="850"/>
    <d v="2021-04-01T00:00:00"/>
    <x v="3"/>
    <n v="11"/>
    <x v="21"/>
    <x v="0"/>
    <x v="18"/>
    <n v="114"/>
    <n v="5586"/>
    <n v="0.14000000000000001"/>
    <n v="4803.96"/>
    <n v="782.04"/>
    <d v="2021-04-23T00:00:00"/>
    <d v="2021-04-23T00:00:00"/>
    <n v="850"/>
    <n v="1"/>
    <x v="5"/>
    <n v="0.08"/>
    <n v="384.3168"/>
    <n v="3"/>
    <s v="Abril"/>
  </r>
  <r>
    <n v="851"/>
    <d v="2021-04-01T00:00:00"/>
    <x v="3"/>
    <n v="58"/>
    <x v="32"/>
    <x v="6"/>
    <x v="20"/>
    <n v="106"/>
    <n v="2438"/>
    <n v="0.08"/>
    <n v="2242.96"/>
    <n v="195.03999999999996"/>
    <d v="2021-04-28T00:00:00"/>
    <d v="2021-04-28T00:00:00"/>
    <n v="851"/>
    <n v="2"/>
    <x v="8"/>
    <n v="0.08"/>
    <n v="179.43680000000001"/>
    <n v="4"/>
    <s v="Abril"/>
  </r>
  <r>
    <n v="852"/>
    <d v="2021-04-02T00:00:00"/>
    <x v="3"/>
    <n v="2"/>
    <x v="6"/>
    <x v="4"/>
    <x v="21"/>
    <n v="102"/>
    <n v="1734"/>
    <n v="0.06"/>
    <n v="1629.96"/>
    <n v="104.03999999999996"/>
    <d v="2021-04-26T00:00:00"/>
    <d v="2021-04-26T00:00:00"/>
    <n v="852"/>
    <n v="3"/>
    <x v="8"/>
    <n v="0.1"/>
    <n v="162.99600000000001"/>
    <n v="5"/>
    <s v="Abril"/>
  </r>
  <r>
    <n v="853"/>
    <d v="2021-04-02T00:00:00"/>
    <x v="3"/>
    <n v="14"/>
    <x v="3"/>
    <x v="0"/>
    <x v="17"/>
    <n v="118"/>
    <n v="4602"/>
    <n v="0.08"/>
    <n v="4233.84"/>
    <n v="368.15999999999985"/>
    <d v="2021-05-01T00:00:00"/>
    <d v="2021-05-01T00:00:00"/>
    <n v="853"/>
    <n v="5"/>
    <x v="4"/>
    <n v="0.05"/>
    <n v="211.69200000000001"/>
    <n v="6"/>
    <s v="Abril"/>
  </r>
  <r>
    <n v="854"/>
    <d v="2021-04-02T00:00:00"/>
    <x v="3"/>
    <n v="85"/>
    <x v="19"/>
    <x v="7"/>
    <x v="32"/>
    <n v="101"/>
    <n v="3535"/>
    <n v="0.09"/>
    <n v="3216.85"/>
    <n v="318.15000000000009"/>
    <d v="2021-04-09T00:00:00"/>
    <d v="2021-04-09T00:00:00"/>
    <n v="854"/>
    <n v="7"/>
    <x v="0"/>
    <n v="7.0000000000000007E-2"/>
    <n v="225.17950000000002"/>
    <n v="7"/>
    <s v="Abril"/>
  </r>
  <r>
    <n v="855"/>
    <d v="2021-04-03T00:00:00"/>
    <x v="3"/>
    <n v="7"/>
    <x v="62"/>
    <x v="2"/>
    <x v="11"/>
    <n v="109"/>
    <n v="2943"/>
    <n v="0.06"/>
    <n v="2766.42"/>
    <n v="176.57999999999993"/>
    <d v="2021-04-22T00:00:00"/>
    <d v="2021-04-22T00:00:00"/>
    <n v="855"/>
    <n v="2"/>
    <x v="3"/>
    <n v="0.05"/>
    <n v="138.321"/>
    <n v="1"/>
    <s v="Abril"/>
  </r>
  <r>
    <n v="856"/>
    <d v="2021-04-03T00:00:00"/>
    <x v="3"/>
    <n v="46"/>
    <x v="54"/>
    <x v="6"/>
    <x v="9"/>
    <n v="109"/>
    <n v="4905"/>
    <n v="0.13"/>
    <n v="4267.3500000000004"/>
    <n v="637.64999999999964"/>
    <d v="2021-04-12T00:00:00"/>
    <d v="2021-04-12T00:00:00"/>
    <n v="856"/>
    <n v="3"/>
    <x v="8"/>
    <n v="7.0000000000000007E-2"/>
    <n v="298.71450000000004"/>
    <n v="2"/>
    <s v="Abril"/>
  </r>
  <r>
    <n v="857"/>
    <d v="2021-04-03T00:00:00"/>
    <x v="3"/>
    <n v="38"/>
    <x v="33"/>
    <x v="3"/>
    <x v="29"/>
    <n v="101"/>
    <n v="4848"/>
    <n v="0.02"/>
    <n v="4751.04"/>
    <n v="96.960000000000036"/>
    <d v="2021-04-15T00:00:00"/>
    <d v="2021-04-15T00:00:00"/>
    <n v="857"/>
    <n v="2"/>
    <x v="5"/>
    <n v="0.06"/>
    <n v="285.06239999999997"/>
    <n v="3"/>
    <s v="Abril"/>
  </r>
  <r>
    <n v="858"/>
    <d v="2021-04-04T00:00:00"/>
    <x v="3"/>
    <n v="33"/>
    <x v="36"/>
    <x v="7"/>
    <x v="27"/>
    <n v="118"/>
    <n v="5428"/>
    <n v="0"/>
    <n v="5428"/>
    <n v="0"/>
    <d v="2021-04-27T00:00:00"/>
    <d v="2021-04-27T00:00:00"/>
    <n v="858"/>
    <n v="1"/>
    <x v="4"/>
    <n v="0.09"/>
    <n v="488.52"/>
    <n v="4"/>
    <s v="Abril"/>
  </r>
  <r>
    <n v="859"/>
    <d v="2021-04-04T00:00:00"/>
    <x v="3"/>
    <n v="48"/>
    <x v="22"/>
    <x v="3"/>
    <x v="5"/>
    <n v="98"/>
    <n v="1078"/>
    <n v="0.08"/>
    <n v="991.76"/>
    <n v="86.240000000000009"/>
    <d v="2021-04-04T00:00:00"/>
    <d v="2021-04-04T00:00:00"/>
    <n v="859"/>
    <n v="1"/>
    <x v="3"/>
    <n v="0.1"/>
    <n v="99.176000000000002"/>
    <n v="5"/>
    <s v="Abril"/>
  </r>
  <r>
    <n v="860"/>
    <d v="2021-04-04T00:00:00"/>
    <x v="3"/>
    <n v="13"/>
    <x v="35"/>
    <x v="6"/>
    <x v="9"/>
    <n v="95"/>
    <n v="4275"/>
    <n v="0.12"/>
    <n v="3762"/>
    <n v="513"/>
    <d v="2021-04-09T00:00:00"/>
    <d v="2021-04-09T00:00:00"/>
    <n v="860"/>
    <n v="2"/>
    <x v="1"/>
    <n v="0.08"/>
    <n v="300.95999999999998"/>
    <n v="6"/>
    <s v="Abril"/>
  </r>
  <r>
    <n v="861"/>
    <d v="2021-04-04T00:00:00"/>
    <x v="3"/>
    <n v="45"/>
    <x v="8"/>
    <x v="4"/>
    <x v="25"/>
    <n v="101"/>
    <n v="4141"/>
    <n v="0.15"/>
    <n v="3519.85"/>
    <n v="621.15000000000009"/>
    <d v="2021-04-11T00:00:00"/>
    <d v="2021-04-11T00:00:00"/>
    <n v="861"/>
    <n v="1"/>
    <x v="9"/>
    <n v="7.0000000000000007E-2"/>
    <n v="246.38950000000003"/>
    <n v="7"/>
    <s v="Abril"/>
  </r>
  <r>
    <n v="862"/>
    <d v="2021-04-05T00:00:00"/>
    <x v="3"/>
    <n v="27"/>
    <x v="61"/>
    <x v="7"/>
    <x v="20"/>
    <n v="110"/>
    <n v="2530"/>
    <n v="7.0000000000000007E-2"/>
    <n v="2352.9"/>
    <n v="177.09999999999991"/>
    <d v="2021-04-22T00:00:00"/>
    <d v="2021-04-22T00:00:00"/>
    <n v="862"/>
    <n v="1"/>
    <x v="4"/>
    <n v="0.06"/>
    <n v="141.17400000000001"/>
    <n v="1"/>
    <s v="Abril"/>
  </r>
  <r>
    <n v="863"/>
    <d v="2021-04-05T00:00:00"/>
    <x v="3"/>
    <n v="32"/>
    <x v="37"/>
    <x v="9"/>
    <x v="27"/>
    <n v="106"/>
    <n v="4876"/>
    <n v="0.01"/>
    <n v="4827.24"/>
    <n v="48.760000000000218"/>
    <d v="2021-04-26T00:00:00"/>
    <d v="2021-04-26T00:00:00"/>
    <n v="863"/>
    <n v="1"/>
    <x v="3"/>
    <n v="0.08"/>
    <n v="386.17919999999998"/>
    <n v="2"/>
    <s v="Abril"/>
  </r>
  <r>
    <n v="864"/>
    <d v="2021-04-06T00:00:00"/>
    <x v="3"/>
    <n v="16"/>
    <x v="3"/>
    <x v="0"/>
    <x v="22"/>
    <n v="106"/>
    <n v="2968"/>
    <n v="7.0000000000000007E-2"/>
    <n v="2760.24"/>
    <n v="207.76000000000022"/>
    <d v="2021-04-06T00:00:00"/>
    <d v="2021-04-06T00:00:00"/>
    <n v="864"/>
    <n v="4"/>
    <x v="5"/>
    <n v="0.1"/>
    <n v="276.024"/>
    <n v="3"/>
    <s v="Abril"/>
  </r>
  <r>
    <n v="865"/>
    <d v="2021-04-07T00:00:00"/>
    <x v="3"/>
    <n v="29"/>
    <x v="58"/>
    <x v="9"/>
    <x v="15"/>
    <n v="112"/>
    <n v="3360"/>
    <n v="0"/>
    <n v="3360"/>
    <n v="0"/>
    <d v="2021-04-26T00:00:00"/>
    <d v="2021-04-26T00:00:00"/>
    <n v="865"/>
    <n v="4"/>
    <x v="7"/>
    <n v="7.0000000000000007E-2"/>
    <n v="235.20000000000002"/>
    <n v="4"/>
    <s v="Abril"/>
  </r>
  <r>
    <n v="866"/>
    <d v="2021-04-07T00:00:00"/>
    <x v="3"/>
    <n v="86"/>
    <x v="50"/>
    <x v="5"/>
    <x v="17"/>
    <n v="108"/>
    <n v="4212"/>
    <n v="0.15"/>
    <n v="3580.2"/>
    <n v="631.80000000000018"/>
    <d v="2021-04-21T00:00:00"/>
    <d v="2021-04-21T00:00:00"/>
    <n v="866"/>
    <n v="7"/>
    <x v="6"/>
    <n v="0.05"/>
    <n v="179.01"/>
    <n v="5"/>
    <s v="Abril"/>
  </r>
  <r>
    <n v="867"/>
    <d v="2021-04-08T00:00:00"/>
    <x v="3"/>
    <n v="18"/>
    <x v="43"/>
    <x v="8"/>
    <x v="10"/>
    <n v="97"/>
    <n v="1358"/>
    <n v="0.03"/>
    <n v="1317.26"/>
    <n v="40.740000000000009"/>
    <d v="2021-04-11T00:00:00"/>
    <d v="2021-04-11T00:00:00"/>
    <n v="867"/>
    <n v="2"/>
    <x v="9"/>
    <n v="0.09"/>
    <n v="118.5534"/>
    <n v="6"/>
    <s v="Abril"/>
  </r>
  <r>
    <n v="868"/>
    <d v="2021-04-08T00:00:00"/>
    <x v="3"/>
    <n v="81"/>
    <x v="63"/>
    <x v="5"/>
    <x v="33"/>
    <n v="90"/>
    <n v="1350"/>
    <n v="0.09"/>
    <n v="1228.5"/>
    <n v="121.5"/>
    <d v="2021-05-08T00:00:00"/>
    <d v="2021-05-08T00:00:00"/>
    <n v="868"/>
    <n v="6"/>
    <x v="4"/>
    <n v="0.06"/>
    <n v="73.709999999999994"/>
    <n v="7"/>
    <s v="Abril"/>
  </r>
  <r>
    <n v="869"/>
    <d v="2021-04-09T00:00:00"/>
    <x v="3"/>
    <n v="49"/>
    <x v="8"/>
    <x v="4"/>
    <x v="19"/>
    <n v="102"/>
    <n v="2958"/>
    <n v="0.13"/>
    <n v="2573.46"/>
    <n v="384.53999999999996"/>
    <d v="2021-04-14T00:00:00"/>
    <d v="2021-04-14T00:00:00"/>
    <n v="869"/>
    <n v="3"/>
    <x v="0"/>
    <n v="0.1"/>
    <n v="257.346"/>
    <n v="1"/>
    <s v="Abril"/>
  </r>
  <r>
    <n v="870"/>
    <d v="2021-04-09T00:00:00"/>
    <x v="3"/>
    <n v="59"/>
    <x v="57"/>
    <x v="2"/>
    <x v="19"/>
    <n v="94"/>
    <n v="2726"/>
    <n v="0"/>
    <n v="2726"/>
    <n v="0"/>
    <d v="2021-04-27T00:00:00"/>
    <d v="2021-04-27T00:00:00"/>
    <n v="870"/>
    <n v="1"/>
    <x v="3"/>
    <n v="0.05"/>
    <n v="136.30000000000001"/>
    <n v="2"/>
    <s v="Abril"/>
  </r>
  <r>
    <n v="871"/>
    <d v="2021-04-10T00:00:00"/>
    <x v="3"/>
    <n v="15"/>
    <x v="37"/>
    <x v="5"/>
    <x v="32"/>
    <n v="109"/>
    <n v="3815"/>
    <n v="0.01"/>
    <n v="3776.85"/>
    <n v="38.150000000000091"/>
    <d v="2021-04-30T00:00:00"/>
    <d v="2021-04-30T00:00:00"/>
    <n v="871"/>
    <n v="6"/>
    <x v="3"/>
    <n v="0.06"/>
    <n v="226.61099999999999"/>
    <n v="3"/>
    <s v="Abril"/>
  </r>
  <r>
    <n v="872"/>
    <d v="2021-04-10T00:00:00"/>
    <x v="3"/>
    <n v="62"/>
    <x v="8"/>
    <x v="2"/>
    <x v="25"/>
    <n v="115"/>
    <n v="4715"/>
    <n v="0.02"/>
    <n v="4620.7"/>
    <n v="94.300000000000182"/>
    <d v="2021-04-23T00:00:00"/>
    <d v="2021-04-23T00:00:00"/>
    <n v="872"/>
    <n v="1"/>
    <x v="9"/>
    <n v="0.09"/>
    <n v="415.86299999999994"/>
    <n v="4"/>
    <s v="Abril"/>
  </r>
  <r>
    <n v="873"/>
    <d v="2021-04-10T00:00:00"/>
    <x v="3"/>
    <n v="2"/>
    <x v="6"/>
    <x v="6"/>
    <x v="15"/>
    <n v="108"/>
    <n v="3240"/>
    <n v="0.05"/>
    <n v="3078"/>
    <n v="162"/>
    <d v="2021-04-16T00:00:00"/>
    <d v="2021-04-16T00:00:00"/>
    <n v="873"/>
    <n v="6"/>
    <x v="7"/>
    <n v="0.05"/>
    <n v="153.9"/>
    <n v="5"/>
    <s v="Abril"/>
  </r>
  <r>
    <n v="874"/>
    <d v="2021-04-13T00:00:00"/>
    <x v="3"/>
    <n v="41"/>
    <x v="29"/>
    <x v="6"/>
    <x v="21"/>
    <n v="115"/>
    <n v="1955"/>
    <n v="0"/>
    <n v="1955"/>
    <n v="0"/>
    <d v="2021-04-21T00:00:00"/>
    <d v="2021-04-21T00:00:00"/>
    <n v="874"/>
    <n v="6"/>
    <x v="7"/>
    <n v="0.1"/>
    <n v="195.5"/>
    <n v="6"/>
    <s v="Abril"/>
  </r>
  <r>
    <n v="875"/>
    <d v="2021-04-16T00:00:00"/>
    <x v="3"/>
    <n v="31"/>
    <x v="45"/>
    <x v="5"/>
    <x v="0"/>
    <n v="111"/>
    <n v="4107"/>
    <n v="0"/>
    <n v="4107"/>
    <n v="0"/>
    <d v="2021-04-28T00:00:00"/>
    <d v="2021-04-28T00:00:00"/>
    <n v="875"/>
    <n v="5"/>
    <x v="1"/>
    <n v="0.1"/>
    <n v="410.70000000000005"/>
    <n v="7"/>
    <s v="Abril"/>
  </r>
  <r>
    <n v="876"/>
    <d v="2021-04-18T00:00:00"/>
    <x v="3"/>
    <n v="34"/>
    <x v="20"/>
    <x v="1"/>
    <x v="28"/>
    <n v="108"/>
    <n v="4104"/>
    <n v="0.06"/>
    <n v="3857.76"/>
    <n v="246.23999999999978"/>
    <d v="2021-04-20T00:00:00"/>
    <d v="2021-04-20T00:00:00"/>
    <n v="876"/>
    <n v="1"/>
    <x v="8"/>
    <n v="0.1"/>
    <n v="385.77600000000007"/>
    <n v="1"/>
    <s v="Abril"/>
  </r>
  <r>
    <n v="877"/>
    <d v="2021-04-18T00:00:00"/>
    <x v="3"/>
    <n v="28"/>
    <x v="46"/>
    <x v="3"/>
    <x v="36"/>
    <n v="96"/>
    <n v="4032"/>
    <n v="0.12"/>
    <n v="3548.16"/>
    <n v="483.84000000000015"/>
    <d v="2021-04-21T00:00:00"/>
    <d v="2021-04-21T00:00:00"/>
    <n v="877"/>
    <n v="6"/>
    <x v="7"/>
    <n v="0.08"/>
    <n v="283.8528"/>
    <n v="2"/>
    <s v="Abril"/>
  </r>
  <r>
    <n v="878"/>
    <d v="2021-04-20T00:00:00"/>
    <x v="3"/>
    <n v="6"/>
    <x v="48"/>
    <x v="2"/>
    <x v="26"/>
    <n v="93"/>
    <n v="1488"/>
    <n v="0.12"/>
    <n v="1309.44"/>
    <n v="178.55999999999995"/>
    <d v="2021-05-14T00:00:00"/>
    <d v="2021-05-14T00:00:00"/>
    <n v="878"/>
    <n v="1"/>
    <x v="2"/>
    <n v="0.05"/>
    <n v="65.472000000000008"/>
    <n v="3"/>
    <s v="Abril"/>
  </r>
  <r>
    <n v="879"/>
    <d v="2021-04-20T00:00:00"/>
    <x v="3"/>
    <n v="37"/>
    <x v="14"/>
    <x v="2"/>
    <x v="3"/>
    <n v="96"/>
    <n v="4224"/>
    <n v="0.05"/>
    <n v="4012.8"/>
    <n v="211.19999999999982"/>
    <d v="2021-05-02T00:00:00"/>
    <d v="2021-05-02T00:00:00"/>
    <n v="879"/>
    <n v="7"/>
    <x v="1"/>
    <n v="0.08"/>
    <n v="321.024"/>
    <n v="4"/>
    <s v="Abril"/>
  </r>
  <r>
    <n v="880"/>
    <d v="2021-04-20T00:00:00"/>
    <x v="3"/>
    <n v="45"/>
    <x v="8"/>
    <x v="3"/>
    <x v="35"/>
    <n v="110"/>
    <n v="4730"/>
    <n v="0.03"/>
    <n v="4588.1000000000004"/>
    <n v="141.89999999999964"/>
    <d v="2021-05-17T00:00:00"/>
    <d v="2021-05-17T00:00:00"/>
    <n v="880"/>
    <n v="2"/>
    <x v="0"/>
    <n v="0.08"/>
    <n v="367.04800000000006"/>
    <n v="5"/>
    <s v="Abril"/>
  </r>
  <r>
    <n v="881"/>
    <d v="2021-04-20T00:00:00"/>
    <x v="3"/>
    <n v="53"/>
    <x v="48"/>
    <x v="6"/>
    <x v="13"/>
    <n v="120"/>
    <n v="3720"/>
    <n v="0.14000000000000001"/>
    <n v="3199.2"/>
    <n v="520.80000000000018"/>
    <d v="2021-05-01T00:00:00"/>
    <d v="2021-05-01T00:00:00"/>
    <n v="881"/>
    <n v="3"/>
    <x v="0"/>
    <n v="0.1"/>
    <n v="319.92"/>
    <n v="6"/>
    <s v="Abril"/>
  </r>
  <r>
    <n v="882"/>
    <d v="2021-04-21T00:00:00"/>
    <x v="3"/>
    <n v="9"/>
    <x v="7"/>
    <x v="1"/>
    <x v="30"/>
    <n v="109"/>
    <n v="3597"/>
    <n v="0.03"/>
    <n v="3489.09"/>
    <n v="107.90999999999985"/>
    <d v="2021-04-25T00:00:00"/>
    <d v="2021-04-25T00:00:00"/>
    <n v="882"/>
    <n v="1"/>
    <x v="0"/>
    <n v="0.1"/>
    <n v="348.90900000000005"/>
    <n v="7"/>
    <s v="Abril"/>
  </r>
  <r>
    <n v="883"/>
    <d v="2021-04-23T00:00:00"/>
    <x v="3"/>
    <n v="65"/>
    <x v="25"/>
    <x v="3"/>
    <x v="37"/>
    <n v="118"/>
    <n v="3776"/>
    <n v="0"/>
    <n v="3776"/>
    <n v="0"/>
    <d v="2021-05-21T00:00:00"/>
    <d v="2021-05-21T00:00:00"/>
    <n v="883"/>
    <n v="7"/>
    <x v="6"/>
    <n v="7.0000000000000007E-2"/>
    <n v="264.32000000000005"/>
    <n v="1"/>
    <s v="Abril"/>
  </r>
  <r>
    <n v="884"/>
    <d v="2021-04-23T00:00:00"/>
    <x v="3"/>
    <n v="36"/>
    <x v="30"/>
    <x v="3"/>
    <x v="2"/>
    <n v="111"/>
    <n v="3774"/>
    <n v="0.08"/>
    <n v="3472.08"/>
    <n v="301.92000000000007"/>
    <d v="2021-05-18T00:00:00"/>
    <d v="2021-05-18T00:00:00"/>
    <n v="884"/>
    <n v="3"/>
    <x v="5"/>
    <n v="0.05"/>
    <n v="173.60400000000001"/>
    <n v="2"/>
    <s v="Abril"/>
  </r>
  <r>
    <n v="885"/>
    <d v="2021-04-23T00:00:00"/>
    <x v="3"/>
    <n v="78"/>
    <x v="7"/>
    <x v="6"/>
    <x v="3"/>
    <n v="99"/>
    <n v="4356"/>
    <n v="0.11"/>
    <n v="3876.84"/>
    <n v="479.15999999999985"/>
    <d v="2021-05-10T00:00:00"/>
    <d v="2021-05-10T00:00:00"/>
    <n v="885"/>
    <n v="4"/>
    <x v="6"/>
    <n v="0.05"/>
    <n v="193.84200000000001"/>
    <n v="3"/>
    <s v="Abril"/>
  </r>
  <r>
    <n v="886"/>
    <d v="2021-04-24T00:00:00"/>
    <x v="3"/>
    <n v="86"/>
    <x v="50"/>
    <x v="1"/>
    <x v="19"/>
    <n v="114"/>
    <n v="3306"/>
    <n v="7.0000000000000007E-2"/>
    <n v="3074.58"/>
    <n v="231.42000000000007"/>
    <d v="2021-05-23T00:00:00"/>
    <d v="2021-05-23T00:00:00"/>
    <n v="886"/>
    <n v="2"/>
    <x v="2"/>
    <n v="7.0000000000000007E-2"/>
    <n v="215.22060000000002"/>
    <n v="4"/>
    <s v="Abril"/>
  </r>
  <r>
    <n v="887"/>
    <d v="2021-04-24T00:00:00"/>
    <x v="3"/>
    <n v="70"/>
    <x v="28"/>
    <x v="3"/>
    <x v="19"/>
    <n v="117"/>
    <n v="3393"/>
    <n v="0.01"/>
    <n v="3359.07"/>
    <n v="33.929999999999836"/>
    <d v="2021-05-09T00:00:00"/>
    <d v="2021-05-09T00:00:00"/>
    <n v="887"/>
    <n v="4"/>
    <x v="8"/>
    <n v="0.06"/>
    <n v="201.54419999999999"/>
    <n v="5"/>
    <s v="Abril"/>
  </r>
  <r>
    <n v="888"/>
    <d v="2021-04-25T00:00:00"/>
    <x v="3"/>
    <n v="18"/>
    <x v="43"/>
    <x v="5"/>
    <x v="14"/>
    <n v="107"/>
    <n v="2675"/>
    <n v="0.06"/>
    <n v="2514.5"/>
    <n v="160.5"/>
    <d v="2021-04-26T00:00:00"/>
    <d v="2021-04-26T00:00:00"/>
    <n v="888"/>
    <n v="7"/>
    <x v="3"/>
    <n v="0.05"/>
    <n v="125.72500000000001"/>
    <n v="6"/>
    <s v="Abril"/>
  </r>
  <r>
    <n v="889"/>
    <d v="2021-04-26T00:00:00"/>
    <x v="3"/>
    <n v="12"/>
    <x v="13"/>
    <x v="6"/>
    <x v="15"/>
    <n v="95"/>
    <n v="2850"/>
    <n v="0.12"/>
    <n v="2508"/>
    <n v="342"/>
    <d v="2021-05-17T00:00:00"/>
    <d v="2021-05-17T00:00:00"/>
    <n v="889"/>
    <n v="1"/>
    <x v="7"/>
    <n v="0.08"/>
    <n v="200.64000000000001"/>
    <n v="7"/>
    <s v="Abril"/>
  </r>
  <r>
    <n v="890"/>
    <d v="2021-04-26T00:00:00"/>
    <x v="3"/>
    <n v="33"/>
    <x v="36"/>
    <x v="0"/>
    <x v="11"/>
    <n v="99"/>
    <n v="2673"/>
    <n v="7.0000000000000007E-2"/>
    <n v="2485.89"/>
    <n v="187.11000000000013"/>
    <d v="2021-05-19T00:00:00"/>
    <d v="2021-05-19T00:00:00"/>
    <n v="890"/>
    <n v="1"/>
    <x v="8"/>
    <n v="0.09"/>
    <n v="223.73009999999999"/>
    <n v="1"/>
    <s v="Abril"/>
  </r>
  <r>
    <n v="891"/>
    <d v="2021-04-26T00:00:00"/>
    <x v="3"/>
    <n v="44"/>
    <x v="31"/>
    <x v="0"/>
    <x v="31"/>
    <n v="111"/>
    <n v="2886"/>
    <n v="0.09"/>
    <n v="2626.26"/>
    <n v="259.73999999999978"/>
    <d v="2021-05-12T00:00:00"/>
    <d v="2021-05-12T00:00:00"/>
    <n v="891"/>
    <n v="1"/>
    <x v="9"/>
    <n v="7.0000000000000007E-2"/>
    <n v="183.83820000000003"/>
    <n v="2"/>
    <s v="Abril"/>
  </r>
  <r>
    <n v="892"/>
    <d v="2021-04-26T00:00:00"/>
    <x v="3"/>
    <n v="67"/>
    <x v="66"/>
    <x v="2"/>
    <x v="10"/>
    <n v="95"/>
    <n v="1330"/>
    <n v="0.15"/>
    <n v="1130.5"/>
    <n v="199.5"/>
    <d v="2021-05-05T00:00:00"/>
    <d v="2021-05-05T00:00:00"/>
    <n v="892"/>
    <n v="1"/>
    <x v="9"/>
    <n v="0.08"/>
    <n v="90.44"/>
    <n v="3"/>
    <s v="Abril"/>
  </r>
  <r>
    <n v="893"/>
    <d v="2021-04-27T00:00:00"/>
    <x v="3"/>
    <n v="43"/>
    <x v="59"/>
    <x v="2"/>
    <x v="30"/>
    <n v="99"/>
    <n v="3267"/>
    <n v="0.11"/>
    <n v="2907.63"/>
    <n v="359.36999999999989"/>
    <d v="2021-04-28T00:00:00"/>
    <d v="2021-04-28T00:00:00"/>
    <n v="893"/>
    <n v="3"/>
    <x v="1"/>
    <n v="0.1"/>
    <n v="290.76300000000003"/>
    <n v="4"/>
    <s v="Abril"/>
  </r>
  <r>
    <n v="894"/>
    <d v="2021-04-27T00:00:00"/>
    <x v="3"/>
    <n v="80"/>
    <x v="8"/>
    <x v="0"/>
    <x v="7"/>
    <n v="92"/>
    <n v="920"/>
    <n v="0.03"/>
    <n v="892.4"/>
    <n v="27.600000000000023"/>
    <d v="2021-05-18T00:00:00"/>
    <d v="2021-05-18T00:00:00"/>
    <n v="894"/>
    <n v="4"/>
    <x v="4"/>
    <n v="0.09"/>
    <n v="80.315999999999988"/>
    <n v="5"/>
    <s v="Abril"/>
  </r>
  <r>
    <n v="895"/>
    <d v="2021-04-28T00:00:00"/>
    <x v="3"/>
    <n v="87"/>
    <x v="10"/>
    <x v="1"/>
    <x v="35"/>
    <n v="96"/>
    <n v="4128"/>
    <n v="7.0000000000000007E-2"/>
    <n v="3839.04"/>
    <n v="288.96000000000004"/>
    <d v="2021-04-29T00:00:00"/>
    <d v="2021-04-29T00:00:00"/>
    <n v="895"/>
    <n v="2"/>
    <x v="4"/>
    <n v="0.06"/>
    <n v="230.3424"/>
    <n v="6"/>
    <s v="Abril"/>
  </r>
  <r>
    <n v="896"/>
    <d v="2021-04-28T00:00:00"/>
    <x v="3"/>
    <n v="42"/>
    <x v="52"/>
    <x v="6"/>
    <x v="12"/>
    <n v="105"/>
    <n v="1890"/>
    <n v="7.0000000000000007E-2"/>
    <n v="1757.7"/>
    <n v="132.29999999999995"/>
    <d v="2021-05-20T00:00:00"/>
    <d v="2021-05-20T00:00:00"/>
    <n v="896"/>
    <n v="2"/>
    <x v="1"/>
    <n v="7.0000000000000007E-2"/>
    <n v="123.03900000000002"/>
    <n v="7"/>
    <s v="Abril"/>
  </r>
  <r>
    <n v="897"/>
    <d v="2021-04-28T00:00:00"/>
    <x v="3"/>
    <n v="31"/>
    <x v="45"/>
    <x v="6"/>
    <x v="37"/>
    <n v="100"/>
    <n v="3200"/>
    <n v="0.09"/>
    <n v="2912"/>
    <n v="288"/>
    <d v="2021-05-05T00:00:00"/>
    <d v="2021-05-05T00:00:00"/>
    <n v="897"/>
    <n v="6"/>
    <x v="0"/>
    <n v="0.1"/>
    <n v="291.2"/>
    <n v="1"/>
    <s v="Abril"/>
  </r>
  <r>
    <n v="898"/>
    <d v="2021-04-29T00:00:00"/>
    <x v="3"/>
    <n v="7"/>
    <x v="62"/>
    <x v="3"/>
    <x v="32"/>
    <n v="113"/>
    <n v="3955"/>
    <n v="0.05"/>
    <n v="3757.25"/>
    <n v="197.75"/>
    <d v="2021-05-06T00:00:00"/>
    <m/>
    <n v="898"/>
    <n v="1"/>
    <x v="7"/>
    <n v="0.09"/>
    <n v="338.15249999999997"/>
    <n v="2"/>
    <s v="Abril"/>
  </r>
  <r>
    <n v="899"/>
    <d v="2021-04-29T00:00:00"/>
    <x v="3"/>
    <n v="54"/>
    <x v="39"/>
    <x v="5"/>
    <x v="29"/>
    <n v="102"/>
    <n v="4896"/>
    <n v="0.15"/>
    <n v="4161.6000000000004"/>
    <n v="734.39999999999964"/>
    <d v="2021-05-03T00:00:00"/>
    <d v="2021-05-03T00:00:00"/>
    <n v="899"/>
    <n v="1"/>
    <x v="4"/>
    <n v="0.09"/>
    <n v="374.54400000000004"/>
    <n v="3"/>
    <s v="Abril"/>
  </r>
  <r>
    <n v="900"/>
    <d v="2021-04-29T00:00:00"/>
    <x v="3"/>
    <n v="22"/>
    <x v="16"/>
    <x v="6"/>
    <x v="32"/>
    <n v="111"/>
    <n v="3885"/>
    <n v="0.06"/>
    <n v="3651.9"/>
    <n v="233.09999999999991"/>
    <d v="2021-05-06T00:00:00"/>
    <d v="2021-05-06T00:00:00"/>
    <n v="900"/>
    <n v="5"/>
    <x v="3"/>
    <n v="0.1"/>
    <n v="365.19000000000005"/>
    <n v="4"/>
    <s v="Abril"/>
  </r>
  <r>
    <n v="901"/>
    <d v="2021-04-29T00:00:00"/>
    <x v="3"/>
    <n v="39"/>
    <x v="8"/>
    <x v="3"/>
    <x v="27"/>
    <n v="112"/>
    <n v="5152"/>
    <n v="0.02"/>
    <n v="5048.96"/>
    <n v="103.03999999999996"/>
    <d v="2021-05-14T00:00:00"/>
    <d v="2021-05-14T00:00:00"/>
    <n v="901"/>
    <n v="4"/>
    <x v="6"/>
    <n v="0.05"/>
    <n v="252.44800000000001"/>
    <n v="5"/>
    <s v="Abril"/>
  </r>
  <r>
    <n v="902"/>
    <d v="2021-04-30T00:00:00"/>
    <x v="3"/>
    <n v="100"/>
    <x v="8"/>
    <x v="8"/>
    <x v="13"/>
    <n v="109"/>
    <n v="3379"/>
    <n v="0.08"/>
    <n v="3108.68"/>
    <n v="270.32000000000016"/>
    <d v="2021-05-28T00:00:00"/>
    <d v="2021-05-28T00:00:00"/>
    <n v="902"/>
    <n v="6"/>
    <x v="8"/>
    <n v="7.0000000000000007E-2"/>
    <n v="217.60760000000002"/>
    <n v="6"/>
    <s v="Abril"/>
  </r>
  <r>
    <n v="903"/>
    <d v="2021-04-30T00:00:00"/>
    <x v="3"/>
    <n v="28"/>
    <x v="46"/>
    <x v="5"/>
    <x v="38"/>
    <n v="103"/>
    <n v="4120"/>
    <n v="0.08"/>
    <n v="3790.4"/>
    <n v="329.59999999999991"/>
    <d v="2021-05-12T00:00:00"/>
    <d v="2021-05-12T00:00:00"/>
    <n v="903"/>
    <n v="6"/>
    <x v="8"/>
    <n v="7.0000000000000007E-2"/>
    <n v="265.32800000000003"/>
    <n v="7"/>
    <s v="Abril"/>
  </r>
  <r>
    <n v="904"/>
    <d v="2021-04-30T00:00:00"/>
    <x v="3"/>
    <n v="65"/>
    <x v="25"/>
    <x v="2"/>
    <x v="6"/>
    <n v="90"/>
    <n v="1800"/>
    <n v="0.01"/>
    <n v="1782"/>
    <n v="18"/>
    <d v="2021-05-21T00:00:00"/>
    <d v="2021-05-21T00:00:00"/>
    <n v="904"/>
    <n v="5"/>
    <x v="3"/>
    <n v="0.08"/>
    <n v="142.56"/>
    <n v="1"/>
    <s v="Abril"/>
  </r>
  <r>
    <n v="905"/>
    <d v="2021-05-02T00:00:00"/>
    <x v="4"/>
    <n v="20"/>
    <x v="9"/>
    <x v="6"/>
    <x v="5"/>
    <n v="105"/>
    <n v="1155"/>
    <n v="0.04"/>
    <n v="1108.8"/>
    <n v="46.200000000000045"/>
    <d v="2021-05-22T00:00:00"/>
    <m/>
    <n v="905"/>
    <n v="6"/>
    <x v="1"/>
    <n v="0.1"/>
    <n v="110.88"/>
    <n v="2"/>
    <s v="Maio"/>
  </r>
  <r>
    <n v="906"/>
    <d v="2021-05-02T00:00:00"/>
    <x v="4"/>
    <n v="83"/>
    <x v="60"/>
    <x v="9"/>
    <x v="19"/>
    <n v="109"/>
    <n v="3161"/>
    <n v="0.11"/>
    <n v="2813.29"/>
    <n v="347.71000000000004"/>
    <d v="2021-05-25T00:00:00"/>
    <d v="2021-05-25T00:00:00"/>
    <n v="906"/>
    <n v="7"/>
    <x v="9"/>
    <n v="0.06"/>
    <n v="168.79739999999998"/>
    <n v="3"/>
    <s v="Maio"/>
  </r>
  <r>
    <n v="907"/>
    <d v="2021-05-03T00:00:00"/>
    <x v="4"/>
    <n v="17"/>
    <x v="28"/>
    <x v="5"/>
    <x v="33"/>
    <n v="110"/>
    <n v="1650"/>
    <n v="0.13"/>
    <n v="1435.5"/>
    <n v="214.5"/>
    <d v="2021-05-24T00:00:00"/>
    <d v="2021-05-24T00:00:00"/>
    <n v="907"/>
    <n v="4"/>
    <x v="2"/>
    <n v="0.06"/>
    <n v="86.13"/>
    <n v="4"/>
    <s v="Maio"/>
  </r>
  <r>
    <n v="908"/>
    <d v="2021-05-03T00:00:00"/>
    <x v="4"/>
    <n v="95"/>
    <x v="8"/>
    <x v="5"/>
    <x v="40"/>
    <n v="103"/>
    <n v="1236"/>
    <n v="0.1"/>
    <n v="1112.4000000000001"/>
    <n v="123.59999999999991"/>
    <d v="2021-05-13T00:00:00"/>
    <d v="2021-05-13T00:00:00"/>
    <n v="908"/>
    <n v="7"/>
    <x v="7"/>
    <n v="0.09"/>
    <n v="100.116"/>
    <n v="5"/>
    <s v="Maio"/>
  </r>
  <r>
    <n v="909"/>
    <d v="2021-05-03T00:00:00"/>
    <x v="4"/>
    <n v="64"/>
    <x v="38"/>
    <x v="0"/>
    <x v="38"/>
    <n v="92"/>
    <n v="3680"/>
    <n v="0.1"/>
    <n v="3312"/>
    <n v="368"/>
    <d v="2021-05-23T00:00:00"/>
    <d v="2021-05-23T00:00:00"/>
    <n v="909"/>
    <n v="2"/>
    <x v="7"/>
    <n v="7.0000000000000007E-2"/>
    <n v="231.84000000000003"/>
    <n v="6"/>
    <s v="Maio"/>
  </r>
  <r>
    <n v="910"/>
    <d v="2021-05-05T00:00:00"/>
    <x v="4"/>
    <n v="12"/>
    <x v="13"/>
    <x v="6"/>
    <x v="20"/>
    <n v="104"/>
    <n v="2392"/>
    <n v="0.14000000000000001"/>
    <n v="2057.12"/>
    <n v="334.88000000000011"/>
    <d v="2021-05-16T00:00:00"/>
    <d v="2021-05-16T00:00:00"/>
    <n v="910"/>
    <n v="6"/>
    <x v="9"/>
    <n v="0.05"/>
    <n v="102.85599999999999"/>
    <n v="7"/>
    <s v="Maio"/>
  </r>
  <r>
    <n v="911"/>
    <d v="2021-05-05T00:00:00"/>
    <x v="4"/>
    <n v="67"/>
    <x v="66"/>
    <x v="8"/>
    <x v="40"/>
    <n v="92"/>
    <n v="1104"/>
    <n v="0.05"/>
    <n v="1048.8"/>
    <n v="55.200000000000045"/>
    <d v="2021-05-30T00:00:00"/>
    <d v="2021-05-30T00:00:00"/>
    <n v="911"/>
    <n v="1"/>
    <x v="6"/>
    <n v="0.09"/>
    <n v="94.391999999999996"/>
    <n v="1"/>
    <s v="Maio"/>
  </r>
  <r>
    <n v="912"/>
    <d v="2021-05-06T00:00:00"/>
    <x v="4"/>
    <n v="50"/>
    <x v="41"/>
    <x v="7"/>
    <x v="5"/>
    <n v="119"/>
    <n v="1309"/>
    <n v="0.14000000000000001"/>
    <n v="1125.74"/>
    <n v="183.26"/>
    <d v="2021-05-07T00:00:00"/>
    <d v="2021-05-07T00:00:00"/>
    <n v="912"/>
    <n v="4"/>
    <x v="6"/>
    <n v="0.1"/>
    <n v="112.57400000000001"/>
    <n v="2"/>
    <s v="Maio"/>
  </r>
  <r>
    <n v="913"/>
    <d v="2021-05-06T00:00:00"/>
    <x v="4"/>
    <n v="86"/>
    <x v="50"/>
    <x v="1"/>
    <x v="12"/>
    <n v="102"/>
    <n v="1836"/>
    <n v="0.06"/>
    <n v="1725.84"/>
    <n v="110.16000000000008"/>
    <d v="2021-05-06T00:00:00"/>
    <d v="2021-05-06T00:00:00"/>
    <n v="913"/>
    <n v="1"/>
    <x v="1"/>
    <n v="0.1"/>
    <n v="172.584"/>
    <n v="3"/>
    <s v="Maio"/>
  </r>
  <r>
    <n v="914"/>
    <d v="2021-05-07T00:00:00"/>
    <x v="4"/>
    <n v="86"/>
    <x v="50"/>
    <x v="2"/>
    <x v="38"/>
    <n v="107"/>
    <n v="4280"/>
    <n v="0.12"/>
    <n v="3766.4"/>
    <n v="513.59999999999991"/>
    <d v="2021-05-26T00:00:00"/>
    <d v="2021-05-26T00:00:00"/>
    <n v="914"/>
    <n v="3"/>
    <x v="7"/>
    <n v="0.06"/>
    <n v="225.98400000000001"/>
    <n v="4"/>
    <s v="Maio"/>
  </r>
  <r>
    <n v="915"/>
    <d v="2021-05-07T00:00:00"/>
    <x v="4"/>
    <n v="42"/>
    <x v="52"/>
    <x v="3"/>
    <x v="6"/>
    <n v="115"/>
    <n v="2300"/>
    <n v="0.05"/>
    <n v="2185"/>
    <n v="115"/>
    <d v="2021-05-26T00:00:00"/>
    <d v="2021-05-26T00:00:00"/>
    <n v="915"/>
    <n v="5"/>
    <x v="5"/>
    <n v="0.05"/>
    <n v="109.25"/>
    <n v="5"/>
    <s v="Maio"/>
  </r>
  <r>
    <n v="916"/>
    <d v="2021-05-08T00:00:00"/>
    <x v="4"/>
    <n v="58"/>
    <x v="32"/>
    <x v="3"/>
    <x v="26"/>
    <n v="116"/>
    <n v="1856"/>
    <n v="0.14000000000000001"/>
    <n v="1596.1599999999999"/>
    <n v="259.84000000000015"/>
    <d v="2021-06-07T00:00:00"/>
    <d v="2021-06-07T00:00:00"/>
    <n v="916"/>
    <n v="3"/>
    <x v="1"/>
    <n v="0.1"/>
    <n v="159.61599999999999"/>
    <n v="6"/>
    <s v="Maio"/>
  </r>
  <r>
    <n v="917"/>
    <d v="2021-05-08T00:00:00"/>
    <x v="4"/>
    <n v="30"/>
    <x v="56"/>
    <x v="6"/>
    <x v="39"/>
    <n v="119"/>
    <n v="4284"/>
    <n v="0.04"/>
    <n v="4112.6400000000003"/>
    <n v="171.35999999999967"/>
    <d v="2021-05-10T00:00:00"/>
    <d v="2021-05-10T00:00:00"/>
    <n v="917"/>
    <n v="2"/>
    <x v="4"/>
    <n v="0.09"/>
    <n v="370.13760000000002"/>
    <n v="7"/>
    <s v="Maio"/>
  </r>
  <r>
    <n v="918"/>
    <d v="2021-05-10T00:00:00"/>
    <x v="4"/>
    <n v="99"/>
    <x v="44"/>
    <x v="3"/>
    <x v="0"/>
    <n v="119"/>
    <n v="4403"/>
    <n v="0.08"/>
    <n v="4050.76"/>
    <n v="352.23999999999978"/>
    <d v="2021-05-31T00:00:00"/>
    <d v="2021-05-31T00:00:00"/>
    <n v="918"/>
    <n v="3"/>
    <x v="2"/>
    <n v="0.05"/>
    <n v="202.53800000000001"/>
    <n v="1"/>
    <s v="Maio"/>
  </r>
  <r>
    <n v="919"/>
    <d v="2021-05-11T00:00:00"/>
    <x v="4"/>
    <n v="1"/>
    <x v="53"/>
    <x v="7"/>
    <x v="35"/>
    <n v="91"/>
    <n v="3913"/>
    <n v="0.06"/>
    <n v="3678.22"/>
    <n v="234.7800000000002"/>
    <d v="2021-06-08T00:00:00"/>
    <d v="2021-06-08T00:00:00"/>
    <n v="919"/>
    <n v="3"/>
    <x v="4"/>
    <n v="7.0000000000000007E-2"/>
    <n v="257.47540000000004"/>
    <n v="2"/>
    <s v="Maio"/>
  </r>
  <r>
    <n v="920"/>
    <d v="2021-05-11T00:00:00"/>
    <x v="4"/>
    <n v="29"/>
    <x v="58"/>
    <x v="1"/>
    <x v="16"/>
    <n v="115"/>
    <n v="2415"/>
    <n v="0.02"/>
    <n v="2366.6999999999998"/>
    <n v="48.300000000000182"/>
    <d v="2021-05-21T00:00:00"/>
    <d v="2021-05-21T00:00:00"/>
    <n v="920"/>
    <n v="2"/>
    <x v="4"/>
    <n v="0.05"/>
    <n v="118.33499999999999"/>
    <n v="3"/>
    <s v="Maio"/>
  </r>
  <r>
    <n v="921"/>
    <d v="2021-05-11T00:00:00"/>
    <x v="4"/>
    <n v="79"/>
    <x v="5"/>
    <x v="3"/>
    <x v="29"/>
    <n v="106"/>
    <n v="5088"/>
    <n v="0.11"/>
    <n v="4528.32"/>
    <n v="559.68000000000029"/>
    <d v="2021-06-09T00:00:00"/>
    <d v="2021-06-09T00:00:00"/>
    <n v="921"/>
    <n v="3"/>
    <x v="6"/>
    <n v="0.09"/>
    <n v="407.54879999999997"/>
    <n v="4"/>
    <s v="Maio"/>
  </r>
  <r>
    <n v="922"/>
    <d v="2021-05-11T00:00:00"/>
    <x v="4"/>
    <n v="44"/>
    <x v="31"/>
    <x v="5"/>
    <x v="14"/>
    <n v="117"/>
    <n v="2925"/>
    <n v="7.0000000000000007E-2"/>
    <n v="2720.25"/>
    <n v="204.75"/>
    <d v="2021-05-24T00:00:00"/>
    <d v="2021-05-24T00:00:00"/>
    <n v="922"/>
    <n v="5"/>
    <x v="5"/>
    <n v="7.0000000000000007E-2"/>
    <n v="190.41750000000002"/>
    <n v="5"/>
    <s v="Maio"/>
  </r>
  <r>
    <n v="923"/>
    <d v="2021-05-12T00:00:00"/>
    <x v="4"/>
    <n v="27"/>
    <x v="61"/>
    <x v="9"/>
    <x v="9"/>
    <n v="100"/>
    <n v="4500"/>
    <n v="0.08"/>
    <n v="4140"/>
    <n v="360"/>
    <d v="2021-05-30T00:00:00"/>
    <d v="2021-05-30T00:00:00"/>
    <n v="923"/>
    <n v="1"/>
    <x v="9"/>
    <n v="0.06"/>
    <n v="248.39999999999998"/>
    <n v="6"/>
    <s v="Maio"/>
  </r>
  <r>
    <n v="924"/>
    <d v="2021-05-12T00:00:00"/>
    <x v="4"/>
    <n v="9"/>
    <x v="7"/>
    <x v="1"/>
    <x v="4"/>
    <n v="106"/>
    <n v="2544"/>
    <n v="0.01"/>
    <n v="2518.56"/>
    <n v="25.440000000000055"/>
    <d v="2021-06-07T00:00:00"/>
    <d v="2021-06-07T00:00:00"/>
    <n v="924"/>
    <n v="6"/>
    <x v="9"/>
    <n v="0.09"/>
    <n v="226.6704"/>
    <n v="7"/>
    <s v="Maio"/>
  </r>
  <r>
    <n v="925"/>
    <d v="2021-05-13T00:00:00"/>
    <x v="4"/>
    <n v="32"/>
    <x v="37"/>
    <x v="1"/>
    <x v="29"/>
    <n v="113"/>
    <n v="5424"/>
    <n v="0.01"/>
    <n v="5369.76"/>
    <n v="54.239999999999782"/>
    <d v="2021-06-10T00:00:00"/>
    <d v="2021-06-10T00:00:00"/>
    <n v="925"/>
    <n v="6"/>
    <x v="1"/>
    <n v="0.09"/>
    <n v="483.27839999999998"/>
    <n v="1"/>
    <s v="Maio"/>
  </r>
  <r>
    <n v="926"/>
    <d v="2021-05-14T00:00:00"/>
    <x v="4"/>
    <n v="97"/>
    <x v="27"/>
    <x v="9"/>
    <x v="15"/>
    <n v="99"/>
    <n v="2970"/>
    <n v="0"/>
    <n v="2970"/>
    <n v="0"/>
    <d v="2021-05-20T00:00:00"/>
    <d v="2021-05-20T00:00:00"/>
    <n v="926"/>
    <n v="4"/>
    <x v="0"/>
    <n v="0.1"/>
    <n v="297"/>
    <n v="2"/>
    <s v="Maio"/>
  </r>
  <r>
    <n v="927"/>
    <d v="2021-05-15T00:00:00"/>
    <x v="4"/>
    <n v="42"/>
    <x v="52"/>
    <x v="1"/>
    <x v="29"/>
    <n v="108"/>
    <n v="5184"/>
    <n v="0.09"/>
    <n v="4717.4399999999996"/>
    <n v="466.5600000000004"/>
    <d v="2021-06-12T00:00:00"/>
    <d v="2021-06-12T00:00:00"/>
    <n v="927"/>
    <n v="5"/>
    <x v="9"/>
    <n v="7.0000000000000007E-2"/>
    <n v="330.2208"/>
    <n v="3"/>
    <s v="Maio"/>
  </r>
  <r>
    <n v="928"/>
    <d v="2021-05-15T00:00:00"/>
    <x v="4"/>
    <n v="44"/>
    <x v="31"/>
    <x v="3"/>
    <x v="23"/>
    <n v="91"/>
    <n v="1729"/>
    <n v="0.04"/>
    <n v="1659.84"/>
    <n v="69.160000000000082"/>
    <d v="2021-06-05T00:00:00"/>
    <d v="2021-06-05T00:00:00"/>
    <n v="928"/>
    <n v="4"/>
    <x v="2"/>
    <n v="0.1"/>
    <n v="165.98400000000001"/>
    <n v="4"/>
    <s v="Maio"/>
  </r>
  <r>
    <n v="929"/>
    <d v="2021-05-16T00:00:00"/>
    <x v="4"/>
    <n v="85"/>
    <x v="19"/>
    <x v="3"/>
    <x v="12"/>
    <n v="94"/>
    <n v="1692"/>
    <n v="0.01"/>
    <n v="1675.08"/>
    <n v="16.920000000000073"/>
    <d v="2021-06-13T00:00:00"/>
    <d v="2021-06-13T00:00:00"/>
    <n v="929"/>
    <n v="7"/>
    <x v="5"/>
    <n v="0.08"/>
    <n v="134.00639999999999"/>
    <n v="5"/>
    <s v="Maio"/>
  </r>
  <r>
    <n v="930"/>
    <d v="2021-05-16T00:00:00"/>
    <x v="4"/>
    <n v="62"/>
    <x v="8"/>
    <x v="4"/>
    <x v="35"/>
    <n v="95"/>
    <n v="4085"/>
    <n v="0.02"/>
    <n v="4003.3"/>
    <n v="81.699999999999818"/>
    <d v="2021-05-24T00:00:00"/>
    <d v="2021-05-24T00:00:00"/>
    <n v="930"/>
    <n v="2"/>
    <x v="1"/>
    <n v="0.06"/>
    <n v="240.19800000000001"/>
    <n v="6"/>
    <s v="Maio"/>
  </r>
  <r>
    <n v="931"/>
    <d v="2021-05-16T00:00:00"/>
    <x v="4"/>
    <n v="75"/>
    <x v="8"/>
    <x v="3"/>
    <x v="28"/>
    <n v="104"/>
    <n v="3952"/>
    <n v="0.14000000000000001"/>
    <n v="3398.72"/>
    <n v="553.2800000000002"/>
    <d v="2021-05-25T00:00:00"/>
    <d v="2021-05-25T00:00:00"/>
    <n v="931"/>
    <n v="1"/>
    <x v="2"/>
    <n v="0.06"/>
    <n v="203.92319999999998"/>
    <n v="7"/>
    <s v="Maio"/>
  </r>
  <r>
    <n v="932"/>
    <d v="2021-05-18T00:00:00"/>
    <x v="4"/>
    <n v="47"/>
    <x v="10"/>
    <x v="1"/>
    <x v="7"/>
    <n v="104"/>
    <n v="1040"/>
    <n v="0.14000000000000001"/>
    <n v="894.4"/>
    <n v="145.60000000000002"/>
    <d v="2021-06-03T00:00:00"/>
    <d v="2021-06-03T00:00:00"/>
    <n v="932"/>
    <n v="2"/>
    <x v="4"/>
    <n v="0.06"/>
    <n v="53.663999999999994"/>
    <n v="1"/>
    <s v="Maio"/>
  </r>
  <r>
    <n v="933"/>
    <d v="2021-05-19T00:00:00"/>
    <x v="4"/>
    <n v="24"/>
    <x v="34"/>
    <x v="4"/>
    <x v="20"/>
    <n v="90"/>
    <n v="2070"/>
    <n v="0.15"/>
    <n v="1759.5"/>
    <n v="310.5"/>
    <d v="2021-05-29T00:00:00"/>
    <d v="2021-05-29T00:00:00"/>
    <n v="933"/>
    <n v="2"/>
    <x v="8"/>
    <n v="0.08"/>
    <n v="140.76"/>
    <n v="2"/>
    <s v="Maio"/>
  </r>
  <r>
    <n v="934"/>
    <d v="2021-05-19T00:00:00"/>
    <x v="4"/>
    <n v="38"/>
    <x v="33"/>
    <x v="1"/>
    <x v="0"/>
    <n v="91"/>
    <n v="3367"/>
    <n v="7.0000000000000007E-2"/>
    <n v="3131.31"/>
    <n v="235.69000000000005"/>
    <d v="2021-05-21T00:00:00"/>
    <d v="2021-05-21T00:00:00"/>
    <n v="934"/>
    <n v="7"/>
    <x v="9"/>
    <n v="7.0000000000000007E-2"/>
    <n v="219.19170000000003"/>
    <n v="3"/>
    <s v="Maio"/>
  </r>
  <r>
    <n v="935"/>
    <d v="2021-05-20T00:00:00"/>
    <x v="4"/>
    <n v="91"/>
    <x v="23"/>
    <x v="6"/>
    <x v="33"/>
    <n v="91"/>
    <n v="1365"/>
    <n v="0"/>
    <n v="1365"/>
    <n v="0"/>
    <d v="2021-05-30T00:00:00"/>
    <d v="2021-05-30T00:00:00"/>
    <n v="935"/>
    <n v="1"/>
    <x v="6"/>
    <n v="0.06"/>
    <n v="81.899999999999991"/>
    <n v="4"/>
    <s v="Maio"/>
  </r>
  <r>
    <n v="936"/>
    <d v="2021-05-21T00:00:00"/>
    <x v="4"/>
    <n v="77"/>
    <x v="26"/>
    <x v="5"/>
    <x v="23"/>
    <n v="119"/>
    <n v="2261"/>
    <n v="0.14000000000000001"/>
    <n v="1944.46"/>
    <n v="316.53999999999996"/>
    <d v="2021-06-03T00:00:00"/>
    <d v="2021-06-03T00:00:00"/>
    <n v="936"/>
    <n v="2"/>
    <x v="6"/>
    <n v="0.08"/>
    <n v="155.55680000000001"/>
    <n v="5"/>
    <s v="Maio"/>
  </r>
  <r>
    <n v="937"/>
    <d v="2021-05-21T00:00:00"/>
    <x v="4"/>
    <n v="18"/>
    <x v="43"/>
    <x v="5"/>
    <x v="20"/>
    <n v="102"/>
    <n v="2346"/>
    <n v="0.08"/>
    <n v="2158.3200000000002"/>
    <n v="187.67999999999984"/>
    <d v="2021-06-08T00:00:00"/>
    <d v="2021-06-08T00:00:00"/>
    <n v="937"/>
    <n v="5"/>
    <x v="9"/>
    <n v="0.1"/>
    <n v="215.83200000000002"/>
    <n v="6"/>
    <s v="Maio"/>
  </r>
  <r>
    <n v="938"/>
    <d v="2021-05-21T00:00:00"/>
    <x v="4"/>
    <n v="81"/>
    <x v="63"/>
    <x v="3"/>
    <x v="29"/>
    <n v="113"/>
    <n v="5424"/>
    <n v="7.0000000000000007E-2"/>
    <n v="5044.32"/>
    <n v="379.68000000000029"/>
    <d v="2021-05-21T00:00:00"/>
    <d v="2021-05-21T00:00:00"/>
    <n v="938"/>
    <n v="6"/>
    <x v="6"/>
    <n v="0.06"/>
    <n v="302.6592"/>
    <n v="7"/>
    <s v="Maio"/>
  </r>
  <r>
    <n v="939"/>
    <d v="2021-05-22T00:00:00"/>
    <x v="4"/>
    <n v="27"/>
    <x v="61"/>
    <x v="2"/>
    <x v="39"/>
    <n v="102"/>
    <n v="3672"/>
    <n v="0.11"/>
    <n v="3268.08"/>
    <n v="403.92000000000007"/>
    <d v="2021-06-04T00:00:00"/>
    <d v="2021-06-04T00:00:00"/>
    <n v="939"/>
    <n v="7"/>
    <x v="7"/>
    <n v="0.08"/>
    <n v="261.44639999999998"/>
    <n v="1"/>
    <s v="Maio"/>
  </r>
  <r>
    <n v="940"/>
    <d v="2021-05-22T00:00:00"/>
    <x v="4"/>
    <n v="3"/>
    <x v="51"/>
    <x v="8"/>
    <x v="18"/>
    <n v="111"/>
    <n v="5439"/>
    <n v="0.09"/>
    <n v="4949.49"/>
    <n v="489.51000000000022"/>
    <d v="2021-06-01T00:00:00"/>
    <d v="2021-06-01T00:00:00"/>
    <n v="940"/>
    <n v="5"/>
    <x v="0"/>
    <n v="0.08"/>
    <n v="395.95920000000001"/>
    <n v="2"/>
    <s v="Maio"/>
  </r>
  <r>
    <n v="941"/>
    <d v="2021-05-22T00:00:00"/>
    <x v="4"/>
    <n v="22"/>
    <x v="16"/>
    <x v="6"/>
    <x v="30"/>
    <n v="91"/>
    <n v="3003"/>
    <n v="7.0000000000000007E-2"/>
    <n v="2792.79"/>
    <n v="210.21000000000004"/>
    <d v="2021-06-19T00:00:00"/>
    <d v="2021-06-19T00:00:00"/>
    <n v="941"/>
    <n v="3"/>
    <x v="4"/>
    <n v="0.1"/>
    <n v="279.279"/>
    <n v="3"/>
    <s v="Maio"/>
  </r>
  <r>
    <n v="942"/>
    <d v="2021-05-23T00:00:00"/>
    <x v="4"/>
    <n v="55"/>
    <x v="12"/>
    <x v="6"/>
    <x v="5"/>
    <n v="111"/>
    <n v="1221"/>
    <n v="0.1"/>
    <n v="1098.9000000000001"/>
    <n v="122.09999999999991"/>
    <d v="2021-06-09T00:00:00"/>
    <d v="2021-06-09T00:00:00"/>
    <n v="942"/>
    <n v="6"/>
    <x v="4"/>
    <n v="0.05"/>
    <n v="54.945000000000007"/>
    <n v="4"/>
    <s v="Maio"/>
  </r>
  <r>
    <n v="943"/>
    <d v="2021-05-23T00:00:00"/>
    <x v="4"/>
    <n v="59"/>
    <x v="57"/>
    <x v="9"/>
    <x v="9"/>
    <n v="117"/>
    <n v="5265"/>
    <n v="0.02"/>
    <n v="5159.7"/>
    <n v="105.30000000000018"/>
    <d v="2021-05-27T00:00:00"/>
    <d v="2021-05-27T00:00:00"/>
    <n v="943"/>
    <n v="5"/>
    <x v="4"/>
    <n v="0.09"/>
    <n v="464.37299999999999"/>
    <n v="5"/>
    <s v="Maio"/>
  </r>
  <r>
    <n v="944"/>
    <d v="2021-05-23T00:00:00"/>
    <x v="4"/>
    <n v="10"/>
    <x v="49"/>
    <x v="6"/>
    <x v="32"/>
    <n v="117"/>
    <n v="4095"/>
    <n v="0.09"/>
    <n v="3726.45"/>
    <n v="368.55000000000018"/>
    <d v="2021-06-06T00:00:00"/>
    <d v="2021-06-06T00:00:00"/>
    <n v="944"/>
    <n v="4"/>
    <x v="9"/>
    <n v="0.05"/>
    <n v="186.32249999999999"/>
    <n v="6"/>
    <s v="Maio"/>
  </r>
  <r>
    <n v="945"/>
    <d v="2021-05-23T00:00:00"/>
    <x v="4"/>
    <n v="98"/>
    <x v="2"/>
    <x v="8"/>
    <x v="10"/>
    <n v="120"/>
    <n v="1680"/>
    <n v="0.1"/>
    <n v="1512"/>
    <n v="168"/>
    <d v="2021-06-05T00:00:00"/>
    <d v="2021-06-05T00:00:00"/>
    <n v="945"/>
    <n v="7"/>
    <x v="8"/>
    <n v="0.09"/>
    <n v="136.07999999999998"/>
    <n v="7"/>
    <s v="Maio"/>
  </r>
  <r>
    <n v="946"/>
    <d v="2021-05-23T00:00:00"/>
    <x v="4"/>
    <n v="60"/>
    <x v="42"/>
    <x v="5"/>
    <x v="31"/>
    <n v="112"/>
    <n v="2912"/>
    <n v="0"/>
    <n v="2912"/>
    <n v="0"/>
    <d v="2021-06-02T00:00:00"/>
    <d v="2021-06-02T00:00:00"/>
    <n v="946"/>
    <n v="6"/>
    <x v="0"/>
    <n v="0.09"/>
    <n v="262.08"/>
    <n v="1"/>
    <s v="Maio"/>
  </r>
  <r>
    <n v="947"/>
    <d v="2021-05-24T00:00:00"/>
    <x v="4"/>
    <n v="48"/>
    <x v="22"/>
    <x v="8"/>
    <x v="6"/>
    <n v="116"/>
    <n v="2320"/>
    <n v="0.04"/>
    <n v="2227.1999999999998"/>
    <n v="92.800000000000182"/>
    <d v="2021-06-12T00:00:00"/>
    <d v="2021-06-12T00:00:00"/>
    <n v="947"/>
    <n v="1"/>
    <x v="0"/>
    <n v="0.1"/>
    <n v="222.72"/>
    <n v="2"/>
    <s v="Maio"/>
  </r>
  <r>
    <n v="948"/>
    <d v="2021-05-24T00:00:00"/>
    <x v="4"/>
    <n v="62"/>
    <x v="8"/>
    <x v="0"/>
    <x v="0"/>
    <n v="102"/>
    <n v="3774"/>
    <n v="0.13"/>
    <n v="3283.38"/>
    <n v="490.61999999999989"/>
    <d v="2021-06-15T00:00:00"/>
    <d v="2021-06-15T00:00:00"/>
    <n v="948"/>
    <n v="3"/>
    <x v="4"/>
    <n v="0.06"/>
    <n v="197.00280000000001"/>
    <n v="3"/>
    <s v="Maio"/>
  </r>
  <r>
    <n v="949"/>
    <d v="2021-05-25T00:00:00"/>
    <x v="4"/>
    <n v="84"/>
    <x v="12"/>
    <x v="2"/>
    <x v="17"/>
    <n v="95"/>
    <n v="3705"/>
    <n v="7.0000000000000007E-2"/>
    <n v="3445.65"/>
    <n v="259.34999999999991"/>
    <d v="2021-06-23T00:00:00"/>
    <d v="2021-06-23T00:00:00"/>
    <n v="949"/>
    <n v="2"/>
    <x v="5"/>
    <n v="0.1"/>
    <n v="344.56500000000005"/>
    <n v="4"/>
    <s v="Maio"/>
  </r>
  <r>
    <n v="950"/>
    <d v="2021-05-25T00:00:00"/>
    <x v="4"/>
    <n v="13"/>
    <x v="35"/>
    <x v="9"/>
    <x v="31"/>
    <n v="116"/>
    <n v="3016"/>
    <n v="0.14000000000000001"/>
    <n v="2593.7599999999998"/>
    <n v="422.24000000000024"/>
    <d v="2021-06-18T00:00:00"/>
    <d v="2021-06-18T00:00:00"/>
    <n v="950"/>
    <n v="1"/>
    <x v="3"/>
    <n v="0.09"/>
    <n v="233.43839999999997"/>
    <n v="5"/>
    <s v="Maio"/>
  </r>
  <r>
    <n v="951"/>
    <d v="2021-05-26T00:00:00"/>
    <x v="4"/>
    <n v="42"/>
    <x v="52"/>
    <x v="3"/>
    <x v="40"/>
    <n v="94"/>
    <n v="1128"/>
    <n v="0.06"/>
    <n v="1060.32"/>
    <n v="67.680000000000064"/>
    <d v="2021-06-23T00:00:00"/>
    <d v="2021-06-23T00:00:00"/>
    <n v="951"/>
    <n v="7"/>
    <x v="3"/>
    <n v="0.06"/>
    <n v="63.619199999999992"/>
    <n v="6"/>
    <s v="Maio"/>
  </r>
  <r>
    <n v="952"/>
    <d v="2021-05-26T00:00:00"/>
    <x v="4"/>
    <n v="60"/>
    <x v="42"/>
    <x v="9"/>
    <x v="36"/>
    <n v="99"/>
    <n v="4158"/>
    <n v="0.01"/>
    <n v="4116.42"/>
    <n v="41.579999999999927"/>
    <d v="2021-06-22T00:00:00"/>
    <d v="2021-06-22T00:00:00"/>
    <n v="952"/>
    <n v="1"/>
    <x v="0"/>
    <n v="7.0000000000000007E-2"/>
    <n v="288.14940000000001"/>
    <n v="7"/>
    <s v="Maio"/>
  </r>
  <r>
    <n v="953"/>
    <d v="2021-05-27T00:00:00"/>
    <x v="4"/>
    <n v="98"/>
    <x v="2"/>
    <x v="6"/>
    <x v="36"/>
    <n v="98"/>
    <n v="4116"/>
    <n v="0.02"/>
    <n v="4033.68"/>
    <n v="82.320000000000164"/>
    <d v="2021-06-17T00:00:00"/>
    <d v="2021-06-17T00:00:00"/>
    <n v="953"/>
    <n v="4"/>
    <x v="4"/>
    <n v="0.1"/>
    <n v="403.36799999999999"/>
    <n v="1"/>
    <s v="Maio"/>
  </r>
  <r>
    <n v="954"/>
    <d v="2021-05-27T00:00:00"/>
    <x v="4"/>
    <n v="74"/>
    <x v="8"/>
    <x v="7"/>
    <x v="14"/>
    <n v="96"/>
    <n v="2400"/>
    <n v="0.15"/>
    <n v="2040"/>
    <n v="360"/>
    <d v="2021-06-19T00:00:00"/>
    <d v="2021-06-19T00:00:00"/>
    <n v="954"/>
    <n v="2"/>
    <x v="2"/>
    <n v="0.05"/>
    <n v="102"/>
    <n v="2"/>
    <s v="Maio"/>
  </r>
  <r>
    <n v="955"/>
    <d v="2021-05-27T00:00:00"/>
    <x v="4"/>
    <n v="90"/>
    <x v="21"/>
    <x v="5"/>
    <x v="24"/>
    <n v="109"/>
    <n v="5450"/>
    <n v="0.04"/>
    <n v="5232"/>
    <n v="218"/>
    <d v="2021-06-26T00:00:00"/>
    <d v="2021-06-26T00:00:00"/>
    <n v="955"/>
    <n v="1"/>
    <x v="3"/>
    <n v="0.08"/>
    <n v="418.56"/>
    <n v="3"/>
    <s v="Maio"/>
  </r>
  <r>
    <n v="956"/>
    <d v="2021-05-27T00:00:00"/>
    <x v="4"/>
    <n v="91"/>
    <x v="23"/>
    <x v="1"/>
    <x v="35"/>
    <n v="111"/>
    <n v="4773"/>
    <n v="0.14000000000000001"/>
    <n v="4104.78"/>
    <n v="668.22000000000025"/>
    <d v="2021-06-11T00:00:00"/>
    <d v="2021-06-11T00:00:00"/>
    <n v="956"/>
    <n v="2"/>
    <x v="8"/>
    <n v="0.1"/>
    <n v="410.47800000000001"/>
    <n v="4"/>
    <s v="Maio"/>
  </r>
  <r>
    <n v="957"/>
    <d v="2021-05-27T00:00:00"/>
    <x v="4"/>
    <n v="49"/>
    <x v="8"/>
    <x v="5"/>
    <x v="27"/>
    <n v="112"/>
    <n v="5152"/>
    <n v="0.14000000000000001"/>
    <n v="4430.72"/>
    <n v="721.27999999999975"/>
    <d v="2021-05-27T00:00:00"/>
    <d v="2021-05-27T00:00:00"/>
    <n v="957"/>
    <n v="1"/>
    <x v="6"/>
    <n v="0.06"/>
    <n v="265.84320000000002"/>
    <n v="5"/>
    <s v="Maio"/>
  </r>
  <r>
    <n v="958"/>
    <d v="2021-05-27T00:00:00"/>
    <x v="4"/>
    <n v="87"/>
    <x v="10"/>
    <x v="2"/>
    <x v="39"/>
    <n v="104"/>
    <n v="3744"/>
    <n v="0.1"/>
    <n v="3369.6"/>
    <n v="374.40000000000009"/>
    <d v="2021-06-17T00:00:00"/>
    <d v="2021-06-17T00:00:00"/>
    <n v="958"/>
    <n v="4"/>
    <x v="5"/>
    <n v="0.08"/>
    <n v="269.56799999999998"/>
    <n v="6"/>
    <s v="Maio"/>
  </r>
  <r>
    <n v="959"/>
    <d v="2021-05-29T00:00:00"/>
    <x v="4"/>
    <n v="23"/>
    <x v="65"/>
    <x v="5"/>
    <x v="24"/>
    <n v="97"/>
    <n v="4850"/>
    <n v="0.03"/>
    <n v="4704.5"/>
    <n v="145.5"/>
    <d v="2021-06-04T00:00:00"/>
    <d v="2021-06-04T00:00:00"/>
    <n v="959"/>
    <n v="6"/>
    <x v="6"/>
    <n v="0.05"/>
    <n v="235.22500000000002"/>
    <n v="7"/>
    <s v="Maio"/>
  </r>
  <r>
    <n v="960"/>
    <d v="2021-05-31T00:00:00"/>
    <x v="4"/>
    <n v="8"/>
    <x v="8"/>
    <x v="0"/>
    <x v="20"/>
    <n v="111"/>
    <n v="2553"/>
    <n v="0.1"/>
    <n v="2297.6999999999998"/>
    <n v="255.30000000000018"/>
    <d v="2021-06-25T00:00:00"/>
    <d v="2021-06-25T00:00:00"/>
    <n v="960"/>
    <n v="2"/>
    <x v="2"/>
    <n v="0.06"/>
    <n v="137.86199999999999"/>
    <n v="1"/>
    <s v="Maio"/>
  </r>
  <r>
    <n v="961"/>
    <d v="2021-06-02T00:00:00"/>
    <x v="5"/>
    <n v="26"/>
    <x v="55"/>
    <x v="9"/>
    <x v="37"/>
    <n v="100"/>
    <n v="3200"/>
    <n v="0"/>
    <n v="3200"/>
    <n v="0"/>
    <d v="2021-06-17T00:00:00"/>
    <d v="2021-06-17T00:00:00"/>
    <n v="961"/>
    <n v="3"/>
    <x v="8"/>
    <n v="0.06"/>
    <n v="192"/>
    <n v="2"/>
    <s v="Junho"/>
  </r>
  <r>
    <n v="962"/>
    <d v="2021-06-02T00:00:00"/>
    <x v="5"/>
    <n v="41"/>
    <x v="29"/>
    <x v="8"/>
    <x v="13"/>
    <n v="111"/>
    <n v="3441"/>
    <n v="0.09"/>
    <n v="3131.31"/>
    <n v="309.69000000000005"/>
    <d v="2021-07-01T00:00:00"/>
    <d v="2021-07-01T00:00:00"/>
    <n v="962"/>
    <n v="2"/>
    <x v="6"/>
    <n v="0.05"/>
    <n v="156.56550000000001"/>
    <n v="3"/>
    <s v="Junho"/>
  </r>
  <r>
    <n v="963"/>
    <d v="2021-06-03T00:00:00"/>
    <x v="5"/>
    <n v="43"/>
    <x v="59"/>
    <x v="4"/>
    <x v="36"/>
    <n v="91"/>
    <n v="3822"/>
    <n v="7.0000000000000007E-2"/>
    <n v="3554.46"/>
    <n v="267.53999999999996"/>
    <d v="2021-06-29T00:00:00"/>
    <d v="2021-06-29T00:00:00"/>
    <n v="963"/>
    <n v="1"/>
    <x v="6"/>
    <n v="0.1"/>
    <n v="355.44600000000003"/>
    <n v="4"/>
    <s v="Junho"/>
  </r>
  <r>
    <n v="964"/>
    <d v="2021-06-03T00:00:00"/>
    <x v="5"/>
    <n v="25"/>
    <x v="24"/>
    <x v="4"/>
    <x v="6"/>
    <n v="94"/>
    <n v="1880"/>
    <n v="0.08"/>
    <n v="1729.6"/>
    <n v="150.40000000000009"/>
    <d v="2021-06-21T00:00:00"/>
    <d v="2021-06-21T00:00:00"/>
    <n v="964"/>
    <n v="1"/>
    <x v="4"/>
    <n v="0.08"/>
    <n v="138.36799999999999"/>
    <n v="5"/>
    <s v="Junho"/>
  </r>
  <r>
    <n v="965"/>
    <d v="2021-06-04T00:00:00"/>
    <x v="5"/>
    <n v="67"/>
    <x v="66"/>
    <x v="3"/>
    <x v="16"/>
    <n v="114"/>
    <n v="2394"/>
    <n v="0.09"/>
    <n v="2178.54"/>
    <n v="215.46000000000004"/>
    <d v="2021-06-15T00:00:00"/>
    <d v="2021-06-15T00:00:00"/>
    <n v="965"/>
    <n v="6"/>
    <x v="0"/>
    <n v="0.1"/>
    <n v="217.85400000000001"/>
    <n v="6"/>
    <s v="Junho"/>
  </r>
  <r>
    <n v="966"/>
    <d v="2021-06-05T00:00:00"/>
    <x v="5"/>
    <n v="3"/>
    <x v="51"/>
    <x v="9"/>
    <x v="32"/>
    <n v="114"/>
    <n v="3990"/>
    <n v="0.02"/>
    <n v="3910.2"/>
    <n v="79.800000000000182"/>
    <d v="2021-06-17T00:00:00"/>
    <d v="2021-06-17T00:00:00"/>
    <n v="966"/>
    <n v="6"/>
    <x v="0"/>
    <n v="0.05"/>
    <n v="195.51"/>
    <n v="7"/>
    <s v="Junho"/>
  </r>
  <r>
    <n v="967"/>
    <d v="2021-06-05T00:00:00"/>
    <x v="5"/>
    <n v="57"/>
    <x v="49"/>
    <x v="8"/>
    <x v="10"/>
    <n v="91"/>
    <n v="1274"/>
    <n v="0.15"/>
    <n v="1082.9000000000001"/>
    <n v="191.09999999999991"/>
    <d v="2021-07-01T00:00:00"/>
    <d v="2021-07-01T00:00:00"/>
    <n v="967"/>
    <n v="1"/>
    <x v="2"/>
    <n v="0.08"/>
    <n v="86.632000000000005"/>
    <n v="1"/>
    <s v="Junho"/>
  </r>
  <r>
    <n v="968"/>
    <d v="2021-06-05T00:00:00"/>
    <x v="5"/>
    <n v="19"/>
    <x v="8"/>
    <x v="2"/>
    <x v="38"/>
    <n v="105"/>
    <n v="4200"/>
    <n v="7.0000000000000007E-2"/>
    <n v="3906"/>
    <n v="294"/>
    <d v="2021-06-23T00:00:00"/>
    <d v="2021-06-23T00:00:00"/>
    <n v="968"/>
    <n v="4"/>
    <x v="3"/>
    <n v="0.05"/>
    <n v="195.3"/>
    <n v="2"/>
    <s v="Junho"/>
  </r>
  <r>
    <n v="969"/>
    <d v="2021-06-05T00:00:00"/>
    <x v="5"/>
    <n v="51"/>
    <x v="17"/>
    <x v="7"/>
    <x v="24"/>
    <n v="102"/>
    <n v="5100"/>
    <n v="0.14000000000000001"/>
    <n v="4386"/>
    <n v="714"/>
    <d v="2021-06-18T00:00:00"/>
    <d v="2021-06-18T00:00:00"/>
    <n v="969"/>
    <n v="7"/>
    <x v="5"/>
    <n v="0.06"/>
    <n v="263.15999999999997"/>
    <n v="3"/>
    <s v="Junho"/>
  </r>
  <r>
    <n v="970"/>
    <d v="2021-06-06T00:00:00"/>
    <x v="5"/>
    <n v="1"/>
    <x v="53"/>
    <x v="3"/>
    <x v="37"/>
    <n v="114"/>
    <n v="3648"/>
    <n v="0.06"/>
    <n v="3429.12"/>
    <n v="218.88000000000011"/>
    <d v="2021-06-07T00:00:00"/>
    <d v="2021-06-07T00:00:00"/>
    <n v="970"/>
    <n v="4"/>
    <x v="7"/>
    <n v="0.05"/>
    <n v="171.45600000000002"/>
    <n v="4"/>
    <s v="Junho"/>
  </r>
  <r>
    <n v="971"/>
    <d v="2021-06-07T00:00:00"/>
    <x v="5"/>
    <n v="19"/>
    <x v="8"/>
    <x v="3"/>
    <x v="29"/>
    <n v="107"/>
    <n v="5136"/>
    <n v="0.04"/>
    <n v="4930.5600000000004"/>
    <n v="205.4399999999996"/>
    <d v="2021-06-30T00:00:00"/>
    <d v="2021-06-30T00:00:00"/>
    <n v="971"/>
    <n v="7"/>
    <x v="3"/>
    <n v="0.08"/>
    <n v="394.44480000000004"/>
    <n v="5"/>
    <s v="Junho"/>
  </r>
  <r>
    <n v="972"/>
    <d v="2021-06-07T00:00:00"/>
    <x v="5"/>
    <n v="33"/>
    <x v="36"/>
    <x v="5"/>
    <x v="20"/>
    <n v="116"/>
    <n v="2668"/>
    <n v="0.08"/>
    <n v="2454.56"/>
    <n v="213.44000000000005"/>
    <d v="2021-07-02T00:00:00"/>
    <d v="2021-07-02T00:00:00"/>
    <n v="972"/>
    <n v="6"/>
    <x v="1"/>
    <n v="0.08"/>
    <n v="196.3648"/>
    <n v="6"/>
    <s v="Junho"/>
  </r>
  <r>
    <n v="973"/>
    <d v="2021-06-07T00:00:00"/>
    <x v="5"/>
    <n v="22"/>
    <x v="16"/>
    <x v="3"/>
    <x v="30"/>
    <n v="103"/>
    <n v="3399"/>
    <n v="0.08"/>
    <n v="3127.08"/>
    <n v="271.92000000000007"/>
    <d v="2021-06-26T00:00:00"/>
    <d v="2021-06-26T00:00:00"/>
    <n v="973"/>
    <n v="7"/>
    <x v="4"/>
    <n v="0.1"/>
    <n v="312.70800000000003"/>
    <n v="7"/>
    <s v="Junho"/>
  </r>
  <r>
    <n v="974"/>
    <d v="2021-06-07T00:00:00"/>
    <x v="5"/>
    <n v="84"/>
    <x v="12"/>
    <x v="5"/>
    <x v="33"/>
    <n v="120"/>
    <n v="1800"/>
    <n v="0.08"/>
    <n v="1656"/>
    <n v="144"/>
    <d v="2021-06-18T00:00:00"/>
    <d v="2021-06-18T00:00:00"/>
    <n v="974"/>
    <n v="3"/>
    <x v="0"/>
    <n v="0.08"/>
    <n v="132.47999999999999"/>
    <n v="1"/>
    <s v="Junho"/>
  </r>
  <r>
    <n v="975"/>
    <d v="2021-06-07T00:00:00"/>
    <x v="5"/>
    <n v="89"/>
    <x v="15"/>
    <x v="2"/>
    <x v="2"/>
    <n v="101"/>
    <n v="3434"/>
    <n v="0.11"/>
    <n v="3056.26"/>
    <n v="377.73999999999978"/>
    <d v="2021-06-25T00:00:00"/>
    <d v="2021-06-25T00:00:00"/>
    <n v="975"/>
    <n v="1"/>
    <x v="9"/>
    <n v="0.09"/>
    <n v="275.0634"/>
    <n v="2"/>
    <s v="Junho"/>
  </r>
  <r>
    <n v="976"/>
    <d v="2021-06-07T00:00:00"/>
    <x v="5"/>
    <n v="43"/>
    <x v="59"/>
    <x v="8"/>
    <x v="32"/>
    <n v="91"/>
    <n v="3185"/>
    <n v="0.02"/>
    <n v="3121.3"/>
    <n v="63.699999999999818"/>
    <d v="2021-07-03T00:00:00"/>
    <d v="2021-07-03T00:00:00"/>
    <n v="976"/>
    <n v="3"/>
    <x v="3"/>
    <n v="7.0000000000000007E-2"/>
    <n v="218.49100000000004"/>
    <n v="3"/>
    <s v="Junho"/>
  </r>
  <r>
    <n v="977"/>
    <d v="2021-06-08T00:00:00"/>
    <x v="5"/>
    <n v="26"/>
    <x v="55"/>
    <x v="2"/>
    <x v="20"/>
    <n v="114"/>
    <n v="2622"/>
    <n v="0.11"/>
    <n v="2333.58"/>
    <n v="288.42000000000007"/>
    <d v="2021-06-10T00:00:00"/>
    <d v="2021-06-10T00:00:00"/>
    <n v="977"/>
    <n v="2"/>
    <x v="9"/>
    <n v="0.06"/>
    <n v="140.01479999999998"/>
    <n v="4"/>
    <s v="Junho"/>
  </r>
  <r>
    <n v="978"/>
    <d v="2021-06-08T00:00:00"/>
    <x v="5"/>
    <n v="71"/>
    <x v="0"/>
    <x v="5"/>
    <x v="19"/>
    <n v="106"/>
    <n v="3074"/>
    <n v="0.11"/>
    <n v="2735.86"/>
    <n v="338.13999999999987"/>
    <d v="2021-06-08T00:00:00"/>
    <d v="2021-06-08T00:00:00"/>
    <n v="978"/>
    <n v="5"/>
    <x v="1"/>
    <n v="7.0000000000000007E-2"/>
    <n v="191.51020000000003"/>
    <n v="5"/>
    <s v="Junho"/>
  </r>
  <r>
    <n v="979"/>
    <d v="2021-06-08T00:00:00"/>
    <x v="5"/>
    <n v="76"/>
    <x v="64"/>
    <x v="6"/>
    <x v="19"/>
    <n v="117"/>
    <n v="3393"/>
    <n v="0.03"/>
    <n v="3291.21"/>
    <n v="101.78999999999996"/>
    <d v="2021-06-08T00:00:00"/>
    <d v="2021-06-08T00:00:00"/>
    <n v="979"/>
    <n v="4"/>
    <x v="5"/>
    <n v="0.05"/>
    <n v="164.56050000000002"/>
    <n v="6"/>
    <s v="Junho"/>
  </r>
  <r>
    <n v="980"/>
    <d v="2021-06-09T00:00:00"/>
    <x v="5"/>
    <n v="58"/>
    <x v="32"/>
    <x v="5"/>
    <x v="6"/>
    <n v="96"/>
    <n v="1920"/>
    <n v="0.08"/>
    <n v="1766.4"/>
    <n v="153.59999999999991"/>
    <d v="2021-06-28T00:00:00"/>
    <d v="2021-06-28T00:00:00"/>
    <n v="980"/>
    <n v="7"/>
    <x v="4"/>
    <n v="0.08"/>
    <n v="141.31200000000001"/>
    <n v="7"/>
    <s v="Junho"/>
  </r>
  <r>
    <n v="981"/>
    <d v="2021-06-11T00:00:00"/>
    <x v="5"/>
    <n v="70"/>
    <x v="28"/>
    <x v="0"/>
    <x v="25"/>
    <n v="102"/>
    <n v="4182"/>
    <n v="0.15"/>
    <n v="3554.7"/>
    <n v="627.30000000000018"/>
    <d v="2021-06-19T00:00:00"/>
    <d v="2021-06-19T00:00:00"/>
    <n v="981"/>
    <n v="6"/>
    <x v="7"/>
    <n v="0.05"/>
    <n v="177.73500000000001"/>
    <n v="1"/>
    <s v="Junho"/>
  </r>
  <r>
    <n v="982"/>
    <d v="2021-06-11T00:00:00"/>
    <x v="5"/>
    <n v="34"/>
    <x v="20"/>
    <x v="9"/>
    <x v="28"/>
    <n v="97"/>
    <n v="3686"/>
    <n v="7.0000000000000007E-2"/>
    <n v="3427.98"/>
    <n v="258.02"/>
    <d v="2021-06-17T00:00:00"/>
    <d v="2021-06-17T00:00:00"/>
    <n v="982"/>
    <n v="1"/>
    <x v="5"/>
    <n v="7.0000000000000007E-2"/>
    <n v="239.95860000000002"/>
    <n v="2"/>
    <s v="Junho"/>
  </r>
  <r>
    <n v="983"/>
    <d v="2021-06-11T00:00:00"/>
    <x v="5"/>
    <n v="72"/>
    <x v="8"/>
    <x v="8"/>
    <x v="14"/>
    <n v="91"/>
    <n v="2275"/>
    <n v="7.0000000000000007E-2"/>
    <n v="2115.75"/>
    <n v="159.25"/>
    <d v="2021-06-26T00:00:00"/>
    <d v="2021-06-26T00:00:00"/>
    <n v="983"/>
    <n v="1"/>
    <x v="1"/>
    <n v="0.05"/>
    <n v="105.78750000000001"/>
    <n v="3"/>
    <s v="Junho"/>
  </r>
  <r>
    <n v="984"/>
    <d v="2021-06-11T00:00:00"/>
    <x v="5"/>
    <n v="74"/>
    <x v="8"/>
    <x v="3"/>
    <x v="34"/>
    <n v="115"/>
    <n v="1495"/>
    <n v="0.04"/>
    <n v="1435.2"/>
    <n v="59.799999999999955"/>
    <d v="2021-06-26T00:00:00"/>
    <d v="2021-06-26T00:00:00"/>
    <n v="984"/>
    <n v="4"/>
    <x v="8"/>
    <n v="0.05"/>
    <n v="71.760000000000005"/>
    <n v="4"/>
    <s v="Junho"/>
  </r>
  <r>
    <n v="985"/>
    <d v="2021-06-11T00:00:00"/>
    <x v="5"/>
    <n v="44"/>
    <x v="31"/>
    <x v="7"/>
    <x v="31"/>
    <n v="114"/>
    <n v="2964"/>
    <n v="0.09"/>
    <n v="2697.24"/>
    <n v="266.76000000000022"/>
    <d v="2021-06-19T00:00:00"/>
    <d v="2021-06-19T00:00:00"/>
    <n v="985"/>
    <n v="6"/>
    <x v="8"/>
    <n v="0.06"/>
    <n v="161.83439999999999"/>
    <n v="5"/>
    <s v="Junho"/>
  </r>
  <r>
    <n v="986"/>
    <d v="2021-06-11T00:00:00"/>
    <x v="5"/>
    <n v="47"/>
    <x v="10"/>
    <x v="1"/>
    <x v="37"/>
    <n v="98"/>
    <n v="3136"/>
    <n v="0.08"/>
    <n v="2885.12"/>
    <n v="250.88000000000011"/>
    <d v="2021-07-02T00:00:00"/>
    <d v="2021-07-02T00:00:00"/>
    <n v="986"/>
    <n v="3"/>
    <x v="2"/>
    <n v="7.0000000000000007E-2"/>
    <n v="201.95840000000001"/>
    <n v="6"/>
    <s v="Junho"/>
  </r>
  <r>
    <n v="987"/>
    <d v="2021-06-13T00:00:00"/>
    <x v="5"/>
    <n v="43"/>
    <x v="59"/>
    <x v="5"/>
    <x v="33"/>
    <n v="95"/>
    <n v="1425"/>
    <n v="0.11"/>
    <n v="1268.25"/>
    <n v="156.75"/>
    <d v="2021-07-10T00:00:00"/>
    <d v="2021-07-10T00:00:00"/>
    <n v="987"/>
    <n v="2"/>
    <x v="1"/>
    <n v="0.09"/>
    <n v="114.1425"/>
    <n v="7"/>
    <s v="Junho"/>
  </r>
  <r>
    <n v="988"/>
    <d v="2021-06-13T00:00:00"/>
    <x v="5"/>
    <n v="73"/>
    <x v="8"/>
    <x v="6"/>
    <x v="15"/>
    <n v="97"/>
    <n v="2910"/>
    <n v="0.09"/>
    <n v="2648.1"/>
    <n v="261.90000000000009"/>
    <d v="2021-07-08T00:00:00"/>
    <d v="2021-07-08T00:00:00"/>
    <n v="988"/>
    <n v="3"/>
    <x v="0"/>
    <n v="0.1"/>
    <n v="264.81"/>
    <n v="1"/>
    <s v="Junho"/>
  </r>
  <r>
    <n v="989"/>
    <d v="2021-06-14T00:00:00"/>
    <x v="5"/>
    <n v="93"/>
    <x v="5"/>
    <x v="1"/>
    <x v="40"/>
    <n v="96"/>
    <n v="1152"/>
    <n v="0.03"/>
    <n v="1117.44"/>
    <n v="34.559999999999945"/>
    <d v="2021-06-29T00:00:00"/>
    <d v="2021-06-29T00:00:00"/>
    <n v="989"/>
    <n v="2"/>
    <x v="5"/>
    <n v="0.06"/>
    <n v="67.046400000000006"/>
    <n v="2"/>
    <s v="Junho"/>
  </r>
  <r>
    <n v="990"/>
    <d v="2021-06-14T00:00:00"/>
    <x v="5"/>
    <n v="6"/>
    <x v="48"/>
    <x v="5"/>
    <x v="39"/>
    <n v="92"/>
    <n v="3312"/>
    <n v="0.15"/>
    <n v="2815.2"/>
    <n v="496.80000000000018"/>
    <d v="2021-07-13T00:00:00"/>
    <d v="2021-07-13T00:00:00"/>
    <n v="990"/>
    <n v="7"/>
    <x v="5"/>
    <n v="0.09"/>
    <n v="253.36799999999997"/>
    <n v="3"/>
    <s v="Junho"/>
  </r>
  <r>
    <n v="991"/>
    <d v="2021-06-15T00:00:00"/>
    <x v="5"/>
    <n v="11"/>
    <x v="21"/>
    <x v="3"/>
    <x v="24"/>
    <n v="118"/>
    <n v="5900"/>
    <n v="0.13"/>
    <n v="5133"/>
    <n v="767"/>
    <d v="2021-06-19T00:00:00"/>
    <d v="2021-06-19T00:00:00"/>
    <n v="991"/>
    <n v="1"/>
    <x v="5"/>
    <n v="0.09"/>
    <n v="461.96999999999997"/>
    <n v="4"/>
    <s v="Junho"/>
  </r>
  <r>
    <n v="992"/>
    <d v="2021-06-16T00:00:00"/>
    <x v="5"/>
    <n v="42"/>
    <x v="52"/>
    <x v="1"/>
    <x v="40"/>
    <n v="111"/>
    <n v="1332"/>
    <n v="0.11"/>
    <n v="1185.48"/>
    <n v="146.51999999999998"/>
    <d v="2021-06-19T00:00:00"/>
    <d v="2021-06-19T00:00:00"/>
    <n v="992"/>
    <n v="7"/>
    <x v="4"/>
    <n v="0.09"/>
    <n v="106.6932"/>
    <n v="5"/>
    <s v="Junho"/>
  </r>
  <r>
    <n v="993"/>
    <d v="2021-06-17T00:00:00"/>
    <x v="5"/>
    <n v="60"/>
    <x v="42"/>
    <x v="6"/>
    <x v="4"/>
    <n v="107"/>
    <n v="2568"/>
    <n v="0.05"/>
    <n v="2439.6"/>
    <n v="128.40000000000009"/>
    <d v="2021-06-18T00:00:00"/>
    <d v="2021-06-18T00:00:00"/>
    <n v="993"/>
    <n v="7"/>
    <x v="9"/>
    <n v="0.06"/>
    <n v="146.37599999999998"/>
    <n v="6"/>
    <s v="Junho"/>
  </r>
  <r>
    <n v="994"/>
    <d v="2021-06-17T00:00:00"/>
    <x v="5"/>
    <n v="79"/>
    <x v="5"/>
    <x v="1"/>
    <x v="34"/>
    <n v="117"/>
    <n v="1521"/>
    <n v="7.0000000000000007E-2"/>
    <n v="1414.53"/>
    <n v="106.47000000000003"/>
    <d v="2021-07-05T00:00:00"/>
    <d v="2021-07-05T00:00:00"/>
    <n v="994"/>
    <n v="5"/>
    <x v="7"/>
    <n v="0.08"/>
    <n v="113.16240000000001"/>
    <n v="7"/>
    <s v="Junho"/>
  </r>
  <r>
    <n v="995"/>
    <d v="2021-06-17T00:00:00"/>
    <x v="5"/>
    <n v="21"/>
    <x v="47"/>
    <x v="3"/>
    <x v="10"/>
    <n v="119"/>
    <n v="1666"/>
    <n v="0.13"/>
    <n v="1449.42"/>
    <n v="216.57999999999993"/>
    <d v="2021-06-27T00:00:00"/>
    <d v="2021-06-27T00:00:00"/>
    <n v="995"/>
    <n v="5"/>
    <x v="5"/>
    <n v="0.06"/>
    <n v="86.965199999999996"/>
    <n v="1"/>
    <s v="Junho"/>
  </r>
  <r>
    <n v="996"/>
    <d v="2021-06-17T00:00:00"/>
    <x v="5"/>
    <n v="77"/>
    <x v="26"/>
    <x v="6"/>
    <x v="26"/>
    <n v="113"/>
    <n v="1808"/>
    <n v="0.03"/>
    <n v="1753.76"/>
    <n v="54.240000000000009"/>
    <d v="2021-06-17T00:00:00"/>
    <d v="2021-06-17T00:00:00"/>
    <n v="996"/>
    <n v="5"/>
    <x v="1"/>
    <n v="0.09"/>
    <n v="157.83840000000001"/>
    <n v="2"/>
    <s v="Junho"/>
  </r>
  <r>
    <n v="997"/>
    <d v="2021-06-18T00:00:00"/>
    <x v="5"/>
    <n v="28"/>
    <x v="46"/>
    <x v="1"/>
    <x v="30"/>
    <n v="97"/>
    <n v="3201"/>
    <n v="0.11"/>
    <n v="2848.89"/>
    <n v="352.11000000000013"/>
    <d v="2021-06-26T00:00:00"/>
    <d v="2021-06-26T00:00:00"/>
    <n v="997"/>
    <n v="3"/>
    <x v="7"/>
    <n v="7.0000000000000007E-2"/>
    <n v="199.42230000000001"/>
    <n v="3"/>
    <s v="Junho"/>
  </r>
  <r>
    <n v="998"/>
    <d v="2021-06-18T00:00:00"/>
    <x v="5"/>
    <n v="97"/>
    <x v="27"/>
    <x v="7"/>
    <x v="34"/>
    <n v="99"/>
    <n v="1287"/>
    <n v="0.06"/>
    <n v="1209.78"/>
    <n v="77.220000000000027"/>
    <d v="2021-07-05T00:00:00"/>
    <d v="2021-07-05T00:00:00"/>
    <n v="998"/>
    <n v="3"/>
    <x v="2"/>
    <n v="7.0000000000000007E-2"/>
    <n v="84.684600000000003"/>
    <n v="4"/>
    <s v="Junho"/>
  </r>
  <r>
    <n v="999"/>
    <d v="2021-06-18T00:00:00"/>
    <x v="5"/>
    <n v="8"/>
    <x v="8"/>
    <x v="5"/>
    <x v="16"/>
    <n v="93"/>
    <n v="1953"/>
    <n v="0.03"/>
    <n v="1894.41"/>
    <n v="58.589999999999918"/>
    <d v="2021-07-15T00:00:00"/>
    <d v="2021-07-15T00:00:00"/>
    <n v="999"/>
    <n v="5"/>
    <x v="9"/>
    <n v="7.0000000000000007E-2"/>
    <n v="132.60870000000003"/>
    <n v="5"/>
    <s v="Junho"/>
  </r>
  <r>
    <n v="1000"/>
    <d v="2021-06-19T00:00:00"/>
    <x v="5"/>
    <n v="1"/>
    <x v="53"/>
    <x v="1"/>
    <x v="25"/>
    <n v="92"/>
    <n v="3772"/>
    <n v="0.1"/>
    <n v="3394.8"/>
    <n v="377.19999999999982"/>
    <d v="2021-07-16T00:00:00"/>
    <d v="2021-07-16T00:00:00"/>
    <n v="1000"/>
    <n v="7"/>
    <x v="4"/>
    <n v="0.08"/>
    <n v="271.584"/>
    <n v="6"/>
    <s v="Junho"/>
  </r>
  <r>
    <n v="1001"/>
    <d v="2021-06-20T00:00:00"/>
    <x v="5"/>
    <n v="98"/>
    <x v="2"/>
    <x v="2"/>
    <x v="1"/>
    <n v="108"/>
    <n v="5076"/>
    <n v="0"/>
    <n v="5076"/>
    <n v="0"/>
    <d v="2021-07-20T00:00:00"/>
    <d v="2021-07-20T00:00:00"/>
    <n v="1001"/>
    <n v="2"/>
    <x v="3"/>
    <n v="0.05"/>
    <n v="253.8"/>
    <n v="7"/>
    <s v="Junho"/>
  </r>
  <r>
    <n v="1002"/>
    <d v="2021-06-22T00:00:00"/>
    <x v="5"/>
    <n v="28"/>
    <x v="46"/>
    <x v="5"/>
    <x v="11"/>
    <n v="105"/>
    <n v="2835"/>
    <n v="0.01"/>
    <n v="2806.65"/>
    <n v="28.349999999999909"/>
    <d v="2021-07-08T00:00:00"/>
    <d v="2021-07-08T00:00:00"/>
    <n v="1002"/>
    <n v="7"/>
    <x v="0"/>
    <n v="0.06"/>
    <n v="168.399"/>
    <n v="1"/>
    <s v="Junho"/>
  </r>
  <r>
    <n v="1003"/>
    <d v="2021-06-22T00:00:00"/>
    <x v="5"/>
    <n v="11"/>
    <x v="21"/>
    <x v="5"/>
    <x v="25"/>
    <n v="107"/>
    <n v="4387"/>
    <n v="0"/>
    <n v="4387"/>
    <n v="0"/>
    <d v="2021-07-06T00:00:00"/>
    <d v="2021-07-06T00:00:00"/>
    <n v="1003"/>
    <n v="4"/>
    <x v="0"/>
    <n v="0.09"/>
    <n v="394.83"/>
    <n v="2"/>
    <s v="Junho"/>
  </r>
  <r>
    <n v="1004"/>
    <d v="2021-06-23T00:00:00"/>
    <x v="5"/>
    <n v="62"/>
    <x v="8"/>
    <x v="0"/>
    <x v="6"/>
    <n v="113"/>
    <n v="2260"/>
    <n v="0.05"/>
    <n v="2147"/>
    <n v="113"/>
    <d v="2021-07-17T00:00:00"/>
    <d v="2021-07-17T00:00:00"/>
    <n v="1004"/>
    <n v="2"/>
    <x v="2"/>
    <n v="0.06"/>
    <n v="128.82"/>
    <n v="3"/>
    <s v="Junho"/>
  </r>
  <r>
    <n v="1005"/>
    <d v="2021-06-24T00:00:00"/>
    <x v="5"/>
    <n v="48"/>
    <x v="22"/>
    <x v="1"/>
    <x v="17"/>
    <n v="105"/>
    <n v="4095"/>
    <n v="0.03"/>
    <n v="3972.15"/>
    <n v="122.84999999999991"/>
    <d v="2021-06-24T00:00:00"/>
    <d v="2021-06-24T00:00:00"/>
    <n v="1005"/>
    <n v="6"/>
    <x v="3"/>
    <n v="0.1"/>
    <n v="397.21500000000003"/>
    <n v="4"/>
    <s v="Junho"/>
  </r>
  <r>
    <n v="1006"/>
    <d v="2021-06-24T00:00:00"/>
    <x v="5"/>
    <n v="62"/>
    <x v="8"/>
    <x v="8"/>
    <x v="34"/>
    <n v="103"/>
    <n v="1339"/>
    <n v="0.14000000000000001"/>
    <n v="1151.54"/>
    <n v="187.46000000000004"/>
    <d v="2021-07-20T00:00:00"/>
    <d v="2021-07-20T00:00:00"/>
    <n v="1006"/>
    <n v="6"/>
    <x v="4"/>
    <n v="0.08"/>
    <n v="92.123199999999997"/>
    <n v="5"/>
    <s v="Junho"/>
  </r>
  <r>
    <n v="1007"/>
    <d v="2021-06-26T00:00:00"/>
    <x v="5"/>
    <n v="70"/>
    <x v="28"/>
    <x v="3"/>
    <x v="28"/>
    <n v="117"/>
    <n v="4446"/>
    <n v="0.02"/>
    <n v="4357.08"/>
    <n v="88.920000000000073"/>
    <d v="2021-07-13T00:00:00"/>
    <d v="2021-07-13T00:00:00"/>
    <n v="1007"/>
    <n v="4"/>
    <x v="5"/>
    <n v="0.05"/>
    <n v="217.85400000000001"/>
    <n v="6"/>
    <s v="Junho"/>
  </r>
  <r>
    <n v="1008"/>
    <d v="2021-06-27T00:00:00"/>
    <x v="5"/>
    <n v="81"/>
    <x v="63"/>
    <x v="7"/>
    <x v="6"/>
    <n v="111"/>
    <n v="2220"/>
    <n v="0.05"/>
    <n v="2109"/>
    <n v="111"/>
    <d v="2021-07-06T00:00:00"/>
    <d v="2021-07-06T00:00:00"/>
    <n v="1008"/>
    <n v="5"/>
    <x v="9"/>
    <n v="0.05"/>
    <n v="105.45"/>
    <n v="7"/>
    <s v="Junho"/>
  </r>
  <r>
    <n v="1009"/>
    <d v="2021-06-28T00:00:00"/>
    <x v="5"/>
    <n v="42"/>
    <x v="52"/>
    <x v="0"/>
    <x v="29"/>
    <n v="98"/>
    <n v="4704"/>
    <n v="7.0000000000000007E-2"/>
    <n v="4374.72"/>
    <n v="329.27999999999975"/>
    <d v="2021-07-07T00:00:00"/>
    <d v="2021-07-07T00:00:00"/>
    <n v="1009"/>
    <n v="4"/>
    <x v="5"/>
    <n v="0.1"/>
    <n v="437.47200000000004"/>
    <n v="1"/>
    <s v="Junho"/>
  </r>
  <r>
    <n v="1010"/>
    <d v="2021-06-28T00:00:00"/>
    <x v="5"/>
    <n v="17"/>
    <x v="28"/>
    <x v="4"/>
    <x v="32"/>
    <n v="114"/>
    <n v="3990"/>
    <n v="0.03"/>
    <n v="3870.3"/>
    <n v="119.69999999999982"/>
    <d v="2021-07-05T00:00:00"/>
    <d v="2021-07-05T00:00:00"/>
    <n v="1010"/>
    <n v="1"/>
    <x v="5"/>
    <n v="0.06"/>
    <n v="232.21799999999999"/>
    <n v="2"/>
    <s v="Junho"/>
  </r>
  <r>
    <n v="1011"/>
    <d v="2021-06-28T00:00:00"/>
    <x v="5"/>
    <n v="60"/>
    <x v="42"/>
    <x v="5"/>
    <x v="9"/>
    <n v="116"/>
    <n v="5220"/>
    <n v="7.0000000000000007E-2"/>
    <n v="4854.6000000000004"/>
    <n v="365.39999999999964"/>
    <d v="2021-07-23T00:00:00"/>
    <d v="2021-07-23T00:00:00"/>
    <n v="1011"/>
    <n v="6"/>
    <x v="9"/>
    <n v="0.08"/>
    <n v="388.36800000000005"/>
    <n v="3"/>
    <s v="Junho"/>
  </r>
  <r>
    <n v="1012"/>
    <d v="2021-06-29T00:00:00"/>
    <x v="5"/>
    <n v="35"/>
    <x v="8"/>
    <x v="6"/>
    <x v="15"/>
    <n v="114"/>
    <n v="3420"/>
    <n v="0.15"/>
    <n v="2907"/>
    <n v="513"/>
    <d v="2021-07-23T00:00:00"/>
    <d v="2021-07-23T00:00:00"/>
    <n v="1012"/>
    <n v="4"/>
    <x v="2"/>
    <n v="0.05"/>
    <n v="145.35"/>
    <n v="4"/>
    <s v="Junho"/>
  </r>
  <r>
    <m/>
    <m/>
    <x v="12"/>
    <m/>
    <x v="67"/>
    <x v="10"/>
    <x v="41"/>
    <m/>
    <m/>
    <m/>
    <m/>
    <m/>
    <m/>
    <m/>
    <m/>
    <m/>
    <x v="1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9E330A-0BAD-4B3D-B74C-58935B47DEA1}" name="Tabela dinâmica1" cacheId="92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7">
  <location ref="E26:F32" firstHeaderRow="1" firstDataRow="1" firstDataCol="1"/>
  <pivotFields count="21">
    <pivotField compact="0" outline="0" showAll="0"/>
    <pivotField compact="0" outline="0" showAll="0"/>
    <pivotField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outline="0" showAll="0"/>
    <pivotField compact="0" outline="0" showAll="0">
      <items count="69">
        <item x="55"/>
        <item x="14"/>
        <item x="25"/>
        <item x="31"/>
        <item x="17"/>
        <item x="43"/>
        <item x="51"/>
        <item x="66"/>
        <item x="24"/>
        <item x="33"/>
        <item x="20"/>
        <item x="62"/>
        <item x="21"/>
        <item x="49"/>
        <item x="30"/>
        <item x="40"/>
        <item x="35"/>
        <item x="64"/>
        <item x="54"/>
        <item x="59"/>
        <item x="63"/>
        <item x="3"/>
        <item x="10"/>
        <item x="44"/>
        <item x="27"/>
        <item x="57"/>
        <item x="15"/>
        <item x="7"/>
        <item x="22"/>
        <item x="4"/>
        <item x="23"/>
        <item x="36"/>
        <item x="50"/>
        <item x="48"/>
        <item x="46"/>
        <item x="38"/>
        <item x="45"/>
        <item x="6"/>
        <item x="12"/>
        <item x="52"/>
        <item x="32"/>
        <item x="16"/>
        <item x="0"/>
        <item x="41"/>
        <item x="18"/>
        <item x="19"/>
        <item x="61"/>
        <item x="60"/>
        <item x="2"/>
        <item x="28"/>
        <item x="5"/>
        <item x="65"/>
        <item x="11"/>
        <item x="53"/>
        <item x="9"/>
        <item x="39"/>
        <item x="29"/>
        <item x="13"/>
        <item x="1"/>
        <item x="8"/>
        <item x="42"/>
        <item x="26"/>
        <item x="58"/>
        <item x="34"/>
        <item x="37"/>
        <item x="47"/>
        <item x="56"/>
        <item x="67"/>
        <item t="default"/>
      </items>
    </pivotField>
    <pivotField compact="0" outline="0" showAll="0">
      <items count="12">
        <item x="5"/>
        <item x="7"/>
        <item x="3"/>
        <item x="2"/>
        <item x="8"/>
        <item x="6"/>
        <item x="0"/>
        <item x="9"/>
        <item x="1"/>
        <item x="4"/>
        <item h="1" x="10"/>
        <item t="default"/>
      </items>
    </pivotField>
    <pivotField compact="0" outline="0" showAll="0">
      <items count="43">
        <item x="7"/>
        <item x="5"/>
        <item x="40"/>
        <item x="34"/>
        <item x="10"/>
        <item x="33"/>
        <item x="26"/>
        <item x="21"/>
        <item x="12"/>
        <item x="23"/>
        <item x="6"/>
        <item x="16"/>
        <item x="8"/>
        <item x="20"/>
        <item x="4"/>
        <item x="14"/>
        <item x="31"/>
        <item x="11"/>
        <item x="22"/>
        <item x="19"/>
        <item x="15"/>
        <item x="13"/>
        <item x="37"/>
        <item x="30"/>
        <item x="2"/>
        <item x="32"/>
        <item x="39"/>
        <item x="0"/>
        <item x="28"/>
        <item x="17"/>
        <item x="38"/>
        <item x="25"/>
        <item x="36"/>
        <item x="35"/>
        <item x="3"/>
        <item x="9"/>
        <item x="27"/>
        <item x="1"/>
        <item x="29"/>
        <item x="18"/>
        <item x="24"/>
        <item x="4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measureFilter="1">
      <items count="12">
        <item x="6"/>
        <item x="9"/>
        <item x="4"/>
        <item x="8"/>
        <item x="5"/>
        <item x="2"/>
        <item x="3"/>
        <item x="7"/>
        <item x="0"/>
        <item x="1"/>
        <item x="10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</pivotFields>
  <rowFields count="1">
    <field x="16"/>
  </rowFields>
  <rowItems count="6">
    <i>
      <x v="3"/>
    </i>
    <i>
      <x v="4"/>
    </i>
    <i>
      <x v="7"/>
    </i>
    <i>
      <x v="8"/>
    </i>
    <i>
      <x v="9"/>
    </i>
    <i t="grand">
      <x/>
    </i>
  </rowItems>
  <colItems count="1">
    <i/>
  </colItems>
  <dataFields count="1">
    <dataField name="Soma de Comissão" fld="18" baseField="0" baseItem="0"/>
  </dataFields>
  <formats count="1">
    <format dxfId="20">
      <pivotArea outline="0" fieldPosition="0">
        <references count="1">
          <reference field="16" count="5" selected="0">
            <x v="3"/>
            <x v="4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6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03BF2B-D9F9-4952-8EFC-B61B44EEDE97}" name="Tabela dinâmica5" cacheId="92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3">
  <location ref="B13:B14" firstHeaderRow="1" firstDataRow="1" firstDataCol="0"/>
  <pivotFields count="21">
    <pivotField compact="0" outline="0" showAll="0"/>
    <pivotField compact="0" outline="0" showAll="0"/>
    <pivotField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outline="0" showAll="0"/>
    <pivotField compact="0" outline="0" showAll="0" measureFilter="1">
      <items count="69">
        <item x="55"/>
        <item x="14"/>
        <item x="25"/>
        <item x="31"/>
        <item x="17"/>
        <item x="43"/>
        <item x="51"/>
        <item x="66"/>
        <item x="24"/>
        <item x="33"/>
        <item x="20"/>
        <item x="62"/>
        <item x="21"/>
        <item x="49"/>
        <item x="30"/>
        <item x="40"/>
        <item x="35"/>
        <item x="64"/>
        <item x="54"/>
        <item x="59"/>
        <item x="63"/>
        <item x="3"/>
        <item x="10"/>
        <item x="44"/>
        <item x="27"/>
        <item x="57"/>
        <item x="15"/>
        <item x="7"/>
        <item x="22"/>
        <item x="4"/>
        <item x="23"/>
        <item x="36"/>
        <item x="50"/>
        <item x="48"/>
        <item x="46"/>
        <item x="38"/>
        <item x="45"/>
        <item x="6"/>
        <item x="12"/>
        <item x="52"/>
        <item x="32"/>
        <item x="16"/>
        <item x="0"/>
        <item x="41"/>
        <item x="18"/>
        <item x="19"/>
        <item x="61"/>
        <item x="60"/>
        <item x="2"/>
        <item x="28"/>
        <item x="5"/>
        <item x="65"/>
        <item x="11"/>
        <item x="53"/>
        <item x="9"/>
        <item x="39"/>
        <item x="29"/>
        <item x="13"/>
        <item x="1"/>
        <item x="8"/>
        <item x="42"/>
        <item x="26"/>
        <item x="58"/>
        <item x="34"/>
        <item x="37"/>
        <item x="47"/>
        <item x="56"/>
        <item x="6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Items count="1">
    <i/>
  </rowItems>
  <colItems count="1">
    <i/>
  </colItems>
  <dataFields count="1">
    <dataField name="Soma de Valor Venda" fld="10" baseField="0" baseItem="0"/>
  </dataFields>
  <pivotTableStyleInfo name="PivotStyleLight16" showRowHeaders="1" showColHeaders="1" showRowStripes="0" showColStripes="0" showLastColumn="1"/>
  <filters count="1">
    <filter fld="4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AB6B40-B2D1-4596-BAB6-790FEA829D4F}" name="Tabela dinâmica7" cacheId="92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7">
  <location ref="E17:F23" firstHeaderRow="1" firstDataRow="1" firstDataCol="1"/>
  <pivotFields count="21">
    <pivotField compact="0" outline="0" showAll="0"/>
    <pivotField compact="0" outline="0" showAll="0"/>
    <pivotField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outline="0" showAll="0"/>
    <pivotField axis="axisRow" compact="0" outline="0" showAll="0" measureFilter="1">
      <items count="69">
        <item x="55"/>
        <item x="14"/>
        <item x="25"/>
        <item x="31"/>
        <item x="17"/>
        <item x="43"/>
        <item x="51"/>
        <item x="66"/>
        <item x="24"/>
        <item x="33"/>
        <item x="20"/>
        <item x="62"/>
        <item x="21"/>
        <item x="49"/>
        <item x="30"/>
        <item x="40"/>
        <item x="35"/>
        <item x="64"/>
        <item x="54"/>
        <item x="59"/>
        <item x="63"/>
        <item x="3"/>
        <item x="10"/>
        <item x="44"/>
        <item x="27"/>
        <item x="57"/>
        <item x="15"/>
        <item x="7"/>
        <item x="22"/>
        <item x="4"/>
        <item x="23"/>
        <item x="36"/>
        <item x="50"/>
        <item x="48"/>
        <item x="46"/>
        <item x="38"/>
        <item x="45"/>
        <item x="6"/>
        <item x="12"/>
        <item x="52"/>
        <item x="32"/>
        <item x="16"/>
        <item x="0"/>
        <item x="41"/>
        <item x="18"/>
        <item x="19"/>
        <item x="61"/>
        <item x="60"/>
        <item x="2"/>
        <item x="28"/>
        <item x="5"/>
        <item x="65"/>
        <item x="11"/>
        <item x="53"/>
        <item x="9"/>
        <item x="39"/>
        <item x="29"/>
        <item x="13"/>
        <item x="1"/>
        <item x="8"/>
        <item x="42"/>
        <item x="26"/>
        <item x="58"/>
        <item x="34"/>
        <item x="37"/>
        <item x="47"/>
        <item x="56"/>
        <item x="67"/>
        <item t="default"/>
      </items>
    </pivotField>
    <pivotField compact="0" outline="0" showAll="0">
      <items count="12">
        <item x="5"/>
        <item x="7"/>
        <item x="3"/>
        <item x="2"/>
        <item x="8"/>
        <item x="6"/>
        <item x="0"/>
        <item x="9"/>
        <item x="1"/>
        <item x="4"/>
        <item h="1" x="10"/>
        <item t="default"/>
      </items>
    </pivotField>
    <pivotField compact="0" outline="0" showAll="0">
      <items count="43">
        <item x="7"/>
        <item x="5"/>
        <item x="40"/>
        <item x="34"/>
        <item x="10"/>
        <item x="33"/>
        <item x="26"/>
        <item x="21"/>
        <item x="12"/>
        <item x="23"/>
        <item x="6"/>
        <item x="16"/>
        <item x="8"/>
        <item x="20"/>
        <item x="4"/>
        <item x="14"/>
        <item x="31"/>
        <item x="11"/>
        <item x="22"/>
        <item x="19"/>
        <item x="15"/>
        <item x="13"/>
        <item x="37"/>
        <item x="30"/>
        <item x="2"/>
        <item x="32"/>
        <item x="39"/>
        <item x="0"/>
        <item x="28"/>
        <item x="17"/>
        <item x="38"/>
        <item x="25"/>
        <item x="36"/>
        <item x="35"/>
        <item x="3"/>
        <item x="9"/>
        <item x="27"/>
        <item x="1"/>
        <item x="29"/>
        <item x="18"/>
        <item x="24"/>
        <item x="41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2">
        <item x="6"/>
        <item x="9"/>
        <item x="4"/>
        <item x="8"/>
        <item x="5"/>
        <item x="2"/>
        <item x="3"/>
        <item x="7"/>
        <item x="0"/>
        <item x="1"/>
        <item x="1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</pivotFields>
  <rowFields count="1">
    <field x="4"/>
  </rowFields>
  <rowItems count="6">
    <i>
      <x v="22"/>
    </i>
    <i>
      <x v="26"/>
    </i>
    <i>
      <x v="33"/>
    </i>
    <i>
      <x v="49"/>
    </i>
    <i>
      <x v="59"/>
    </i>
    <i t="grand">
      <x/>
    </i>
  </rowItems>
  <colItems count="1">
    <i/>
  </colItems>
  <dataFields count="1">
    <dataField name="Soma de Valor Venda" fld="10" baseField="0" baseItem="0"/>
  </dataField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901648-4611-4262-BAD0-25AA2ACCC6E3}" name="Tabela dinâmica4" cacheId="92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5">
  <location ref="B9:P11" firstHeaderRow="1" firstDataRow="2" firstDataCol="1"/>
  <pivotFields count="21">
    <pivotField compact="0" outline="0" showAll="0"/>
    <pivotField compact="0" outline="0" showAll="0"/>
    <pivotField axis="axisCol"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Items count="1">
    <i/>
  </rowItems>
  <colFields count="1">
    <field x="2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oma de Valor Venda" fld="10" baseField="0" baseItem="0"/>
  </dataFields>
  <chartFormats count="5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3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3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16DA8D-E383-46E9-997B-95D09480F63E}" name="Tabela dinâmica3" cacheId="92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B6:B7" firstHeaderRow="1" firstDataRow="1" firstDataCol="0" rowPageCount="1" colPageCount="1"/>
  <pivotFields count="21">
    <pivotField compact="0" outline="0" showAll="0"/>
    <pivotField compact="0" outline="0" showAll="0"/>
    <pivotField axis="axisPage" compact="0" outline="0" multipleItemSelectionAllowe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Items count="1">
    <i/>
  </rowItems>
  <colItems count="1">
    <i/>
  </colItems>
  <pageFields count="1">
    <pageField fld="2" hier="-1"/>
  </pageFields>
  <dataFields count="1">
    <dataField name="Soma de Valor Venda" fld="10" baseField="0" baseItem="0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C3A09E-0A72-430A-93B7-B9A5A0035D2B}" name="Tabela dinâmica6" cacheId="92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6">
  <location ref="B17:C28" firstHeaderRow="1" firstDataRow="1" firstDataCol="1"/>
  <pivotFields count="21">
    <pivotField compact="0" outline="0" showAll="0"/>
    <pivotField compact="0" outline="0" showAll="0"/>
    <pivotField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outline="0" showAll="0"/>
    <pivotField compact="0" outline="0" showAll="0"/>
    <pivotField axis="axisRow" compact="0" outline="0" showAll="0">
      <items count="12">
        <item x="5"/>
        <item x="7"/>
        <item x="3"/>
        <item x="2"/>
        <item x="8"/>
        <item x="6"/>
        <item x="0"/>
        <item x="9"/>
        <item x="1"/>
        <item x="4"/>
        <item h="1" x="10"/>
        <item t="default"/>
      </items>
    </pivotField>
    <pivotField dataField="1" compact="0" outline="0" showAll="0">
      <items count="43">
        <item x="7"/>
        <item x="5"/>
        <item x="40"/>
        <item x="34"/>
        <item x="10"/>
        <item x="33"/>
        <item x="26"/>
        <item x="21"/>
        <item x="12"/>
        <item x="23"/>
        <item x="6"/>
        <item x="16"/>
        <item x="8"/>
        <item x="20"/>
        <item x="4"/>
        <item x="14"/>
        <item x="31"/>
        <item x="11"/>
        <item x="22"/>
        <item x="19"/>
        <item x="15"/>
        <item x="13"/>
        <item x="37"/>
        <item x="30"/>
        <item x="2"/>
        <item x="32"/>
        <item x="39"/>
        <item x="0"/>
        <item x="28"/>
        <item x="17"/>
        <item x="38"/>
        <item x="25"/>
        <item x="36"/>
        <item x="35"/>
        <item x="3"/>
        <item x="9"/>
        <item x="27"/>
        <item x="1"/>
        <item x="29"/>
        <item x="18"/>
        <item x="24"/>
        <item x="4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oma de Qtde." fld="6" baseField="0" baseItem="0"/>
  </dataField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DF93B0-30B7-4FAD-A160-1DEB2F6E34F2}" name="Tabela dinâmica8" cacheId="92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14:A15" firstHeaderRow="1" firstDataRow="1" firstDataCol="0" rowPageCount="1" colPageCount="1"/>
  <pivotFields count="21">
    <pivotField compact="0" outline="0" showAll="0"/>
    <pivotField compact="0" outline="0" showAll="0"/>
    <pivotField axis="axisPage" compact="0" outline="0" multipleItemSelectionAllowe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Items count="1">
    <i/>
  </rowItems>
  <colItems count="1">
    <i/>
  </colItems>
  <pageFields count="1">
    <pageField fld="2" hier="-1"/>
  </pageFields>
  <dataFields count="1">
    <dataField name="Soma de Valor Venda" fld="10" baseField="0" baseItem="0" numFmtId="164"/>
  </dataFields>
  <formats count="7">
    <format dxfId="13">
      <pivotArea outline="0" collapsedLevelsAreSubtotals="1" fieldPosition="0"/>
    </format>
    <format dxfId="14">
      <pivotArea type="all" dataOnly="0" outline="0" fieldPosition="0"/>
    </format>
    <format dxfId="15">
      <pivotArea outline="0" collapsedLevelsAreSubtotals="1" fieldPosition="0"/>
    </format>
    <format dxfId="16">
      <pivotArea dataOnly="0" labelOnly="1" outline="0" axis="axisValues" fieldPosition="0"/>
    </format>
    <format dxfId="17">
      <pivotArea type="all" dataOnly="0" outline="0" fieldPosition="0"/>
    </format>
    <format dxfId="18">
      <pivotArea outline="0" collapsedLevelsAreSubtotals="1" fieldPosition="0"/>
    </format>
    <format dxfId="19">
      <pivotArea dataOnly="0" labelOnly="1" outline="0" axis="axisValues" fieldPosition="0"/>
    </format>
  </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14622FC3-8665-43DC-A1A6-303649EFD77A}" sourceName="Mês">
  <pivotTables>
    <pivotTable tabId="8" name="Tabela dinâmica3"/>
    <pivotTable tabId="8" name="Tabela dinâmica4"/>
    <pivotTable tabId="8" name="Tabela dinâmica5"/>
    <pivotTable tabId="8" name="Tabela dinâmica6"/>
    <pivotTable tabId="8" name="Tabela dinâmica7"/>
    <pivotTable tabId="9" name="Tabela dinâmica8"/>
    <pivotTable tabId="8" name="Tabela dinâmica1"/>
  </pivotTables>
  <data>
    <tabular pivotCacheId="1341833469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1E5E7F07-95AD-410D-AC41-EC577A7259A0}" cache="SegmentaçãodeDados_Mês" caption="Mês" rowHeight="2286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1" xr10:uid="{8ED01F1B-1165-497B-8B37-86EBB8F180D0}" cache="SegmentaçãodeDados_Mês" caption="Mês" startItem="1" style="SlicerStyleLight4" rowHeight="2286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173026-9105-49F0-899D-3AB6745F0E14}" name="Tabela1" displayName="Tabela1" ref="A3:T1015" totalsRowShown="0">
  <autoFilter ref="A3:T1015" xr:uid="{A8173026-9105-49F0-899D-3AB6745F0E14}"/>
  <tableColumns count="20">
    <tableColumn id="1" xr3:uid="{A232DE44-5245-4807-9149-F43EFC1EACF8}" name="Seq."/>
    <tableColumn id="2" xr3:uid="{FFCFD3DE-5559-40D8-872F-7273DB888743}" name="Data" dataDxfId="12"/>
    <tableColumn id="3" xr3:uid="{5CA7FD1D-2066-4615-84A8-53A5EEDD0E5D}" name="Cód. Cliente"/>
    <tableColumn id="4" xr3:uid="{173829FA-881C-4198-B6BA-ED0B59DFC6AC}" name="Cidade"/>
    <tableColumn id="5" xr3:uid="{775F2F36-AC0A-4B73-A2DF-E2211DE28A57}" name="Produto"/>
    <tableColumn id="6" xr3:uid="{1BAE0C09-D968-4471-9E61-8409D8FD0757}" name="Qtde." dataDxfId="11"/>
    <tableColumn id="7" xr3:uid="{8936D394-587A-420B-957C-D41757FE3F38}" name="Preço Unitário" dataDxfId="10"/>
    <tableColumn id="8" xr3:uid="{FBAC6B38-7B2C-4DB9-9C7F-FF9DADA1E38D}" name="Valor Bruto" dataDxfId="9"/>
    <tableColumn id="9" xr3:uid="{79E5E485-7AA0-4B2F-A4B6-87E5012D056F}" name="% Desconto" dataDxfId="8"/>
    <tableColumn id="10" xr3:uid="{496D7F69-E44F-4389-9970-7C2C5B01CFE9}" name="Valor Venda" dataDxfId="7"/>
    <tableColumn id="20" xr3:uid="{050037DA-45DD-464B-B2C4-4690108AFC86}" name="Valor Desconto" dataDxfId="6">
      <calculatedColumnFormula>Tabela1[[#This Row],[Valor Bruto]]-Tabela1[[#This Row],[Valor Venda]]</calculatedColumnFormula>
    </tableColumn>
    <tableColumn id="11" xr3:uid="{5F801EA1-2B86-4A7E-BE3B-EE99B96E287F}" name="Vencimento" dataDxfId="5"/>
    <tableColumn id="12" xr3:uid="{0556DA8F-FB67-4A69-BB0B-06F302CD39EA}" name="Data Pagamento" dataDxfId="4"/>
    <tableColumn id="13" xr3:uid="{AFCAD583-0BDA-4C1D-8379-DE3ABD3101BD}" name="Documento"/>
    <tableColumn id="14" xr3:uid="{BCCCBFBD-58B0-43B0-98AB-62BA4CAB5928}" name="Canal de Venda"/>
    <tableColumn id="15" xr3:uid="{55374B5E-D4F3-4907-BEBD-F688EA05B78B}" name="Vendedor"/>
    <tableColumn id="16" xr3:uid="{1A3621A9-C955-4997-97B0-0AFB1F60FBDA}" name="% Comis."/>
    <tableColumn id="17" xr3:uid="{416750CC-04C5-4668-961B-0578B3E7E077}" name="Comissão" dataDxfId="3"/>
    <tableColumn id="18" xr3:uid="{85A22ABD-4042-42DF-9A32-38B80715039B}" name="Tipo de Pagamento"/>
    <tableColumn id="19" xr3:uid="{C049D1E0-D1B3-4F0E-9D49-69DA139E4733}" name="Mê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88AB87-AC5D-491F-A6F9-58EED2D2D6E7}" name="Tabela3" displayName="Tabela3" ref="A3:U23" totalsRowShown="0">
  <autoFilter ref="A3:U23" xr:uid="{B788AB87-AC5D-491F-A6F9-58EED2D2D6E7}"/>
  <tableColumns count="21">
    <tableColumn id="1" xr3:uid="{D54DB721-91DA-4326-981D-97B8B88B0E8C}" name="Seq."/>
    <tableColumn id="2" xr3:uid="{1D04F946-A99F-48B3-B9E1-935806FC29E2}" name="Data" dataDxfId="2"/>
    <tableColumn id="3" xr3:uid="{EBF17C62-9406-4764-96A0-6F04300DAF21}" name="Mês"/>
    <tableColumn id="4" xr3:uid="{6ACB073F-090A-48E8-ACE4-E9958C0DBC82}" name="Cód. Cliente"/>
    <tableColumn id="5" xr3:uid="{28EE5542-F8A7-4D24-99C6-B744D180245B}" name="Cidade"/>
    <tableColumn id="6" xr3:uid="{D111592D-D495-422B-8286-F6731D63413E}" name="Produto"/>
    <tableColumn id="7" xr3:uid="{9325D68F-A711-4DBC-8966-C9071C4D5FAE}" name="Qtde."/>
    <tableColumn id="8" xr3:uid="{72B99928-59C1-4E92-B087-94FD3E05ADFF}" name="Preço Unitário"/>
    <tableColumn id="9" xr3:uid="{F2F23041-97EC-494A-B8D1-C6C1E089E1A9}" name="Valor Bruto"/>
    <tableColumn id="10" xr3:uid="{077E922C-0D2D-42A9-B613-DE352AB2F9DE}" name="% Desconto"/>
    <tableColumn id="11" xr3:uid="{B5F2886A-5239-4A8C-9D8C-A211B137E31D}" name="Valor Venda"/>
    <tableColumn id="12" xr3:uid="{C242F478-B062-4761-A5A5-CC0E9D4817FB}" name="Valor Desconto"/>
    <tableColumn id="13" xr3:uid="{486EE5EF-65D2-4419-BBAC-C8A39095EBF5}" name="Vencimento" dataDxfId="1"/>
    <tableColumn id="14" xr3:uid="{F420516E-8648-420C-8841-48F8D2CF680D}" name="Data Pagamento" dataDxfId="0"/>
    <tableColumn id="15" xr3:uid="{892F797A-7E72-4CAD-9EC3-FA2AF738C545}" name="Documento"/>
    <tableColumn id="16" xr3:uid="{86980563-FDE5-484C-BEB7-A149792C0FFF}" name="Canal de Venda"/>
    <tableColumn id="17" xr3:uid="{C99C65D9-8A67-4C2F-B676-8546A57C69A8}" name="Vendedor"/>
    <tableColumn id="18" xr3:uid="{A0113D84-3031-4BA2-8C49-E91FCFD4AF94}" name="% Comis."/>
    <tableColumn id="19" xr3:uid="{93E3535A-1A8C-4A86-9AC5-791E4E1D297A}" name="Comissão"/>
    <tableColumn id="20" xr3:uid="{6F3FAE61-D5A7-4DA5-BC00-8FA8D909C7BC}" name="Tipo de Pagamento"/>
    <tableColumn id="21" xr3:uid="{BCE9069B-5611-4C84-984D-1DA74B6534DE}" name="Mês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518BE-BD94-4951-9B77-7ABF79120C7F}">
  <dimension ref="A1:U1013"/>
  <sheetViews>
    <sheetView workbookViewId="0"/>
  </sheetViews>
  <sheetFormatPr defaultRowHeight="15"/>
  <cols>
    <col min="2" max="2" width="11.140625" style="1" bestFit="1" customWidth="1"/>
    <col min="3" max="3" width="10.7109375" style="1" customWidth="1"/>
    <col min="7" max="7" width="9.140625" style="8"/>
    <col min="8" max="8" width="10.5703125" style="2" bestFit="1" customWidth="1"/>
    <col min="9" max="9" width="12.140625" style="2" bestFit="1" customWidth="1"/>
    <col min="10" max="10" width="10.7109375" style="4" bestFit="1" customWidth="1"/>
    <col min="11" max="11" width="12.140625" style="2" bestFit="1" customWidth="1"/>
    <col min="12" max="12" width="12.140625" style="2" customWidth="1"/>
    <col min="13" max="14" width="10.7109375" style="1" bestFit="1" customWidth="1"/>
    <col min="18" max="18" width="9.140625" style="3"/>
    <col min="19" max="19" width="10.5703125" style="2" bestFit="1" customWidth="1"/>
  </cols>
  <sheetData>
    <row r="1" spans="1:21">
      <c r="A1" t="s">
        <v>0</v>
      </c>
      <c r="B1" s="1" t="s">
        <v>1</v>
      </c>
      <c r="C1" s="1" t="s">
        <v>2</v>
      </c>
      <c r="D1" t="s">
        <v>3</v>
      </c>
      <c r="E1" t="s">
        <v>4</v>
      </c>
      <c r="F1" t="s">
        <v>5</v>
      </c>
      <c r="G1" s="8" t="s">
        <v>6</v>
      </c>
      <c r="H1" s="2" t="s">
        <v>7</v>
      </c>
      <c r="I1" s="2" t="s">
        <v>8</v>
      </c>
      <c r="J1" s="4" t="s">
        <v>9</v>
      </c>
      <c r="K1" s="2" t="s">
        <v>10</v>
      </c>
      <c r="L1" s="2" t="s">
        <v>11</v>
      </c>
      <c r="M1" s="1" t="s">
        <v>12</v>
      </c>
      <c r="N1" s="1" t="s">
        <v>13</v>
      </c>
      <c r="O1" t="s">
        <v>14</v>
      </c>
      <c r="P1" t="s">
        <v>15</v>
      </c>
      <c r="Q1" t="s">
        <v>16</v>
      </c>
      <c r="R1" s="3" t="s">
        <v>17</v>
      </c>
      <c r="S1" s="2" t="s">
        <v>18</v>
      </c>
      <c r="T1" t="s">
        <v>19</v>
      </c>
      <c r="U1" t="s">
        <v>2</v>
      </c>
    </row>
    <row r="2" spans="1:21">
      <c r="A2">
        <v>1</v>
      </c>
      <c r="B2" s="1">
        <v>43831</v>
      </c>
      <c r="C2" s="1" t="str">
        <f>TEXT(B2,"mmmm")</f>
        <v>janeiro</v>
      </c>
      <c r="D2">
        <v>71</v>
      </c>
      <c r="E2" t="s">
        <v>20</v>
      </c>
      <c r="F2" t="s">
        <v>21</v>
      </c>
      <c r="G2" s="8">
        <v>37</v>
      </c>
      <c r="H2" s="2">
        <v>101</v>
      </c>
      <c r="I2" s="2">
        <v>3737</v>
      </c>
      <c r="J2" s="4">
        <v>0.02</v>
      </c>
      <c r="K2" s="2">
        <v>3662.26</v>
      </c>
      <c r="L2" s="2">
        <f>I2-K2</f>
        <v>74.739999999999782</v>
      </c>
      <c r="M2" s="1">
        <v>43842</v>
      </c>
      <c r="N2" s="1">
        <v>43842</v>
      </c>
      <c r="O2">
        <v>1</v>
      </c>
      <c r="P2">
        <v>6</v>
      </c>
      <c r="Q2" t="s">
        <v>22</v>
      </c>
      <c r="R2" s="3">
        <v>0.08</v>
      </c>
      <c r="S2" s="2">
        <v>292.98080000000004</v>
      </c>
      <c r="T2">
        <v>1</v>
      </c>
      <c r="U2" t="str">
        <f>PROPER(TEXT(B2,"mmmm"))</f>
        <v>Janeiro</v>
      </c>
    </row>
    <row r="3" spans="1:21">
      <c r="A3">
        <v>2</v>
      </c>
      <c r="B3" s="1">
        <v>43831</v>
      </c>
      <c r="C3" s="1" t="str">
        <f t="shared" ref="C3:C66" si="0">TEXT(B3,"mmmm")</f>
        <v>janeiro</v>
      </c>
      <c r="D3">
        <v>52</v>
      </c>
      <c r="E3" t="s">
        <v>23</v>
      </c>
      <c r="F3" t="s">
        <v>24</v>
      </c>
      <c r="G3" s="8">
        <v>47</v>
      </c>
      <c r="H3" s="2">
        <v>93</v>
      </c>
      <c r="I3" s="2">
        <v>4371</v>
      </c>
      <c r="J3" s="4">
        <v>0.04</v>
      </c>
      <c r="K3" s="2">
        <v>4196.16</v>
      </c>
      <c r="L3" s="2">
        <f t="shared" ref="L3:L66" si="1">I3-K3</f>
        <v>174.84000000000015</v>
      </c>
      <c r="M3" s="1">
        <v>43833</v>
      </c>
      <c r="N3" s="1">
        <v>43833</v>
      </c>
      <c r="O3">
        <v>2</v>
      </c>
      <c r="P3">
        <v>2</v>
      </c>
      <c r="Q3" t="s">
        <v>25</v>
      </c>
      <c r="R3" s="3">
        <v>0.1</v>
      </c>
      <c r="S3" s="2">
        <v>419.61599999999999</v>
      </c>
      <c r="T3">
        <v>2</v>
      </c>
      <c r="U3" t="str">
        <f t="shared" ref="U3:U66" si="2">PROPER(TEXT(B3,"mmmm"))</f>
        <v>Janeiro</v>
      </c>
    </row>
    <row r="4" spans="1:21">
      <c r="A4">
        <v>3</v>
      </c>
      <c r="B4" s="1">
        <v>43831</v>
      </c>
      <c r="C4" s="1" t="str">
        <f t="shared" si="0"/>
        <v>janeiro</v>
      </c>
      <c r="D4">
        <v>92</v>
      </c>
      <c r="E4" t="s">
        <v>26</v>
      </c>
      <c r="F4" t="s">
        <v>24</v>
      </c>
      <c r="G4" s="8">
        <v>34</v>
      </c>
      <c r="H4" s="2">
        <v>116</v>
      </c>
      <c r="I4" s="2">
        <v>3944</v>
      </c>
      <c r="J4" s="4">
        <v>0.01</v>
      </c>
      <c r="K4" s="2">
        <v>3904.56</v>
      </c>
      <c r="L4" s="2">
        <f t="shared" si="1"/>
        <v>39.440000000000055</v>
      </c>
      <c r="M4" s="1">
        <v>43854</v>
      </c>
      <c r="N4" s="1">
        <v>43854</v>
      </c>
      <c r="O4">
        <v>3</v>
      </c>
      <c r="P4">
        <v>4</v>
      </c>
      <c r="Q4" t="s">
        <v>25</v>
      </c>
      <c r="R4" s="3">
        <v>0.1</v>
      </c>
      <c r="S4" s="2">
        <v>390.45600000000002</v>
      </c>
      <c r="T4">
        <v>3</v>
      </c>
      <c r="U4" t="str">
        <f t="shared" si="2"/>
        <v>Janeiro</v>
      </c>
    </row>
    <row r="5" spans="1:21">
      <c r="A5">
        <v>4</v>
      </c>
      <c r="B5" s="1">
        <v>43834</v>
      </c>
      <c r="C5" s="1" t="str">
        <f t="shared" si="0"/>
        <v>janeiro</v>
      </c>
      <c r="D5">
        <v>16</v>
      </c>
      <c r="E5" t="s">
        <v>27</v>
      </c>
      <c r="F5" t="s">
        <v>28</v>
      </c>
      <c r="G5" s="8">
        <v>44</v>
      </c>
      <c r="H5" s="2">
        <v>113</v>
      </c>
      <c r="I5" s="2">
        <v>4972</v>
      </c>
      <c r="J5" s="4">
        <v>0.08</v>
      </c>
      <c r="K5" s="2">
        <v>4574.24</v>
      </c>
      <c r="L5" s="2">
        <f t="shared" si="1"/>
        <v>397.76000000000022</v>
      </c>
      <c r="M5" s="1">
        <v>43834</v>
      </c>
      <c r="N5" s="1">
        <v>43834</v>
      </c>
      <c r="O5">
        <v>4</v>
      </c>
      <c r="P5">
        <v>3</v>
      </c>
      <c r="Q5" t="s">
        <v>29</v>
      </c>
      <c r="R5" s="3">
        <v>7.0000000000000007E-2</v>
      </c>
      <c r="S5" s="2">
        <v>320.1968</v>
      </c>
      <c r="T5">
        <v>4</v>
      </c>
      <c r="U5" t="str">
        <f t="shared" si="2"/>
        <v>Janeiro</v>
      </c>
    </row>
    <row r="6" spans="1:21">
      <c r="A6">
        <v>5</v>
      </c>
      <c r="B6" s="1">
        <v>43835</v>
      </c>
      <c r="C6" s="1" t="str">
        <f t="shared" si="0"/>
        <v>janeiro</v>
      </c>
      <c r="D6">
        <v>66</v>
      </c>
      <c r="E6" t="s">
        <v>30</v>
      </c>
      <c r="F6" t="s">
        <v>31</v>
      </c>
      <c r="G6" s="8">
        <v>24</v>
      </c>
      <c r="H6" s="2">
        <v>97</v>
      </c>
      <c r="I6" s="2">
        <v>2328</v>
      </c>
      <c r="J6" s="4">
        <v>0.02</v>
      </c>
      <c r="K6" s="2">
        <v>2281.44</v>
      </c>
      <c r="L6" s="2">
        <f t="shared" si="1"/>
        <v>46.559999999999945</v>
      </c>
      <c r="M6" s="1">
        <v>43842</v>
      </c>
      <c r="N6" s="1">
        <v>43842</v>
      </c>
      <c r="O6">
        <v>5</v>
      </c>
      <c r="P6">
        <v>6</v>
      </c>
      <c r="Q6" t="s">
        <v>32</v>
      </c>
      <c r="R6" s="3">
        <v>7.0000000000000007E-2</v>
      </c>
      <c r="S6" s="2">
        <v>159.70080000000002</v>
      </c>
      <c r="T6">
        <v>5</v>
      </c>
      <c r="U6" t="str">
        <f t="shared" si="2"/>
        <v>Janeiro</v>
      </c>
    </row>
    <row r="7" spans="1:21">
      <c r="A7">
        <v>6</v>
      </c>
      <c r="B7" s="1">
        <v>43836</v>
      </c>
      <c r="C7" s="1" t="str">
        <f t="shared" si="0"/>
        <v>janeiro</v>
      </c>
      <c r="D7">
        <v>93</v>
      </c>
      <c r="E7" t="s">
        <v>33</v>
      </c>
      <c r="F7" t="s">
        <v>24</v>
      </c>
      <c r="G7" s="8">
        <v>11</v>
      </c>
      <c r="H7" s="2">
        <v>96</v>
      </c>
      <c r="I7" s="2">
        <v>1056</v>
      </c>
      <c r="J7" s="4">
        <v>0</v>
      </c>
      <c r="K7" s="2">
        <v>1056</v>
      </c>
      <c r="L7" s="2">
        <f t="shared" si="1"/>
        <v>0</v>
      </c>
      <c r="M7" s="1">
        <v>43857</v>
      </c>
      <c r="N7" s="1">
        <v>43857</v>
      </c>
      <c r="O7">
        <v>6</v>
      </c>
      <c r="P7">
        <v>2</v>
      </c>
      <c r="Q7" t="s">
        <v>34</v>
      </c>
      <c r="R7" s="3">
        <v>0.08</v>
      </c>
      <c r="S7" s="2">
        <v>84.48</v>
      </c>
      <c r="T7">
        <v>6</v>
      </c>
      <c r="U7" t="str">
        <f t="shared" si="2"/>
        <v>Janeiro</v>
      </c>
    </row>
    <row r="8" spans="1:21">
      <c r="A8">
        <v>7</v>
      </c>
      <c r="B8" s="1">
        <v>43836</v>
      </c>
      <c r="C8" s="1" t="str">
        <f t="shared" si="0"/>
        <v>janeiro</v>
      </c>
      <c r="D8">
        <v>2</v>
      </c>
      <c r="E8" t="s">
        <v>35</v>
      </c>
      <c r="F8" t="s">
        <v>31</v>
      </c>
      <c r="G8" s="8">
        <v>20</v>
      </c>
      <c r="H8" s="2">
        <v>112</v>
      </c>
      <c r="I8" s="2">
        <v>2240</v>
      </c>
      <c r="J8" s="4">
        <v>0.13</v>
      </c>
      <c r="K8" s="2">
        <v>1948.8</v>
      </c>
      <c r="L8" s="2">
        <f t="shared" si="1"/>
        <v>291.20000000000005</v>
      </c>
      <c r="M8" s="1">
        <v>43865</v>
      </c>
      <c r="N8" s="1">
        <v>43865</v>
      </c>
      <c r="O8">
        <v>7</v>
      </c>
      <c r="P8">
        <v>4</v>
      </c>
      <c r="Q8" t="s">
        <v>29</v>
      </c>
      <c r="R8" s="3">
        <v>0.08</v>
      </c>
      <c r="S8" s="2">
        <v>155.904</v>
      </c>
      <c r="T8">
        <v>7</v>
      </c>
      <c r="U8" t="str">
        <f t="shared" si="2"/>
        <v>Janeiro</v>
      </c>
    </row>
    <row r="9" spans="1:21">
      <c r="A9">
        <v>8</v>
      </c>
      <c r="B9" s="1">
        <v>43836</v>
      </c>
      <c r="C9" s="1" t="str">
        <f t="shared" si="0"/>
        <v>janeiro</v>
      </c>
      <c r="D9">
        <v>9</v>
      </c>
      <c r="E9" t="s">
        <v>36</v>
      </c>
      <c r="F9" t="s">
        <v>31</v>
      </c>
      <c r="G9" s="8">
        <v>10</v>
      </c>
      <c r="H9" s="2">
        <v>92</v>
      </c>
      <c r="I9" s="2">
        <v>920</v>
      </c>
      <c r="J9" s="4">
        <v>0</v>
      </c>
      <c r="K9" s="2">
        <v>920</v>
      </c>
      <c r="L9" s="2">
        <f t="shared" si="1"/>
        <v>0</v>
      </c>
      <c r="M9" s="1">
        <v>43861</v>
      </c>
      <c r="N9" s="1">
        <v>43861</v>
      </c>
      <c r="O9">
        <v>8</v>
      </c>
      <c r="P9">
        <v>4</v>
      </c>
      <c r="Q9" t="s">
        <v>37</v>
      </c>
      <c r="R9" s="3">
        <v>0.06</v>
      </c>
      <c r="S9" s="2">
        <v>55.199999999999996</v>
      </c>
      <c r="T9">
        <v>1</v>
      </c>
      <c r="U9" t="str">
        <f t="shared" si="2"/>
        <v>Janeiro</v>
      </c>
    </row>
    <row r="10" spans="1:21">
      <c r="A10">
        <v>9</v>
      </c>
      <c r="B10" s="1">
        <v>43836</v>
      </c>
      <c r="C10" s="1" t="str">
        <f t="shared" si="0"/>
        <v>janeiro</v>
      </c>
      <c r="D10">
        <v>39</v>
      </c>
      <c r="E10" t="s">
        <v>38</v>
      </c>
      <c r="F10" t="s">
        <v>24</v>
      </c>
      <c r="G10" s="8">
        <v>22</v>
      </c>
      <c r="H10" s="2">
        <v>99</v>
      </c>
      <c r="I10" s="2">
        <v>2178</v>
      </c>
      <c r="J10" s="4">
        <v>0.02</v>
      </c>
      <c r="K10" s="2">
        <v>2134.44</v>
      </c>
      <c r="L10" s="2">
        <f t="shared" si="1"/>
        <v>43.559999999999945</v>
      </c>
      <c r="M10" s="1">
        <v>43855</v>
      </c>
      <c r="N10" s="1">
        <v>43855</v>
      </c>
      <c r="O10">
        <v>9</v>
      </c>
      <c r="P10">
        <v>7</v>
      </c>
      <c r="Q10" t="s">
        <v>34</v>
      </c>
      <c r="R10" s="3">
        <v>0.09</v>
      </c>
      <c r="S10" s="2">
        <v>192.09960000000001</v>
      </c>
      <c r="T10">
        <v>2</v>
      </c>
      <c r="U10" t="str">
        <f t="shared" si="2"/>
        <v>Janeiro</v>
      </c>
    </row>
    <row r="11" spans="1:21">
      <c r="A11">
        <v>10</v>
      </c>
      <c r="B11" s="1">
        <v>43837</v>
      </c>
      <c r="C11" s="1" t="str">
        <f t="shared" si="0"/>
        <v>janeiro</v>
      </c>
      <c r="D11">
        <v>20</v>
      </c>
      <c r="E11" t="s">
        <v>39</v>
      </c>
      <c r="F11" t="s">
        <v>31</v>
      </c>
      <c r="G11" s="8">
        <v>45</v>
      </c>
      <c r="H11" s="2">
        <v>107</v>
      </c>
      <c r="I11" s="2">
        <v>4815</v>
      </c>
      <c r="J11" s="4">
        <v>0.02</v>
      </c>
      <c r="K11" s="2">
        <v>4718.7</v>
      </c>
      <c r="L11" s="2">
        <f t="shared" si="1"/>
        <v>96.300000000000182</v>
      </c>
      <c r="M11" s="1">
        <v>43842</v>
      </c>
      <c r="N11" s="1">
        <v>43842</v>
      </c>
      <c r="O11">
        <v>10</v>
      </c>
      <c r="P11">
        <v>5</v>
      </c>
      <c r="Q11" t="s">
        <v>25</v>
      </c>
      <c r="R11" s="3">
        <v>0.1</v>
      </c>
      <c r="S11" s="2">
        <v>471.87</v>
      </c>
      <c r="T11">
        <v>3</v>
      </c>
      <c r="U11" t="str">
        <f t="shared" si="2"/>
        <v>Janeiro</v>
      </c>
    </row>
    <row r="12" spans="1:21">
      <c r="A12">
        <v>11</v>
      </c>
      <c r="B12" s="1">
        <v>43837</v>
      </c>
      <c r="C12" s="1" t="str">
        <f t="shared" si="0"/>
        <v>janeiro</v>
      </c>
      <c r="D12">
        <v>87</v>
      </c>
      <c r="E12" t="s">
        <v>40</v>
      </c>
      <c r="F12" t="s">
        <v>41</v>
      </c>
      <c r="G12" s="8">
        <v>14</v>
      </c>
      <c r="H12" s="2">
        <v>105</v>
      </c>
      <c r="I12" s="2">
        <v>1470</v>
      </c>
      <c r="J12" s="4">
        <v>0</v>
      </c>
      <c r="K12" s="2">
        <v>1470</v>
      </c>
      <c r="L12" s="2">
        <f t="shared" si="1"/>
        <v>0</v>
      </c>
      <c r="M12" s="1">
        <v>43843</v>
      </c>
      <c r="N12" s="1">
        <v>43843</v>
      </c>
      <c r="O12">
        <v>11</v>
      </c>
      <c r="P12">
        <v>6</v>
      </c>
      <c r="Q12" t="s">
        <v>29</v>
      </c>
      <c r="R12" s="3">
        <v>0.1</v>
      </c>
      <c r="S12" s="2">
        <v>147</v>
      </c>
      <c r="T12">
        <v>4</v>
      </c>
      <c r="U12" t="str">
        <f t="shared" si="2"/>
        <v>Janeiro</v>
      </c>
    </row>
    <row r="13" spans="1:21">
      <c r="A13">
        <v>12</v>
      </c>
      <c r="B13" s="1">
        <v>43837</v>
      </c>
      <c r="C13" s="1" t="str">
        <f t="shared" si="0"/>
        <v>janeiro</v>
      </c>
      <c r="D13">
        <v>96</v>
      </c>
      <c r="E13" t="s">
        <v>42</v>
      </c>
      <c r="F13" t="s">
        <v>31</v>
      </c>
      <c r="G13" s="8">
        <v>27</v>
      </c>
      <c r="H13" s="2">
        <v>105</v>
      </c>
      <c r="I13" s="2">
        <v>2835</v>
      </c>
      <c r="J13" s="4">
        <v>0.09</v>
      </c>
      <c r="K13" s="2">
        <v>2579.85</v>
      </c>
      <c r="L13" s="2">
        <f t="shared" si="1"/>
        <v>255.15000000000009</v>
      </c>
      <c r="M13" s="1">
        <v>43842</v>
      </c>
      <c r="N13" s="1">
        <v>43842</v>
      </c>
      <c r="O13">
        <v>12</v>
      </c>
      <c r="P13">
        <v>3</v>
      </c>
      <c r="Q13" t="s">
        <v>43</v>
      </c>
      <c r="R13" s="3">
        <v>7.0000000000000007E-2</v>
      </c>
      <c r="S13" s="2">
        <v>180.58950000000002</v>
      </c>
      <c r="T13">
        <v>5</v>
      </c>
      <c r="U13" t="str">
        <f t="shared" si="2"/>
        <v>Janeiro</v>
      </c>
    </row>
    <row r="14" spans="1:21">
      <c r="A14">
        <v>13</v>
      </c>
      <c r="B14" s="1">
        <v>43839</v>
      </c>
      <c r="C14" s="1" t="str">
        <f t="shared" si="0"/>
        <v>janeiro</v>
      </c>
      <c r="D14">
        <v>55</v>
      </c>
      <c r="E14" t="s">
        <v>44</v>
      </c>
      <c r="F14" t="s">
        <v>31</v>
      </c>
      <c r="G14" s="8">
        <v>18</v>
      </c>
      <c r="H14" s="2">
        <v>110</v>
      </c>
      <c r="I14" s="2">
        <v>1980</v>
      </c>
      <c r="J14" s="4">
        <v>0.14000000000000001</v>
      </c>
      <c r="K14" s="2">
        <v>1702.8</v>
      </c>
      <c r="L14" s="2">
        <f t="shared" si="1"/>
        <v>277.20000000000005</v>
      </c>
      <c r="M14" s="1">
        <v>43868</v>
      </c>
      <c r="N14" s="1">
        <v>43868</v>
      </c>
      <c r="O14">
        <v>13</v>
      </c>
      <c r="P14">
        <v>5</v>
      </c>
      <c r="Q14" t="s">
        <v>22</v>
      </c>
      <c r="R14" s="3">
        <v>0.06</v>
      </c>
      <c r="S14" s="2">
        <v>102.16799999999999</v>
      </c>
      <c r="T14">
        <v>6</v>
      </c>
      <c r="U14" t="str">
        <f t="shared" si="2"/>
        <v>Janeiro</v>
      </c>
    </row>
    <row r="15" spans="1:21">
      <c r="A15">
        <v>14</v>
      </c>
      <c r="B15" s="1">
        <v>43839</v>
      </c>
      <c r="C15" s="1" t="str">
        <f t="shared" si="0"/>
        <v>janeiro</v>
      </c>
      <c r="D15">
        <v>73</v>
      </c>
      <c r="E15" t="s">
        <v>38</v>
      </c>
      <c r="F15" t="s">
        <v>24</v>
      </c>
      <c r="G15" s="8">
        <v>31</v>
      </c>
      <c r="H15" s="2">
        <v>117</v>
      </c>
      <c r="I15" s="2">
        <v>3627</v>
      </c>
      <c r="J15" s="4">
        <v>0.02</v>
      </c>
      <c r="K15" s="2">
        <v>3554.46</v>
      </c>
      <c r="L15" s="2">
        <f t="shared" si="1"/>
        <v>72.539999999999964</v>
      </c>
      <c r="M15" s="1">
        <v>43839</v>
      </c>
      <c r="N15" s="1">
        <v>43839</v>
      </c>
      <c r="O15">
        <v>14</v>
      </c>
      <c r="P15">
        <v>4</v>
      </c>
      <c r="Q15" t="s">
        <v>25</v>
      </c>
      <c r="R15" s="3">
        <v>0.06</v>
      </c>
      <c r="S15" s="2">
        <v>213.26759999999999</v>
      </c>
      <c r="T15">
        <v>7</v>
      </c>
      <c r="U15" t="str">
        <f t="shared" si="2"/>
        <v>Janeiro</v>
      </c>
    </row>
    <row r="16" spans="1:21">
      <c r="A16">
        <v>15</v>
      </c>
      <c r="B16" s="1">
        <v>43839</v>
      </c>
      <c r="C16" s="1" t="str">
        <f t="shared" si="0"/>
        <v>janeiro</v>
      </c>
      <c r="D16">
        <v>74</v>
      </c>
      <c r="E16" t="s">
        <v>38</v>
      </c>
      <c r="F16" t="s">
        <v>28</v>
      </c>
      <c r="G16" s="8">
        <v>11</v>
      </c>
      <c r="H16" s="2">
        <v>114</v>
      </c>
      <c r="I16" s="2">
        <v>1254</v>
      </c>
      <c r="J16" s="4">
        <v>0.04</v>
      </c>
      <c r="K16" s="2">
        <v>1203.8399999999999</v>
      </c>
      <c r="L16" s="2">
        <f t="shared" si="1"/>
        <v>50.160000000000082</v>
      </c>
      <c r="M16" s="1">
        <v>43847</v>
      </c>
      <c r="N16" s="1">
        <v>43847</v>
      </c>
      <c r="O16">
        <v>15</v>
      </c>
      <c r="P16">
        <v>4</v>
      </c>
      <c r="Q16" t="s">
        <v>32</v>
      </c>
      <c r="R16" s="3">
        <v>0.1</v>
      </c>
      <c r="S16" s="2">
        <v>120.384</v>
      </c>
      <c r="T16">
        <v>1</v>
      </c>
      <c r="U16" t="str">
        <f t="shared" si="2"/>
        <v>Janeiro</v>
      </c>
    </row>
    <row r="17" spans="1:21">
      <c r="A17">
        <v>16</v>
      </c>
      <c r="B17" s="1">
        <v>43841</v>
      </c>
      <c r="C17" s="1" t="str">
        <f t="shared" si="0"/>
        <v>janeiro</v>
      </c>
      <c r="D17">
        <v>12</v>
      </c>
      <c r="E17" t="s">
        <v>45</v>
      </c>
      <c r="F17" t="s">
        <v>31</v>
      </c>
      <c r="G17" s="8">
        <v>25</v>
      </c>
      <c r="H17" s="2">
        <v>110</v>
      </c>
      <c r="I17" s="2">
        <v>2750</v>
      </c>
      <c r="J17" s="4">
        <v>0.01</v>
      </c>
      <c r="K17" s="2">
        <v>2722.5</v>
      </c>
      <c r="L17" s="2">
        <f t="shared" si="1"/>
        <v>27.5</v>
      </c>
      <c r="M17" s="1">
        <v>43843</v>
      </c>
      <c r="N17" s="1">
        <v>43843</v>
      </c>
      <c r="O17">
        <v>16</v>
      </c>
      <c r="P17">
        <v>6</v>
      </c>
      <c r="Q17" t="s">
        <v>32</v>
      </c>
      <c r="R17" s="3">
        <v>0.1</v>
      </c>
      <c r="S17" s="2">
        <v>272.25</v>
      </c>
      <c r="T17">
        <v>2</v>
      </c>
      <c r="U17" t="str">
        <f t="shared" si="2"/>
        <v>Janeiro</v>
      </c>
    </row>
    <row r="18" spans="1:21">
      <c r="A18">
        <v>17</v>
      </c>
      <c r="B18" s="1">
        <v>43842</v>
      </c>
      <c r="C18" s="1" t="str">
        <f t="shared" si="0"/>
        <v>janeiro</v>
      </c>
      <c r="D18">
        <v>92</v>
      </c>
      <c r="E18" t="s">
        <v>26</v>
      </c>
      <c r="F18" t="s">
        <v>46</v>
      </c>
      <c r="G18" s="8">
        <v>30</v>
      </c>
      <c r="H18" s="2">
        <v>108</v>
      </c>
      <c r="I18" s="2">
        <v>3240</v>
      </c>
      <c r="J18" s="4">
        <v>0.06</v>
      </c>
      <c r="K18" s="2">
        <v>3045.6</v>
      </c>
      <c r="L18" s="2">
        <f t="shared" si="1"/>
        <v>194.40000000000009</v>
      </c>
      <c r="M18" s="1">
        <v>43865</v>
      </c>
      <c r="N18" s="1">
        <v>43865</v>
      </c>
      <c r="O18">
        <v>17</v>
      </c>
      <c r="P18">
        <v>1</v>
      </c>
      <c r="Q18" t="s">
        <v>47</v>
      </c>
      <c r="R18" s="3">
        <v>7.0000000000000007E-2</v>
      </c>
      <c r="S18" s="2">
        <v>213.19200000000001</v>
      </c>
      <c r="T18">
        <v>3</v>
      </c>
      <c r="U18" t="str">
        <f t="shared" si="2"/>
        <v>Janeiro</v>
      </c>
    </row>
    <row r="19" spans="1:21">
      <c r="A19">
        <v>18</v>
      </c>
      <c r="B19" s="1">
        <v>43845</v>
      </c>
      <c r="C19" s="1" t="str">
        <f t="shared" si="0"/>
        <v>janeiro</v>
      </c>
      <c r="D19">
        <v>37</v>
      </c>
      <c r="E19" t="s">
        <v>48</v>
      </c>
      <c r="F19" t="s">
        <v>28</v>
      </c>
      <c r="G19" s="8">
        <v>21</v>
      </c>
      <c r="H19" s="2">
        <v>109</v>
      </c>
      <c r="I19" s="2">
        <v>2289</v>
      </c>
      <c r="J19" s="4">
        <v>0.1</v>
      </c>
      <c r="K19" s="2">
        <v>2060.1</v>
      </c>
      <c r="L19" s="2">
        <f t="shared" si="1"/>
        <v>228.90000000000009</v>
      </c>
      <c r="M19" s="1">
        <v>43873</v>
      </c>
      <c r="N19" s="1">
        <v>43873</v>
      </c>
      <c r="O19">
        <v>18</v>
      </c>
      <c r="P19">
        <v>4</v>
      </c>
      <c r="Q19" t="s">
        <v>47</v>
      </c>
      <c r="R19" s="3">
        <v>7.0000000000000007E-2</v>
      </c>
      <c r="S19" s="2">
        <v>144.20699999999999</v>
      </c>
      <c r="T19">
        <v>4</v>
      </c>
      <c r="U19" t="str">
        <f t="shared" si="2"/>
        <v>Janeiro</v>
      </c>
    </row>
    <row r="20" spans="1:21">
      <c r="A20">
        <v>19</v>
      </c>
      <c r="B20" s="1">
        <v>43845</v>
      </c>
      <c r="C20" s="1" t="str">
        <f t="shared" si="0"/>
        <v>janeiro</v>
      </c>
      <c r="D20">
        <v>100</v>
      </c>
      <c r="E20" t="s">
        <v>38</v>
      </c>
      <c r="F20" t="s">
        <v>31</v>
      </c>
      <c r="G20" s="8">
        <v>37</v>
      </c>
      <c r="H20" s="2">
        <v>99</v>
      </c>
      <c r="I20" s="2">
        <v>3663</v>
      </c>
      <c r="J20" s="4">
        <v>0.12</v>
      </c>
      <c r="K20" s="2">
        <v>3223.44</v>
      </c>
      <c r="L20" s="2">
        <f t="shared" si="1"/>
        <v>439.55999999999995</v>
      </c>
      <c r="M20" s="1">
        <v>43863</v>
      </c>
      <c r="N20" s="1">
        <v>43863</v>
      </c>
      <c r="O20">
        <v>19</v>
      </c>
      <c r="P20">
        <v>3</v>
      </c>
      <c r="Q20" t="s">
        <v>43</v>
      </c>
      <c r="R20" s="3">
        <v>0.05</v>
      </c>
      <c r="S20" s="2">
        <v>161.17200000000003</v>
      </c>
      <c r="T20">
        <v>5</v>
      </c>
      <c r="U20" t="str">
        <f t="shared" si="2"/>
        <v>Janeiro</v>
      </c>
    </row>
    <row r="21" spans="1:21">
      <c r="A21">
        <v>20</v>
      </c>
      <c r="B21" s="1">
        <v>43845</v>
      </c>
      <c r="C21" s="1" t="str">
        <f t="shared" si="0"/>
        <v>janeiro</v>
      </c>
      <c r="D21">
        <v>94</v>
      </c>
      <c r="E21" t="s">
        <v>49</v>
      </c>
      <c r="F21" t="s">
        <v>50</v>
      </c>
      <c r="G21" s="8">
        <v>39</v>
      </c>
      <c r="H21" s="2">
        <v>103</v>
      </c>
      <c r="I21" s="2">
        <v>4017</v>
      </c>
      <c r="J21" s="4">
        <v>0.15</v>
      </c>
      <c r="K21" s="2">
        <v>3414.45</v>
      </c>
      <c r="L21" s="2">
        <f t="shared" si="1"/>
        <v>602.55000000000018</v>
      </c>
      <c r="M21" s="1">
        <v>43860</v>
      </c>
      <c r="N21" s="1">
        <v>43860</v>
      </c>
      <c r="O21">
        <v>20</v>
      </c>
      <c r="P21">
        <v>6</v>
      </c>
      <c r="Q21" t="s">
        <v>34</v>
      </c>
      <c r="R21" s="3">
        <v>0.08</v>
      </c>
      <c r="S21" s="2">
        <v>273.15600000000001</v>
      </c>
      <c r="T21">
        <v>6</v>
      </c>
      <c r="U21" t="str">
        <f t="shared" si="2"/>
        <v>Janeiro</v>
      </c>
    </row>
    <row r="22" spans="1:21">
      <c r="A22">
        <v>21</v>
      </c>
      <c r="B22" s="1">
        <v>43845</v>
      </c>
      <c r="C22" s="1" t="str">
        <f t="shared" si="0"/>
        <v>janeiro</v>
      </c>
      <c r="D22">
        <v>22</v>
      </c>
      <c r="E22" t="s">
        <v>51</v>
      </c>
      <c r="F22" t="s">
        <v>50</v>
      </c>
      <c r="G22" s="8">
        <v>27</v>
      </c>
      <c r="H22" s="2">
        <v>115</v>
      </c>
      <c r="I22" s="2">
        <v>3105</v>
      </c>
      <c r="J22" s="4">
        <v>0.12</v>
      </c>
      <c r="K22" s="2">
        <v>2732.4</v>
      </c>
      <c r="L22" s="2">
        <f t="shared" si="1"/>
        <v>372.59999999999991</v>
      </c>
      <c r="M22" s="1">
        <v>43855</v>
      </c>
      <c r="N22" s="1">
        <v>43855</v>
      </c>
      <c r="O22">
        <v>21</v>
      </c>
      <c r="P22">
        <v>1</v>
      </c>
      <c r="Q22" t="s">
        <v>29</v>
      </c>
      <c r="R22" s="3">
        <v>7.0000000000000007E-2</v>
      </c>
      <c r="S22" s="2">
        <v>191.26800000000003</v>
      </c>
      <c r="T22">
        <v>7</v>
      </c>
      <c r="U22" t="str">
        <f t="shared" si="2"/>
        <v>Janeiro</v>
      </c>
    </row>
    <row r="23" spans="1:21">
      <c r="A23">
        <v>22</v>
      </c>
      <c r="B23" s="1">
        <v>43846</v>
      </c>
      <c r="C23" s="1" t="str">
        <f t="shared" si="0"/>
        <v>janeiro</v>
      </c>
      <c r="D23">
        <v>35</v>
      </c>
      <c r="E23" t="s">
        <v>38</v>
      </c>
      <c r="F23" t="s">
        <v>31</v>
      </c>
      <c r="G23" s="8">
        <v>49</v>
      </c>
      <c r="H23" s="2">
        <v>105</v>
      </c>
      <c r="I23" s="2">
        <v>5145</v>
      </c>
      <c r="J23" s="4">
        <v>0.03</v>
      </c>
      <c r="K23" s="2">
        <v>4990.6499999999996</v>
      </c>
      <c r="L23" s="2">
        <f t="shared" si="1"/>
        <v>154.35000000000036</v>
      </c>
      <c r="M23" s="1">
        <v>43852</v>
      </c>
      <c r="N23" s="1">
        <v>43852</v>
      </c>
      <c r="O23">
        <v>22</v>
      </c>
      <c r="P23">
        <v>2</v>
      </c>
      <c r="Q23" t="s">
        <v>29</v>
      </c>
      <c r="R23" s="3">
        <v>0.09</v>
      </c>
      <c r="S23" s="2">
        <v>449.15849999999995</v>
      </c>
      <c r="T23">
        <v>1</v>
      </c>
      <c r="U23" t="str">
        <f t="shared" si="2"/>
        <v>Janeiro</v>
      </c>
    </row>
    <row r="24" spans="1:21">
      <c r="A24">
        <v>23</v>
      </c>
      <c r="B24" s="1">
        <v>43846</v>
      </c>
      <c r="C24" s="1" t="str">
        <f t="shared" si="0"/>
        <v>janeiro</v>
      </c>
      <c r="D24">
        <v>88</v>
      </c>
      <c r="E24" t="s">
        <v>38</v>
      </c>
      <c r="F24" t="s">
        <v>50</v>
      </c>
      <c r="G24" s="8">
        <v>29</v>
      </c>
      <c r="H24" s="2">
        <v>91</v>
      </c>
      <c r="I24" s="2">
        <v>2639</v>
      </c>
      <c r="J24" s="4">
        <v>0.1</v>
      </c>
      <c r="K24" s="2">
        <v>2375.1</v>
      </c>
      <c r="L24" s="2">
        <f t="shared" si="1"/>
        <v>263.90000000000009</v>
      </c>
      <c r="M24" s="1">
        <v>43873</v>
      </c>
      <c r="N24" s="1">
        <v>43873</v>
      </c>
      <c r="O24">
        <v>23</v>
      </c>
      <c r="P24">
        <v>2</v>
      </c>
      <c r="Q24" t="s">
        <v>52</v>
      </c>
      <c r="R24" s="3">
        <v>0.09</v>
      </c>
      <c r="S24" s="2">
        <v>213.75899999999999</v>
      </c>
      <c r="T24">
        <v>2</v>
      </c>
      <c r="U24" t="str">
        <f t="shared" si="2"/>
        <v>Janeiro</v>
      </c>
    </row>
    <row r="25" spans="1:21">
      <c r="A25">
        <v>24</v>
      </c>
      <c r="B25" s="1">
        <v>43846</v>
      </c>
      <c r="C25" s="1" t="str">
        <f t="shared" si="0"/>
        <v>janeiro</v>
      </c>
      <c r="D25">
        <v>51</v>
      </c>
      <c r="E25" t="s">
        <v>53</v>
      </c>
      <c r="F25" t="s">
        <v>54</v>
      </c>
      <c r="G25" s="8">
        <v>23</v>
      </c>
      <c r="H25" s="2">
        <v>90</v>
      </c>
      <c r="I25" s="2">
        <v>2070</v>
      </c>
      <c r="J25" s="4">
        <v>7.0000000000000007E-2</v>
      </c>
      <c r="K25" s="2">
        <v>1925.1</v>
      </c>
      <c r="L25" s="2">
        <f t="shared" si="1"/>
        <v>144.90000000000009</v>
      </c>
      <c r="M25" s="1">
        <v>43865</v>
      </c>
      <c r="N25" s="1">
        <v>43865</v>
      </c>
      <c r="O25">
        <v>24</v>
      </c>
      <c r="P25">
        <v>5</v>
      </c>
      <c r="Q25" t="s">
        <v>25</v>
      </c>
      <c r="R25" s="3">
        <v>7.0000000000000007E-2</v>
      </c>
      <c r="S25" s="2">
        <v>134.75700000000001</v>
      </c>
      <c r="T25">
        <v>3</v>
      </c>
      <c r="U25" t="str">
        <f t="shared" si="2"/>
        <v>Janeiro</v>
      </c>
    </row>
    <row r="26" spans="1:21">
      <c r="A26">
        <v>25</v>
      </c>
      <c r="B26" s="1">
        <v>43848</v>
      </c>
      <c r="C26" s="1" t="str">
        <f t="shared" si="0"/>
        <v>janeiro</v>
      </c>
      <c r="D26">
        <v>51</v>
      </c>
      <c r="E26" t="s">
        <v>53</v>
      </c>
      <c r="F26" t="s">
        <v>55</v>
      </c>
      <c r="G26" s="8">
        <v>17</v>
      </c>
      <c r="H26" s="2">
        <v>116</v>
      </c>
      <c r="I26" s="2">
        <v>1972</v>
      </c>
      <c r="J26" s="4">
        <v>0.08</v>
      </c>
      <c r="K26" s="2">
        <v>1814.24</v>
      </c>
      <c r="L26" s="2">
        <f t="shared" si="1"/>
        <v>157.76</v>
      </c>
      <c r="M26" s="1">
        <v>43853</v>
      </c>
      <c r="N26" s="1">
        <v>43853</v>
      </c>
      <c r="O26">
        <v>25</v>
      </c>
      <c r="P26">
        <v>5</v>
      </c>
      <c r="Q26" t="s">
        <v>34</v>
      </c>
      <c r="R26" s="3">
        <v>0.09</v>
      </c>
      <c r="S26" s="2">
        <v>163.2816</v>
      </c>
      <c r="T26">
        <v>4</v>
      </c>
      <c r="U26" t="str">
        <f t="shared" si="2"/>
        <v>Janeiro</v>
      </c>
    </row>
    <row r="27" spans="1:21">
      <c r="A27">
        <v>26</v>
      </c>
      <c r="B27" s="1">
        <v>43848</v>
      </c>
      <c r="C27" s="1" t="str">
        <f t="shared" si="0"/>
        <v>janeiro</v>
      </c>
      <c r="D27">
        <v>61</v>
      </c>
      <c r="E27" t="s">
        <v>56</v>
      </c>
      <c r="F27" t="s">
        <v>55</v>
      </c>
      <c r="G27" s="8">
        <v>28</v>
      </c>
      <c r="H27" s="2">
        <v>109</v>
      </c>
      <c r="I27" s="2">
        <v>3052</v>
      </c>
      <c r="J27" s="4">
        <v>0.09</v>
      </c>
      <c r="K27" s="2">
        <v>2777.32</v>
      </c>
      <c r="L27" s="2">
        <f t="shared" si="1"/>
        <v>274.67999999999984</v>
      </c>
      <c r="M27" s="1">
        <v>43869</v>
      </c>
      <c r="N27" s="1">
        <v>43869</v>
      </c>
      <c r="O27">
        <v>26</v>
      </c>
      <c r="P27">
        <v>5</v>
      </c>
      <c r="Q27" t="s">
        <v>47</v>
      </c>
      <c r="R27" s="3">
        <v>0.05</v>
      </c>
      <c r="S27" s="2">
        <v>138.86600000000001</v>
      </c>
      <c r="T27">
        <v>5</v>
      </c>
      <c r="U27" t="str">
        <f t="shared" si="2"/>
        <v>Janeiro</v>
      </c>
    </row>
    <row r="28" spans="1:21">
      <c r="A28">
        <v>27</v>
      </c>
      <c r="B28" s="1">
        <v>43848</v>
      </c>
      <c r="C28" s="1" t="str">
        <f t="shared" si="0"/>
        <v>janeiro</v>
      </c>
      <c r="D28">
        <v>85</v>
      </c>
      <c r="E28" t="s">
        <v>57</v>
      </c>
      <c r="F28" t="s">
        <v>28</v>
      </c>
      <c r="G28" s="8">
        <v>11</v>
      </c>
      <c r="H28" s="2">
        <v>101</v>
      </c>
      <c r="I28" s="2">
        <v>1111</v>
      </c>
      <c r="J28" s="4">
        <v>0.11</v>
      </c>
      <c r="K28" s="2">
        <v>988.79</v>
      </c>
      <c r="L28" s="2">
        <f t="shared" si="1"/>
        <v>122.21000000000004</v>
      </c>
      <c r="M28" s="1">
        <v>43878</v>
      </c>
      <c r="N28" s="1">
        <v>43878</v>
      </c>
      <c r="O28">
        <v>27</v>
      </c>
      <c r="P28">
        <v>6</v>
      </c>
      <c r="Q28" t="s">
        <v>25</v>
      </c>
      <c r="R28" s="3">
        <v>0.06</v>
      </c>
      <c r="S28" s="2">
        <v>59.327399999999997</v>
      </c>
      <c r="T28">
        <v>6</v>
      </c>
      <c r="U28" t="str">
        <f t="shared" si="2"/>
        <v>Janeiro</v>
      </c>
    </row>
    <row r="29" spans="1:21">
      <c r="A29">
        <v>28</v>
      </c>
      <c r="B29" s="1">
        <v>43849</v>
      </c>
      <c r="C29" s="1" t="str">
        <f t="shared" si="0"/>
        <v>janeiro</v>
      </c>
      <c r="D29">
        <v>34</v>
      </c>
      <c r="E29" t="s">
        <v>58</v>
      </c>
      <c r="F29" t="s">
        <v>59</v>
      </c>
      <c r="G29" s="8">
        <v>27</v>
      </c>
      <c r="H29" s="2">
        <v>96</v>
      </c>
      <c r="I29" s="2">
        <v>2592</v>
      </c>
      <c r="J29" s="4">
        <v>0.13</v>
      </c>
      <c r="K29" s="2">
        <v>2255.04</v>
      </c>
      <c r="L29" s="2">
        <f t="shared" si="1"/>
        <v>336.96000000000004</v>
      </c>
      <c r="M29" s="1">
        <v>43868</v>
      </c>
      <c r="N29" s="1">
        <v>43868</v>
      </c>
      <c r="O29">
        <v>28</v>
      </c>
      <c r="P29">
        <v>6</v>
      </c>
      <c r="Q29" t="s">
        <v>32</v>
      </c>
      <c r="R29" s="3">
        <v>0.06</v>
      </c>
      <c r="S29" s="2">
        <v>135.30240000000001</v>
      </c>
      <c r="T29">
        <v>7</v>
      </c>
      <c r="U29" t="str">
        <f t="shared" si="2"/>
        <v>Janeiro</v>
      </c>
    </row>
    <row r="30" spans="1:21">
      <c r="A30">
        <v>29</v>
      </c>
      <c r="B30" s="1">
        <v>43849</v>
      </c>
      <c r="C30" s="1" t="str">
        <f t="shared" si="0"/>
        <v>janeiro</v>
      </c>
      <c r="D30">
        <v>90</v>
      </c>
      <c r="E30" t="s">
        <v>60</v>
      </c>
      <c r="F30" t="s">
        <v>28</v>
      </c>
      <c r="G30" s="8">
        <v>20</v>
      </c>
      <c r="H30" s="2">
        <v>95</v>
      </c>
      <c r="I30" s="2">
        <v>1900</v>
      </c>
      <c r="J30" s="4">
        <v>7.0000000000000007E-2</v>
      </c>
      <c r="K30" s="2">
        <v>1767</v>
      </c>
      <c r="L30" s="2">
        <f t="shared" si="1"/>
        <v>133</v>
      </c>
      <c r="M30" s="1">
        <v>43854</v>
      </c>
      <c r="N30" s="1">
        <v>43854</v>
      </c>
      <c r="O30">
        <v>29</v>
      </c>
      <c r="P30">
        <v>7</v>
      </c>
      <c r="Q30" t="s">
        <v>43</v>
      </c>
      <c r="R30" s="3">
        <v>0.1</v>
      </c>
      <c r="S30" s="2">
        <v>176.70000000000002</v>
      </c>
      <c r="T30">
        <v>1</v>
      </c>
      <c r="U30" t="str">
        <f t="shared" si="2"/>
        <v>Janeiro</v>
      </c>
    </row>
    <row r="31" spans="1:21">
      <c r="A31">
        <v>30</v>
      </c>
      <c r="B31" s="1">
        <v>43850</v>
      </c>
      <c r="C31" s="1" t="str">
        <f t="shared" si="0"/>
        <v>janeiro</v>
      </c>
      <c r="D31">
        <v>48</v>
      </c>
      <c r="E31" t="s">
        <v>61</v>
      </c>
      <c r="F31" t="s">
        <v>50</v>
      </c>
      <c r="G31" s="8">
        <v>19</v>
      </c>
      <c r="H31" s="2">
        <v>114</v>
      </c>
      <c r="I31" s="2">
        <v>2166</v>
      </c>
      <c r="J31" s="4">
        <v>0.05</v>
      </c>
      <c r="K31" s="2">
        <v>2057.6999999999998</v>
      </c>
      <c r="L31" s="2">
        <f t="shared" si="1"/>
        <v>108.30000000000018</v>
      </c>
      <c r="M31" s="1">
        <v>43879</v>
      </c>
      <c r="N31" s="1">
        <v>43879</v>
      </c>
      <c r="O31">
        <v>30</v>
      </c>
      <c r="P31">
        <v>5</v>
      </c>
      <c r="Q31" t="s">
        <v>32</v>
      </c>
      <c r="R31" s="3">
        <v>0.1</v>
      </c>
      <c r="S31" s="2">
        <v>205.76999999999998</v>
      </c>
      <c r="T31">
        <v>2</v>
      </c>
      <c r="U31" t="str">
        <f t="shared" si="2"/>
        <v>Janeiro</v>
      </c>
    </row>
    <row r="32" spans="1:21">
      <c r="A32">
        <v>31</v>
      </c>
      <c r="B32" s="1">
        <v>43850</v>
      </c>
      <c r="C32" s="1" t="str">
        <f t="shared" si="0"/>
        <v>janeiro</v>
      </c>
      <c r="D32">
        <v>91</v>
      </c>
      <c r="E32" t="s">
        <v>62</v>
      </c>
      <c r="F32" t="s">
        <v>54</v>
      </c>
      <c r="G32" s="8">
        <v>50</v>
      </c>
      <c r="H32" s="2">
        <v>96</v>
      </c>
      <c r="I32" s="2">
        <v>4800</v>
      </c>
      <c r="J32" s="4">
        <v>0.05</v>
      </c>
      <c r="K32" s="2">
        <v>4560</v>
      </c>
      <c r="L32" s="2">
        <f t="shared" si="1"/>
        <v>240</v>
      </c>
      <c r="M32" s="1">
        <v>43879</v>
      </c>
      <c r="N32" s="1">
        <v>43879</v>
      </c>
      <c r="O32">
        <v>31</v>
      </c>
      <c r="P32">
        <v>3</v>
      </c>
      <c r="Q32" t="s">
        <v>22</v>
      </c>
      <c r="R32" s="3">
        <v>0.08</v>
      </c>
      <c r="S32" s="2">
        <v>364.8</v>
      </c>
      <c r="T32">
        <v>3</v>
      </c>
      <c r="U32" t="str">
        <f t="shared" si="2"/>
        <v>Janeiro</v>
      </c>
    </row>
    <row r="33" spans="1:21">
      <c r="A33">
        <v>32</v>
      </c>
      <c r="B33" s="1">
        <v>43850</v>
      </c>
      <c r="C33" s="1" t="str">
        <f t="shared" si="0"/>
        <v>janeiro</v>
      </c>
      <c r="D33">
        <v>25</v>
      </c>
      <c r="E33" t="s">
        <v>63</v>
      </c>
      <c r="F33" t="s">
        <v>50</v>
      </c>
      <c r="G33" s="8">
        <v>20</v>
      </c>
      <c r="H33" s="2">
        <v>108</v>
      </c>
      <c r="I33" s="2">
        <v>2160</v>
      </c>
      <c r="J33" s="4">
        <v>0</v>
      </c>
      <c r="K33" s="2">
        <v>2160</v>
      </c>
      <c r="L33" s="2">
        <f t="shared" si="1"/>
        <v>0</v>
      </c>
      <c r="M33" s="1">
        <v>43862</v>
      </c>
      <c r="N33" s="1">
        <v>43862</v>
      </c>
      <c r="O33">
        <v>32</v>
      </c>
      <c r="P33">
        <v>6</v>
      </c>
      <c r="Q33" t="s">
        <v>32</v>
      </c>
      <c r="R33" s="3">
        <v>7.0000000000000007E-2</v>
      </c>
      <c r="S33" s="2">
        <v>151.20000000000002</v>
      </c>
      <c r="T33">
        <v>4</v>
      </c>
      <c r="U33" t="str">
        <f t="shared" si="2"/>
        <v>Janeiro</v>
      </c>
    </row>
    <row r="34" spans="1:21">
      <c r="A34">
        <v>33</v>
      </c>
      <c r="B34" s="1">
        <v>43851</v>
      </c>
      <c r="C34" s="1" t="str">
        <f t="shared" si="0"/>
        <v>janeiro</v>
      </c>
      <c r="D34">
        <v>65</v>
      </c>
      <c r="E34" t="s">
        <v>64</v>
      </c>
      <c r="F34" t="s">
        <v>31</v>
      </c>
      <c r="G34" s="8">
        <v>18</v>
      </c>
      <c r="H34" s="2">
        <v>102</v>
      </c>
      <c r="I34" s="2">
        <v>1836</v>
      </c>
      <c r="J34" s="4">
        <v>0.11</v>
      </c>
      <c r="K34" s="2">
        <v>1634.04</v>
      </c>
      <c r="L34" s="2">
        <f t="shared" si="1"/>
        <v>201.96000000000004</v>
      </c>
      <c r="M34" s="1">
        <v>43878</v>
      </c>
      <c r="N34" s="1">
        <v>43878</v>
      </c>
      <c r="O34">
        <v>33</v>
      </c>
      <c r="P34">
        <v>3</v>
      </c>
      <c r="Q34" t="s">
        <v>22</v>
      </c>
      <c r="R34" s="3">
        <v>0.06</v>
      </c>
      <c r="S34" s="2">
        <v>98.042400000000001</v>
      </c>
      <c r="T34">
        <v>5</v>
      </c>
      <c r="U34" t="str">
        <f t="shared" si="2"/>
        <v>Janeiro</v>
      </c>
    </row>
    <row r="35" spans="1:21">
      <c r="A35">
        <v>34</v>
      </c>
      <c r="B35" s="1">
        <v>43851</v>
      </c>
      <c r="C35" s="1" t="str">
        <f t="shared" si="0"/>
        <v>janeiro</v>
      </c>
      <c r="D35">
        <v>52</v>
      </c>
      <c r="E35" t="s">
        <v>23</v>
      </c>
      <c r="F35" t="s">
        <v>31</v>
      </c>
      <c r="G35" s="8">
        <v>44</v>
      </c>
      <c r="H35" s="2">
        <v>106</v>
      </c>
      <c r="I35" s="2">
        <v>4664</v>
      </c>
      <c r="J35" s="4">
        <v>0.08</v>
      </c>
      <c r="K35" s="2">
        <v>4290.88</v>
      </c>
      <c r="L35" s="2">
        <f t="shared" si="1"/>
        <v>373.11999999999989</v>
      </c>
      <c r="M35" s="1">
        <v>43863</v>
      </c>
      <c r="N35" s="1">
        <v>43863</v>
      </c>
      <c r="O35">
        <v>34</v>
      </c>
      <c r="P35">
        <v>1</v>
      </c>
      <c r="Q35" t="s">
        <v>32</v>
      </c>
      <c r="R35" s="3">
        <v>7.0000000000000007E-2</v>
      </c>
      <c r="S35" s="2">
        <v>300.36160000000001</v>
      </c>
      <c r="T35">
        <v>6</v>
      </c>
      <c r="U35" t="str">
        <f t="shared" si="2"/>
        <v>Janeiro</v>
      </c>
    </row>
    <row r="36" spans="1:21">
      <c r="A36">
        <v>35</v>
      </c>
      <c r="B36" s="1">
        <v>43851</v>
      </c>
      <c r="C36" s="1" t="str">
        <f t="shared" si="0"/>
        <v>janeiro</v>
      </c>
      <c r="D36">
        <v>74</v>
      </c>
      <c r="E36" t="s">
        <v>38</v>
      </c>
      <c r="F36" t="s">
        <v>50</v>
      </c>
      <c r="G36" s="8">
        <v>41</v>
      </c>
      <c r="H36" s="2">
        <v>105</v>
      </c>
      <c r="I36" s="2">
        <v>4305</v>
      </c>
      <c r="J36" s="4">
        <v>0.13</v>
      </c>
      <c r="K36" s="2">
        <v>3745.35</v>
      </c>
      <c r="L36" s="2">
        <f t="shared" si="1"/>
        <v>559.65000000000009</v>
      </c>
      <c r="M36" s="1">
        <v>43879</v>
      </c>
      <c r="N36" s="1">
        <v>43879</v>
      </c>
      <c r="O36">
        <v>35</v>
      </c>
      <c r="P36">
        <v>6</v>
      </c>
      <c r="Q36" t="s">
        <v>52</v>
      </c>
      <c r="R36" s="3">
        <v>0.09</v>
      </c>
      <c r="S36" s="2">
        <v>337.08150000000001</v>
      </c>
      <c r="T36">
        <v>7</v>
      </c>
      <c r="U36" t="str">
        <f t="shared" si="2"/>
        <v>Janeiro</v>
      </c>
    </row>
    <row r="37" spans="1:21">
      <c r="A37">
        <v>36</v>
      </c>
      <c r="B37" s="1">
        <v>43852</v>
      </c>
      <c r="C37" s="1" t="str">
        <f t="shared" si="0"/>
        <v>janeiro</v>
      </c>
      <c r="D37">
        <v>77</v>
      </c>
      <c r="E37" t="s">
        <v>65</v>
      </c>
      <c r="F37" t="s">
        <v>24</v>
      </c>
      <c r="G37" s="8">
        <v>19</v>
      </c>
      <c r="H37" s="2">
        <v>111</v>
      </c>
      <c r="I37" s="2">
        <v>2109</v>
      </c>
      <c r="J37" s="4">
        <v>0.08</v>
      </c>
      <c r="K37" s="2">
        <v>1940.28</v>
      </c>
      <c r="L37" s="2">
        <f t="shared" si="1"/>
        <v>168.72000000000003</v>
      </c>
      <c r="M37" s="1">
        <v>43866</v>
      </c>
      <c r="N37" s="1">
        <v>43866</v>
      </c>
      <c r="O37">
        <v>36</v>
      </c>
      <c r="P37">
        <v>2</v>
      </c>
      <c r="Q37" t="s">
        <v>37</v>
      </c>
      <c r="R37" s="3">
        <v>0.06</v>
      </c>
      <c r="S37" s="2">
        <v>116.41679999999999</v>
      </c>
      <c r="T37">
        <v>1</v>
      </c>
      <c r="U37" t="str">
        <f t="shared" si="2"/>
        <v>Janeiro</v>
      </c>
    </row>
    <row r="38" spans="1:21">
      <c r="A38">
        <v>37</v>
      </c>
      <c r="B38" s="1">
        <v>43852</v>
      </c>
      <c r="C38" s="1" t="str">
        <f t="shared" si="0"/>
        <v>janeiro</v>
      </c>
      <c r="D38">
        <v>72</v>
      </c>
      <c r="E38" t="s">
        <v>38</v>
      </c>
      <c r="F38" t="s">
        <v>31</v>
      </c>
      <c r="G38" s="8">
        <v>14</v>
      </c>
      <c r="H38" s="2">
        <v>94</v>
      </c>
      <c r="I38" s="2">
        <v>1316</v>
      </c>
      <c r="J38" s="4">
        <v>0.09</v>
      </c>
      <c r="K38" s="2">
        <v>1197.56</v>
      </c>
      <c r="L38" s="2">
        <f t="shared" si="1"/>
        <v>118.44000000000005</v>
      </c>
      <c r="M38" s="1">
        <v>43870</v>
      </c>
      <c r="N38" s="1">
        <v>43870</v>
      </c>
      <c r="O38">
        <v>37</v>
      </c>
      <c r="P38">
        <v>7</v>
      </c>
      <c r="Q38" t="s">
        <v>47</v>
      </c>
      <c r="R38" s="3">
        <v>0.09</v>
      </c>
      <c r="S38" s="2">
        <v>107.78039999999999</v>
      </c>
      <c r="T38">
        <v>2</v>
      </c>
      <c r="U38" t="str">
        <f t="shared" si="2"/>
        <v>Janeiro</v>
      </c>
    </row>
    <row r="39" spans="1:21">
      <c r="A39">
        <v>38</v>
      </c>
      <c r="B39" s="1">
        <v>43853</v>
      </c>
      <c r="C39" s="1" t="str">
        <f t="shared" si="0"/>
        <v>janeiro</v>
      </c>
      <c r="D39">
        <v>97</v>
      </c>
      <c r="E39" t="s">
        <v>66</v>
      </c>
      <c r="F39" t="s">
        <v>21</v>
      </c>
      <c r="G39" s="8">
        <v>16</v>
      </c>
      <c r="H39" s="2">
        <v>108</v>
      </c>
      <c r="I39" s="2">
        <v>1728</v>
      </c>
      <c r="J39" s="4">
        <v>0.08</v>
      </c>
      <c r="K39" s="2">
        <v>1589.76</v>
      </c>
      <c r="L39" s="2">
        <f t="shared" si="1"/>
        <v>138.24</v>
      </c>
      <c r="M39" s="1">
        <v>43862</v>
      </c>
      <c r="N39" s="1">
        <v>43862</v>
      </c>
      <c r="O39">
        <v>38</v>
      </c>
      <c r="P39">
        <v>4</v>
      </c>
      <c r="Q39" t="s">
        <v>47</v>
      </c>
      <c r="R39" s="3">
        <v>0.06</v>
      </c>
      <c r="S39" s="2">
        <v>95.385599999999997</v>
      </c>
      <c r="T39">
        <v>3</v>
      </c>
      <c r="U39" t="str">
        <f t="shared" si="2"/>
        <v>Janeiro</v>
      </c>
    </row>
    <row r="40" spans="1:21">
      <c r="A40">
        <v>39</v>
      </c>
      <c r="B40" s="1">
        <v>43853</v>
      </c>
      <c r="C40" s="1" t="str">
        <f t="shared" si="0"/>
        <v>janeiro</v>
      </c>
      <c r="D40">
        <v>82</v>
      </c>
      <c r="E40" t="s">
        <v>67</v>
      </c>
      <c r="F40" t="s">
        <v>24</v>
      </c>
      <c r="G40" s="8">
        <v>41</v>
      </c>
      <c r="H40" s="2">
        <v>102</v>
      </c>
      <c r="I40" s="2">
        <v>4182</v>
      </c>
      <c r="J40" s="4">
        <v>0.04</v>
      </c>
      <c r="K40" s="2">
        <v>4014.72</v>
      </c>
      <c r="L40" s="2">
        <f t="shared" si="1"/>
        <v>167.2800000000002</v>
      </c>
      <c r="M40" s="1">
        <v>43878</v>
      </c>
      <c r="N40" s="1">
        <v>43878</v>
      </c>
      <c r="O40">
        <v>39</v>
      </c>
      <c r="P40">
        <v>7</v>
      </c>
      <c r="Q40" t="s">
        <v>29</v>
      </c>
      <c r="R40" s="3">
        <v>0.09</v>
      </c>
      <c r="S40" s="2">
        <v>361.32479999999998</v>
      </c>
      <c r="T40">
        <v>4</v>
      </c>
      <c r="U40" t="str">
        <f t="shared" si="2"/>
        <v>Janeiro</v>
      </c>
    </row>
    <row r="41" spans="1:21">
      <c r="A41">
        <v>40</v>
      </c>
      <c r="B41" s="1">
        <v>43854</v>
      </c>
      <c r="C41" s="1" t="str">
        <f t="shared" si="0"/>
        <v>janeiro</v>
      </c>
      <c r="D41">
        <v>47</v>
      </c>
      <c r="E41" t="s">
        <v>40</v>
      </c>
      <c r="F41" t="s">
        <v>59</v>
      </c>
      <c r="G41" s="8">
        <v>46</v>
      </c>
      <c r="H41" s="2">
        <v>107</v>
      </c>
      <c r="I41" s="2">
        <v>4922</v>
      </c>
      <c r="J41" s="4">
        <v>0.15</v>
      </c>
      <c r="K41" s="2">
        <v>4183.7</v>
      </c>
      <c r="L41" s="2">
        <f t="shared" si="1"/>
        <v>738.30000000000018</v>
      </c>
      <c r="M41" s="1">
        <v>43867</v>
      </c>
      <c r="N41" s="1">
        <v>43867</v>
      </c>
      <c r="O41">
        <v>40</v>
      </c>
      <c r="P41">
        <v>6</v>
      </c>
      <c r="Q41" t="s">
        <v>25</v>
      </c>
      <c r="R41" s="3">
        <v>0.05</v>
      </c>
      <c r="S41" s="2">
        <v>209.185</v>
      </c>
      <c r="T41">
        <v>5</v>
      </c>
      <c r="U41" t="str">
        <f t="shared" si="2"/>
        <v>Janeiro</v>
      </c>
    </row>
    <row r="42" spans="1:21">
      <c r="A42">
        <v>41</v>
      </c>
      <c r="B42" s="1">
        <v>43854</v>
      </c>
      <c r="C42" s="1" t="str">
        <f t="shared" si="0"/>
        <v>janeiro</v>
      </c>
      <c r="D42">
        <v>77</v>
      </c>
      <c r="E42" t="s">
        <v>65</v>
      </c>
      <c r="F42" t="s">
        <v>50</v>
      </c>
      <c r="G42" s="8">
        <v>38</v>
      </c>
      <c r="H42" s="2">
        <v>105</v>
      </c>
      <c r="I42" s="2">
        <v>3990</v>
      </c>
      <c r="J42" s="4">
        <v>0.05</v>
      </c>
      <c r="K42" s="2">
        <v>3790.5</v>
      </c>
      <c r="L42" s="2">
        <f t="shared" si="1"/>
        <v>199.5</v>
      </c>
      <c r="M42" s="1">
        <v>43881</v>
      </c>
      <c r="N42" s="1">
        <v>43881</v>
      </c>
      <c r="O42">
        <v>41</v>
      </c>
      <c r="P42">
        <v>7</v>
      </c>
      <c r="Q42" t="s">
        <v>43</v>
      </c>
      <c r="R42" s="3">
        <v>0.09</v>
      </c>
      <c r="S42" s="2">
        <v>341.14499999999998</v>
      </c>
      <c r="T42">
        <v>6</v>
      </c>
      <c r="U42" t="str">
        <f t="shared" si="2"/>
        <v>Janeiro</v>
      </c>
    </row>
    <row r="43" spans="1:21">
      <c r="A43">
        <v>42</v>
      </c>
      <c r="B43" s="1">
        <v>43854</v>
      </c>
      <c r="C43" s="1" t="str">
        <f t="shared" si="0"/>
        <v>janeiro</v>
      </c>
      <c r="D43">
        <v>8</v>
      </c>
      <c r="E43" t="s">
        <v>38</v>
      </c>
      <c r="F43" t="s">
        <v>41</v>
      </c>
      <c r="G43" s="8">
        <v>48</v>
      </c>
      <c r="H43" s="2">
        <v>111</v>
      </c>
      <c r="I43" s="2">
        <v>5328</v>
      </c>
      <c r="J43" s="4">
        <v>0.11</v>
      </c>
      <c r="K43" s="2">
        <v>4741.92</v>
      </c>
      <c r="L43" s="2">
        <f t="shared" si="1"/>
        <v>586.07999999999993</v>
      </c>
      <c r="M43" s="1">
        <v>43867</v>
      </c>
      <c r="N43" s="1">
        <v>43867</v>
      </c>
      <c r="O43">
        <v>42</v>
      </c>
      <c r="P43">
        <v>7</v>
      </c>
      <c r="Q43" t="s">
        <v>37</v>
      </c>
      <c r="R43" s="3">
        <v>0.09</v>
      </c>
      <c r="S43" s="2">
        <v>426.77280000000002</v>
      </c>
      <c r="T43">
        <v>7</v>
      </c>
      <c r="U43" t="str">
        <f t="shared" si="2"/>
        <v>Janeiro</v>
      </c>
    </row>
    <row r="44" spans="1:21">
      <c r="A44">
        <v>43</v>
      </c>
      <c r="B44" s="1">
        <v>43854</v>
      </c>
      <c r="C44" s="1" t="str">
        <f t="shared" si="0"/>
        <v>janeiro</v>
      </c>
      <c r="D44">
        <v>41</v>
      </c>
      <c r="E44" t="s">
        <v>68</v>
      </c>
      <c r="F44" t="s">
        <v>28</v>
      </c>
      <c r="G44" s="8">
        <v>33</v>
      </c>
      <c r="H44" s="2">
        <v>99</v>
      </c>
      <c r="I44" s="2">
        <v>3267</v>
      </c>
      <c r="J44" s="4">
        <v>0.02</v>
      </c>
      <c r="K44" s="2">
        <v>3201.66</v>
      </c>
      <c r="L44" s="2">
        <f t="shared" si="1"/>
        <v>65.340000000000146</v>
      </c>
      <c r="M44" s="1">
        <v>43877</v>
      </c>
      <c r="N44" s="1">
        <v>43877</v>
      </c>
      <c r="O44">
        <v>43</v>
      </c>
      <c r="P44">
        <v>5</v>
      </c>
      <c r="Q44" t="s">
        <v>22</v>
      </c>
      <c r="R44" s="3">
        <v>0.05</v>
      </c>
      <c r="S44" s="2">
        <v>160.083</v>
      </c>
      <c r="T44">
        <v>1</v>
      </c>
      <c r="U44" t="str">
        <f t="shared" si="2"/>
        <v>Janeiro</v>
      </c>
    </row>
    <row r="45" spans="1:21">
      <c r="A45">
        <v>44</v>
      </c>
      <c r="B45" s="1">
        <v>43855</v>
      </c>
      <c r="C45" s="1" t="str">
        <f t="shared" si="0"/>
        <v>janeiro</v>
      </c>
      <c r="D45">
        <v>41</v>
      </c>
      <c r="E45" t="s">
        <v>68</v>
      </c>
      <c r="F45" t="s">
        <v>46</v>
      </c>
      <c r="G45" s="8">
        <v>22</v>
      </c>
      <c r="H45" s="2">
        <v>117</v>
      </c>
      <c r="I45" s="2">
        <v>2574</v>
      </c>
      <c r="J45" s="4">
        <v>0.12</v>
      </c>
      <c r="K45" s="2">
        <v>2265.12</v>
      </c>
      <c r="L45" s="2">
        <f t="shared" si="1"/>
        <v>308.88000000000011</v>
      </c>
      <c r="M45" s="1">
        <v>43884</v>
      </c>
      <c r="N45" s="1">
        <v>43884</v>
      </c>
      <c r="O45">
        <v>44</v>
      </c>
      <c r="P45">
        <v>7</v>
      </c>
      <c r="Q45" t="s">
        <v>29</v>
      </c>
      <c r="R45" s="3">
        <v>7.0000000000000007E-2</v>
      </c>
      <c r="S45" s="2">
        <v>158.55840000000001</v>
      </c>
      <c r="T45">
        <v>2</v>
      </c>
      <c r="U45" t="str">
        <f t="shared" si="2"/>
        <v>Janeiro</v>
      </c>
    </row>
    <row r="46" spans="1:21">
      <c r="A46">
        <v>45</v>
      </c>
      <c r="B46" s="1">
        <v>43855</v>
      </c>
      <c r="C46" s="1" t="str">
        <f t="shared" si="0"/>
        <v>janeiro</v>
      </c>
      <c r="D46">
        <v>55</v>
      </c>
      <c r="E46" t="s">
        <v>44</v>
      </c>
      <c r="F46" t="s">
        <v>41</v>
      </c>
      <c r="G46" s="8">
        <v>31</v>
      </c>
      <c r="H46" s="2">
        <v>110</v>
      </c>
      <c r="I46" s="2">
        <v>3410</v>
      </c>
      <c r="J46" s="4">
        <v>0.04</v>
      </c>
      <c r="K46" s="2">
        <v>3273.6</v>
      </c>
      <c r="L46" s="2">
        <f t="shared" si="1"/>
        <v>136.40000000000009</v>
      </c>
      <c r="M46" s="1">
        <v>43858</v>
      </c>
      <c r="N46" s="1">
        <v>43858</v>
      </c>
      <c r="O46">
        <v>45</v>
      </c>
      <c r="P46">
        <v>6</v>
      </c>
      <c r="Q46" t="s">
        <v>43</v>
      </c>
      <c r="R46" s="3">
        <v>0.06</v>
      </c>
      <c r="S46" s="2">
        <v>196.416</v>
      </c>
      <c r="T46">
        <v>3</v>
      </c>
      <c r="U46" t="str">
        <f t="shared" si="2"/>
        <v>Janeiro</v>
      </c>
    </row>
    <row r="47" spans="1:21">
      <c r="A47">
        <v>46</v>
      </c>
      <c r="B47" s="1">
        <v>43855</v>
      </c>
      <c r="C47" s="1" t="str">
        <f t="shared" si="0"/>
        <v>janeiro</v>
      </c>
      <c r="D47">
        <v>40</v>
      </c>
      <c r="E47" t="s">
        <v>49</v>
      </c>
      <c r="F47" t="s">
        <v>41</v>
      </c>
      <c r="G47" s="8">
        <v>37</v>
      </c>
      <c r="H47" s="2">
        <v>90</v>
      </c>
      <c r="I47" s="2">
        <v>3330</v>
      </c>
      <c r="J47" s="4">
        <v>0.15</v>
      </c>
      <c r="K47" s="2">
        <v>2830.5</v>
      </c>
      <c r="L47" s="2">
        <f t="shared" si="1"/>
        <v>499.5</v>
      </c>
      <c r="M47" s="1">
        <v>43876</v>
      </c>
      <c r="N47" s="1">
        <v>43876</v>
      </c>
      <c r="O47">
        <v>46</v>
      </c>
      <c r="P47">
        <v>1</v>
      </c>
      <c r="Q47" t="s">
        <v>34</v>
      </c>
      <c r="R47" s="3">
        <v>0.1</v>
      </c>
      <c r="S47" s="2">
        <v>283.05</v>
      </c>
      <c r="T47">
        <v>4</v>
      </c>
      <c r="U47" t="str">
        <f t="shared" si="2"/>
        <v>Janeiro</v>
      </c>
    </row>
    <row r="48" spans="1:21">
      <c r="A48">
        <v>47</v>
      </c>
      <c r="B48" s="1">
        <v>43855</v>
      </c>
      <c r="C48" s="1" t="str">
        <f t="shared" si="0"/>
        <v>janeiro</v>
      </c>
      <c r="D48">
        <v>47</v>
      </c>
      <c r="E48" t="s">
        <v>40</v>
      </c>
      <c r="F48" t="s">
        <v>41</v>
      </c>
      <c r="G48" s="8">
        <v>45</v>
      </c>
      <c r="H48" s="2">
        <v>108</v>
      </c>
      <c r="I48" s="2">
        <v>4860</v>
      </c>
      <c r="J48" s="4">
        <v>0.11</v>
      </c>
      <c r="K48" s="2">
        <v>4325.3999999999996</v>
      </c>
      <c r="L48" s="2">
        <f t="shared" si="1"/>
        <v>534.60000000000036</v>
      </c>
      <c r="M48" s="1">
        <v>43860</v>
      </c>
      <c r="N48" s="1">
        <v>43860</v>
      </c>
      <c r="O48">
        <v>47</v>
      </c>
      <c r="P48">
        <v>6</v>
      </c>
      <c r="Q48" t="s">
        <v>69</v>
      </c>
      <c r="R48" s="3">
        <v>0.1</v>
      </c>
      <c r="S48" s="2">
        <v>432.53999999999996</v>
      </c>
      <c r="T48">
        <v>5</v>
      </c>
      <c r="U48" t="str">
        <f t="shared" si="2"/>
        <v>Janeiro</v>
      </c>
    </row>
    <row r="49" spans="1:21">
      <c r="A49">
        <v>48</v>
      </c>
      <c r="B49" s="1">
        <v>43857</v>
      </c>
      <c r="C49" s="1" t="str">
        <f t="shared" si="0"/>
        <v>janeiro</v>
      </c>
      <c r="D49">
        <v>36</v>
      </c>
      <c r="E49" t="s">
        <v>70</v>
      </c>
      <c r="F49" t="s">
        <v>46</v>
      </c>
      <c r="G49" s="8">
        <v>26</v>
      </c>
      <c r="H49" s="2">
        <v>93</v>
      </c>
      <c r="I49" s="2">
        <v>2418</v>
      </c>
      <c r="J49" s="4">
        <v>0.05</v>
      </c>
      <c r="K49" s="2">
        <v>2297.1</v>
      </c>
      <c r="L49" s="2">
        <f t="shared" si="1"/>
        <v>120.90000000000009</v>
      </c>
      <c r="M49" s="1">
        <v>43878</v>
      </c>
      <c r="N49" s="1">
        <v>43878</v>
      </c>
      <c r="O49">
        <v>48</v>
      </c>
      <c r="P49">
        <v>7</v>
      </c>
      <c r="Q49" t="s">
        <v>34</v>
      </c>
      <c r="R49" s="3">
        <v>0.09</v>
      </c>
      <c r="S49" s="2">
        <v>206.73899999999998</v>
      </c>
      <c r="T49">
        <v>6</v>
      </c>
      <c r="U49" t="str">
        <f t="shared" si="2"/>
        <v>Janeiro</v>
      </c>
    </row>
    <row r="50" spans="1:21">
      <c r="A50">
        <v>49</v>
      </c>
      <c r="B50" s="1">
        <v>43859</v>
      </c>
      <c r="C50" s="1" t="str">
        <f t="shared" si="0"/>
        <v>janeiro</v>
      </c>
      <c r="D50">
        <v>44</v>
      </c>
      <c r="E50" t="s">
        <v>71</v>
      </c>
      <c r="F50" t="s">
        <v>55</v>
      </c>
      <c r="G50" s="8">
        <v>44</v>
      </c>
      <c r="H50" s="2">
        <v>92</v>
      </c>
      <c r="I50" s="2">
        <v>4048</v>
      </c>
      <c r="J50" s="4">
        <v>0.04</v>
      </c>
      <c r="K50" s="2">
        <v>3886.08</v>
      </c>
      <c r="L50" s="2">
        <f t="shared" si="1"/>
        <v>161.92000000000007</v>
      </c>
      <c r="M50" s="1">
        <v>43889</v>
      </c>
      <c r="N50" s="1">
        <v>43889</v>
      </c>
      <c r="O50">
        <v>49</v>
      </c>
      <c r="P50">
        <v>5</v>
      </c>
      <c r="Q50" t="s">
        <v>52</v>
      </c>
      <c r="R50" s="3">
        <v>0.1</v>
      </c>
      <c r="S50" s="2">
        <v>388.608</v>
      </c>
      <c r="T50">
        <v>7</v>
      </c>
      <c r="U50" t="str">
        <f t="shared" si="2"/>
        <v>Janeiro</v>
      </c>
    </row>
    <row r="51" spans="1:21">
      <c r="A51">
        <v>50</v>
      </c>
      <c r="B51" s="1">
        <v>43859</v>
      </c>
      <c r="C51" s="1" t="str">
        <f t="shared" si="0"/>
        <v>janeiro</v>
      </c>
      <c r="D51">
        <v>58</v>
      </c>
      <c r="E51" t="s">
        <v>72</v>
      </c>
      <c r="F51" t="s">
        <v>46</v>
      </c>
      <c r="G51" s="8">
        <v>26</v>
      </c>
      <c r="H51" s="2">
        <v>116</v>
      </c>
      <c r="I51" s="2">
        <v>3016</v>
      </c>
      <c r="J51" s="4">
        <v>0</v>
      </c>
      <c r="K51" s="2">
        <v>3016</v>
      </c>
      <c r="L51" s="2">
        <f t="shared" si="1"/>
        <v>0</v>
      </c>
      <c r="M51" s="1">
        <v>43884</v>
      </c>
      <c r="N51" s="1">
        <v>43884</v>
      </c>
      <c r="O51">
        <v>50</v>
      </c>
      <c r="P51">
        <v>1</v>
      </c>
      <c r="Q51" t="s">
        <v>25</v>
      </c>
      <c r="R51" s="3">
        <v>0.1</v>
      </c>
      <c r="S51" s="2">
        <v>301.60000000000002</v>
      </c>
      <c r="T51">
        <v>1</v>
      </c>
      <c r="U51" t="str">
        <f t="shared" si="2"/>
        <v>Janeiro</v>
      </c>
    </row>
    <row r="52" spans="1:21">
      <c r="A52">
        <v>51</v>
      </c>
      <c r="B52" s="1">
        <v>43859</v>
      </c>
      <c r="C52" s="1" t="str">
        <f t="shared" si="0"/>
        <v>janeiro</v>
      </c>
      <c r="D52">
        <v>38</v>
      </c>
      <c r="E52" t="s">
        <v>73</v>
      </c>
      <c r="F52" t="s">
        <v>31</v>
      </c>
      <c r="G52" s="8">
        <v>50</v>
      </c>
      <c r="H52" s="2">
        <v>91</v>
      </c>
      <c r="I52" s="2">
        <v>4550</v>
      </c>
      <c r="J52" s="4">
        <v>0.12</v>
      </c>
      <c r="K52" s="2">
        <v>4004</v>
      </c>
      <c r="L52" s="2">
        <f t="shared" si="1"/>
        <v>546</v>
      </c>
      <c r="M52" s="1">
        <v>43860</v>
      </c>
      <c r="N52" s="1">
        <v>43860</v>
      </c>
      <c r="O52">
        <v>51</v>
      </c>
      <c r="P52">
        <v>7</v>
      </c>
      <c r="Q52" t="s">
        <v>22</v>
      </c>
      <c r="R52" s="3">
        <v>0.09</v>
      </c>
      <c r="S52" s="2">
        <v>360.36</v>
      </c>
      <c r="T52">
        <v>2</v>
      </c>
      <c r="U52" t="str">
        <f t="shared" si="2"/>
        <v>Janeiro</v>
      </c>
    </row>
    <row r="53" spans="1:21">
      <c r="A53">
        <v>52</v>
      </c>
      <c r="B53" s="1">
        <v>43859</v>
      </c>
      <c r="C53" s="1" t="str">
        <f t="shared" si="0"/>
        <v>janeiro</v>
      </c>
      <c r="D53">
        <v>94</v>
      </c>
      <c r="E53" t="s">
        <v>49</v>
      </c>
      <c r="F53" t="s">
        <v>50</v>
      </c>
      <c r="G53" s="8">
        <v>30</v>
      </c>
      <c r="H53" s="2">
        <v>103</v>
      </c>
      <c r="I53" s="2">
        <v>3090</v>
      </c>
      <c r="J53" s="4">
        <v>0.06</v>
      </c>
      <c r="K53" s="2">
        <v>2904.6</v>
      </c>
      <c r="L53" s="2">
        <f t="shared" si="1"/>
        <v>185.40000000000009</v>
      </c>
      <c r="M53" s="1">
        <v>43871</v>
      </c>
      <c r="N53" s="1">
        <v>43871</v>
      </c>
      <c r="O53">
        <v>52</v>
      </c>
      <c r="P53">
        <v>3</v>
      </c>
      <c r="Q53" t="s">
        <v>69</v>
      </c>
      <c r="R53" s="3">
        <v>7.0000000000000007E-2</v>
      </c>
      <c r="S53" s="2">
        <v>203.322</v>
      </c>
      <c r="T53">
        <v>3</v>
      </c>
      <c r="U53" t="str">
        <f t="shared" si="2"/>
        <v>Janeiro</v>
      </c>
    </row>
    <row r="54" spans="1:21">
      <c r="A54">
        <v>53</v>
      </c>
      <c r="B54" s="1">
        <v>43860</v>
      </c>
      <c r="C54" s="1" t="str">
        <f t="shared" si="0"/>
        <v>janeiro</v>
      </c>
      <c r="D54">
        <v>24</v>
      </c>
      <c r="E54" t="s">
        <v>74</v>
      </c>
      <c r="F54" t="s">
        <v>31</v>
      </c>
      <c r="G54" s="8">
        <v>44</v>
      </c>
      <c r="H54" s="2">
        <v>94</v>
      </c>
      <c r="I54" s="2">
        <v>4136</v>
      </c>
      <c r="J54" s="4">
        <v>0.08</v>
      </c>
      <c r="K54" s="2">
        <v>3805.12</v>
      </c>
      <c r="L54" s="2">
        <f t="shared" si="1"/>
        <v>330.88000000000011</v>
      </c>
      <c r="M54" s="1">
        <v>43886</v>
      </c>
      <c r="N54" s="1">
        <v>43886</v>
      </c>
      <c r="O54">
        <v>53</v>
      </c>
      <c r="P54">
        <v>6</v>
      </c>
      <c r="Q54" t="s">
        <v>37</v>
      </c>
      <c r="R54" s="3">
        <v>0.06</v>
      </c>
      <c r="S54" s="2">
        <v>228.30719999999999</v>
      </c>
      <c r="T54">
        <v>4</v>
      </c>
      <c r="U54" t="str">
        <f t="shared" si="2"/>
        <v>Janeiro</v>
      </c>
    </row>
    <row r="55" spans="1:21">
      <c r="A55">
        <v>54</v>
      </c>
      <c r="B55" s="1">
        <v>43861</v>
      </c>
      <c r="C55" s="1" t="str">
        <f t="shared" si="0"/>
        <v>janeiro</v>
      </c>
      <c r="D55">
        <v>93</v>
      </c>
      <c r="E55" t="s">
        <v>33</v>
      </c>
      <c r="F55" t="s">
        <v>46</v>
      </c>
      <c r="G55" s="8">
        <v>41</v>
      </c>
      <c r="H55" s="2">
        <v>103</v>
      </c>
      <c r="I55" s="2">
        <v>4223</v>
      </c>
      <c r="J55" s="4">
        <v>0.1</v>
      </c>
      <c r="K55" s="2">
        <v>3800.7</v>
      </c>
      <c r="L55" s="2">
        <f t="shared" si="1"/>
        <v>422.30000000000018</v>
      </c>
      <c r="M55" s="1">
        <v>43869</v>
      </c>
      <c r="N55" s="1">
        <v>43869</v>
      </c>
      <c r="O55">
        <v>54</v>
      </c>
      <c r="P55">
        <v>2</v>
      </c>
      <c r="Q55" t="s">
        <v>22</v>
      </c>
      <c r="R55" s="3">
        <v>0.08</v>
      </c>
      <c r="S55" s="2">
        <v>304.05599999999998</v>
      </c>
      <c r="T55">
        <v>5</v>
      </c>
      <c r="U55" t="str">
        <f t="shared" si="2"/>
        <v>Janeiro</v>
      </c>
    </row>
    <row r="56" spans="1:21">
      <c r="A56">
        <v>55</v>
      </c>
      <c r="B56" s="1">
        <v>43861</v>
      </c>
      <c r="C56" s="1" t="str">
        <f t="shared" si="0"/>
        <v>janeiro</v>
      </c>
      <c r="D56">
        <v>95</v>
      </c>
      <c r="E56" t="s">
        <v>38</v>
      </c>
      <c r="F56" t="s">
        <v>41</v>
      </c>
      <c r="G56" s="8">
        <v>11</v>
      </c>
      <c r="H56" s="2">
        <v>105</v>
      </c>
      <c r="I56" s="2">
        <v>1155</v>
      </c>
      <c r="J56" s="4">
        <v>0.06</v>
      </c>
      <c r="K56" s="2">
        <v>1085.7</v>
      </c>
      <c r="L56" s="2">
        <f t="shared" si="1"/>
        <v>69.299999999999955</v>
      </c>
      <c r="M56" s="1">
        <v>43872</v>
      </c>
      <c r="N56" s="1">
        <v>43872</v>
      </c>
      <c r="O56">
        <v>55</v>
      </c>
      <c r="P56">
        <v>4</v>
      </c>
      <c r="Q56" t="s">
        <v>29</v>
      </c>
      <c r="R56" s="3">
        <v>7.0000000000000007E-2</v>
      </c>
      <c r="S56" s="2">
        <v>75.999000000000009</v>
      </c>
      <c r="T56">
        <v>6</v>
      </c>
      <c r="U56" t="str">
        <f t="shared" si="2"/>
        <v>Janeiro</v>
      </c>
    </row>
    <row r="57" spans="1:21">
      <c r="A57">
        <v>56</v>
      </c>
      <c r="B57" s="1">
        <v>43861</v>
      </c>
      <c r="C57" s="1" t="str">
        <f t="shared" si="0"/>
        <v>janeiro</v>
      </c>
      <c r="D57">
        <v>13</v>
      </c>
      <c r="E57" t="s">
        <v>75</v>
      </c>
      <c r="F57" t="s">
        <v>24</v>
      </c>
      <c r="G57" s="8">
        <v>45</v>
      </c>
      <c r="H57" s="2">
        <v>106</v>
      </c>
      <c r="I57" s="2">
        <v>4770</v>
      </c>
      <c r="J57" s="4">
        <v>0.12</v>
      </c>
      <c r="K57" s="2">
        <v>4197.6000000000004</v>
      </c>
      <c r="L57" s="2">
        <f t="shared" si="1"/>
        <v>572.39999999999964</v>
      </c>
      <c r="M57" s="1">
        <v>43886</v>
      </c>
      <c r="N57" s="1">
        <v>43886</v>
      </c>
      <c r="O57">
        <v>56</v>
      </c>
      <c r="P57">
        <v>6</v>
      </c>
      <c r="Q57" t="s">
        <v>25</v>
      </c>
      <c r="R57" s="3">
        <v>0.05</v>
      </c>
      <c r="S57" s="2">
        <v>209.88000000000002</v>
      </c>
      <c r="T57">
        <v>7</v>
      </c>
      <c r="U57" t="str">
        <f t="shared" si="2"/>
        <v>Janeiro</v>
      </c>
    </row>
    <row r="58" spans="1:21">
      <c r="A58">
        <v>57</v>
      </c>
      <c r="B58" s="1">
        <v>43862</v>
      </c>
      <c r="C58" s="1" t="str">
        <f t="shared" si="0"/>
        <v>fevereiro</v>
      </c>
      <c r="D58">
        <v>33</v>
      </c>
      <c r="E58" t="s">
        <v>76</v>
      </c>
      <c r="F58" t="s">
        <v>50</v>
      </c>
      <c r="G58" s="8">
        <v>35</v>
      </c>
      <c r="H58" s="2">
        <v>101</v>
      </c>
      <c r="I58" s="2">
        <v>3535</v>
      </c>
      <c r="J58" s="4">
        <v>0.13</v>
      </c>
      <c r="K58" s="2">
        <v>3075.45</v>
      </c>
      <c r="L58" s="2">
        <f t="shared" si="1"/>
        <v>459.55000000000018</v>
      </c>
      <c r="M58" s="1">
        <v>43888</v>
      </c>
      <c r="N58" s="1">
        <v>43888</v>
      </c>
      <c r="O58">
        <v>57</v>
      </c>
      <c r="P58">
        <v>4</v>
      </c>
      <c r="Q58" t="s">
        <v>32</v>
      </c>
      <c r="R58" s="3">
        <v>0.08</v>
      </c>
      <c r="S58" s="2">
        <v>246.036</v>
      </c>
      <c r="T58">
        <v>1</v>
      </c>
      <c r="U58" t="str">
        <f t="shared" si="2"/>
        <v>Fevereiro</v>
      </c>
    </row>
    <row r="59" spans="1:21">
      <c r="A59">
        <v>58</v>
      </c>
      <c r="B59" s="1">
        <v>43862</v>
      </c>
      <c r="C59" s="1" t="str">
        <f t="shared" si="0"/>
        <v>fevereiro</v>
      </c>
      <c r="D59">
        <v>52</v>
      </c>
      <c r="E59" t="s">
        <v>23</v>
      </c>
      <c r="F59" t="s">
        <v>54</v>
      </c>
      <c r="G59" s="8">
        <v>15</v>
      </c>
      <c r="H59" s="2">
        <v>104</v>
      </c>
      <c r="I59" s="2">
        <v>1560</v>
      </c>
      <c r="J59" s="4">
        <v>0.12</v>
      </c>
      <c r="K59" s="2">
        <v>1372.8</v>
      </c>
      <c r="L59" s="2">
        <f t="shared" si="1"/>
        <v>187.20000000000005</v>
      </c>
      <c r="M59" s="1">
        <v>43882</v>
      </c>
      <c r="N59" s="1">
        <v>43882</v>
      </c>
      <c r="O59">
        <v>58</v>
      </c>
      <c r="P59">
        <v>4</v>
      </c>
      <c r="Q59" t="s">
        <v>43</v>
      </c>
      <c r="R59" s="3">
        <v>0.08</v>
      </c>
      <c r="S59" s="2">
        <v>109.824</v>
      </c>
      <c r="T59">
        <v>2</v>
      </c>
      <c r="U59" t="str">
        <f t="shared" si="2"/>
        <v>Fevereiro</v>
      </c>
    </row>
    <row r="60" spans="1:21">
      <c r="A60">
        <v>59</v>
      </c>
      <c r="B60" s="1">
        <v>43863</v>
      </c>
      <c r="C60" s="1" t="str">
        <f t="shared" si="0"/>
        <v>fevereiro</v>
      </c>
      <c r="D60">
        <v>15</v>
      </c>
      <c r="E60" t="s">
        <v>77</v>
      </c>
      <c r="F60" t="s">
        <v>24</v>
      </c>
      <c r="G60" s="8">
        <v>13</v>
      </c>
      <c r="H60" s="2">
        <v>116</v>
      </c>
      <c r="I60" s="2">
        <v>1508</v>
      </c>
      <c r="J60" s="4">
        <v>0.14000000000000001</v>
      </c>
      <c r="K60" s="2">
        <v>1296.8799999999999</v>
      </c>
      <c r="L60" s="2">
        <f t="shared" si="1"/>
        <v>211.12000000000012</v>
      </c>
      <c r="M60" s="1">
        <v>43891</v>
      </c>
      <c r="N60" s="1">
        <v>43891</v>
      </c>
      <c r="O60">
        <v>59</v>
      </c>
      <c r="P60">
        <v>3</v>
      </c>
      <c r="Q60" t="s">
        <v>29</v>
      </c>
      <c r="R60" s="3">
        <v>7.0000000000000007E-2</v>
      </c>
      <c r="S60" s="2">
        <v>90.781599999999997</v>
      </c>
      <c r="T60">
        <v>3</v>
      </c>
      <c r="U60" t="str">
        <f t="shared" si="2"/>
        <v>Fevereiro</v>
      </c>
    </row>
    <row r="61" spans="1:21">
      <c r="A61">
        <v>60</v>
      </c>
      <c r="B61" s="1">
        <v>43864</v>
      </c>
      <c r="C61" s="1" t="str">
        <f t="shared" si="0"/>
        <v>fevereiro</v>
      </c>
      <c r="D61">
        <v>13</v>
      </c>
      <c r="E61" t="s">
        <v>75</v>
      </c>
      <c r="F61" t="s">
        <v>31</v>
      </c>
      <c r="G61" s="8">
        <v>43</v>
      </c>
      <c r="H61" s="2">
        <v>98</v>
      </c>
      <c r="I61" s="2">
        <v>4214</v>
      </c>
      <c r="J61" s="4">
        <v>0.08</v>
      </c>
      <c r="K61" s="2">
        <v>3876.88</v>
      </c>
      <c r="L61" s="2">
        <f t="shared" si="1"/>
        <v>337.11999999999989</v>
      </c>
      <c r="M61" s="1">
        <v>43879</v>
      </c>
      <c r="N61" s="1">
        <v>43879</v>
      </c>
      <c r="O61">
        <v>60</v>
      </c>
      <c r="P61">
        <v>1</v>
      </c>
      <c r="Q61" t="s">
        <v>34</v>
      </c>
      <c r="R61" s="3">
        <v>7.0000000000000007E-2</v>
      </c>
      <c r="S61" s="2">
        <v>271.38160000000005</v>
      </c>
      <c r="T61">
        <v>4</v>
      </c>
      <c r="U61" t="str">
        <f t="shared" si="2"/>
        <v>Fevereiro</v>
      </c>
    </row>
    <row r="62" spans="1:21">
      <c r="A62">
        <v>61</v>
      </c>
      <c r="B62" s="1">
        <v>43864</v>
      </c>
      <c r="C62" s="1" t="str">
        <f t="shared" si="0"/>
        <v>fevereiro</v>
      </c>
      <c r="D62">
        <v>89</v>
      </c>
      <c r="E62" t="s">
        <v>49</v>
      </c>
      <c r="F62" t="s">
        <v>41</v>
      </c>
      <c r="G62" s="8">
        <v>28</v>
      </c>
      <c r="H62" s="2">
        <v>102</v>
      </c>
      <c r="I62" s="2">
        <v>2856</v>
      </c>
      <c r="J62" s="4">
        <v>0</v>
      </c>
      <c r="K62" s="2">
        <v>2856</v>
      </c>
      <c r="L62" s="2">
        <f t="shared" si="1"/>
        <v>0</v>
      </c>
      <c r="M62" s="1">
        <v>43890</v>
      </c>
      <c r="N62" s="1">
        <v>43890</v>
      </c>
      <c r="O62">
        <v>61</v>
      </c>
      <c r="P62">
        <v>2</v>
      </c>
      <c r="Q62" t="s">
        <v>47</v>
      </c>
      <c r="R62" s="3">
        <v>0.09</v>
      </c>
      <c r="S62" s="2">
        <v>257.03999999999996</v>
      </c>
      <c r="T62">
        <v>5</v>
      </c>
      <c r="U62" t="str">
        <f t="shared" si="2"/>
        <v>Fevereiro</v>
      </c>
    </row>
    <row r="63" spans="1:21">
      <c r="A63">
        <v>62</v>
      </c>
      <c r="B63" s="1">
        <v>43865</v>
      </c>
      <c r="C63" s="1" t="str">
        <f t="shared" si="0"/>
        <v>fevereiro</v>
      </c>
      <c r="D63">
        <v>64</v>
      </c>
      <c r="E63" t="s">
        <v>78</v>
      </c>
      <c r="F63" t="s">
        <v>50</v>
      </c>
      <c r="G63" s="8">
        <v>16</v>
      </c>
      <c r="H63" s="2">
        <v>112</v>
      </c>
      <c r="I63" s="2">
        <v>1792</v>
      </c>
      <c r="J63" s="4">
        <v>0.04</v>
      </c>
      <c r="K63" s="2">
        <v>1720.32</v>
      </c>
      <c r="L63" s="2">
        <f t="shared" si="1"/>
        <v>71.680000000000064</v>
      </c>
      <c r="M63" s="1">
        <v>43869</v>
      </c>
      <c r="N63" s="1">
        <v>43869</v>
      </c>
      <c r="O63">
        <v>62</v>
      </c>
      <c r="P63">
        <v>4</v>
      </c>
      <c r="Q63" t="s">
        <v>52</v>
      </c>
      <c r="R63" s="3">
        <v>0.05</v>
      </c>
      <c r="S63" s="2">
        <v>86.016000000000005</v>
      </c>
      <c r="T63">
        <v>6</v>
      </c>
      <c r="U63" t="str">
        <f t="shared" si="2"/>
        <v>Fevereiro</v>
      </c>
    </row>
    <row r="64" spans="1:21">
      <c r="A64">
        <v>63</v>
      </c>
      <c r="B64" s="1">
        <v>43865</v>
      </c>
      <c r="C64" s="1" t="str">
        <f t="shared" si="0"/>
        <v>fevereiro</v>
      </c>
      <c r="D64">
        <v>54</v>
      </c>
      <c r="E64" t="s">
        <v>79</v>
      </c>
      <c r="F64" t="s">
        <v>54</v>
      </c>
      <c r="G64" s="8">
        <v>42</v>
      </c>
      <c r="H64" s="2">
        <v>102</v>
      </c>
      <c r="I64" s="2">
        <v>4284</v>
      </c>
      <c r="J64" s="4">
        <v>0.05</v>
      </c>
      <c r="K64" s="2">
        <v>4069.8</v>
      </c>
      <c r="L64" s="2">
        <f t="shared" si="1"/>
        <v>214.19999999999982</v>
      </c>
      <c r="M64" s="1">
        <v>43885</v>
      </c>
      <c r="N64" s="1">
        <v>43885</v>
      </c>
      <c r="O64">
        <v>63</v>
      </c>
      <c r="P64">
        <v>2</v>
      </c>
      <c r="Q64" t="s">
        <v>43</v>
      </c>
      <c r="R64" s="3">
        <v>0.05</v>
      </c>
      <c r="S64" s="2">
        <v>203.49</v>
      </c>
      <c r="T64">
        <v>7</v>
      </c>
      <c r="U64" t="str">
        <f t="shared" si="2"/>
        <v>Fevereiro</v>
      </c>
    </row>
    <row r="65" spans="1:21">
      <c r="A65">
        <v>64</v>
      </c>
      <c r="B65" s="1">
        <v>43866</v>
      </c>
      <c r="C65" s="1" t="str">
        <f t="shared" si="0"/>
        <v>fevereiro</v>
      </c>
      <c r="D65">
        <v>41</v>
      </c>
      <c r="E65" t="s">
        <v>68</v>
      </c>
      <c r="F65" t="s">
        <v>28</v>
      </c>
      <c r="G65" s="8">
        <v>32</v>
      </c>
      <c r="H65" s="2">
        <v>110</v>
      </c>
      <c r="I65" s="2">
        <v>3520</v>
      </c>
      <c r="J65" s="4">
        <v>0</v>
      </c>
      <c r="K65" s="2">
        <v>3520</v>
      </c>
      <c r="L65" s="2">
        <f t="shared" si="1"/>
        <v>0</v>
      </c>
      <c r="M65" s="1">
        <v>43877</v>
      </c>
      <c r="N65" s="1">
        <v>43877</v>
      </c>
      <c r="O65">
        <v>64</v>
      </c>
      <c r="P65">
        <v>4</v>
      </c>
      <c r="Q65" t="s">
        <v>43</v>
      </c>
      <c r="R65" s="3">
        <v>0.06</v>
      </c>
      <c r="S65" s="2">
        <v>211.2</v>
      </c>
      <c r="T65">
        <v>1</v>
      </c>
      <c r="U65" t="str">
        <f t="shared" si="2"/>
        <v>Fevereiro</v>
      </c>
    </row>
    <row r="66" spans="1:21">
      <c r="A66">
        <v>65</v>
      </c>
      <c r="B66" s="1">
        <v>43866</v>
      </c>
      <c r="C66" s="1" t="str">
        <f t="shared" si="0"/>
        <v>fevereiro</v>
      </c>
      <c r="D66">
        <v>65</v>
      </c>
      <c r="E66" t="s">
        <v>64</v>
      </c>
      <c r="F66" t="s">
        <v>21</v>
      </c>
      <c r="G66" s="8">
        <v>17</v>
      </c>
      <c r="H66" s="2">
        <v>93</v>
      </c>
      <c r="I66" s="2">
        <v>1581</v>
      </c>
      <c r="J66" s="4">
        <v>0.02</v>
      </c>
      <c r="K66" s="2">
        <v>1549.38</v>
      </c>
      <c r="L66" s="2">
        <f t="shared" si="1"/>
        <v>31.619999999999891</v>
      </c>
      <c r="M66" s="1">
        <v>43871</v>
      </c>
      <c r="N66" s="1">
        <v>43871</v>
      </c>
      <c r="O66">
        <v>65</v>
      </c>
      <c r="P66">
        <v>5</v>
      </c>
      <c r="Q66" t="s">
        <v>34</v>
      </c>
      <c r="R66" s="3">
        <v>0.05</v>
      </c>
      <c r="S66" s="2">
        <v>77.469000000000008</v>
      </c>
      <c r="T66">
        <v>2</v>
      </c>
      <c r="U66" t="str">
        <f t="shared" si="2"/>
        <v>Fevereiro</v>
      </c>
    </row>
    <row r="67" spans="1:21">
      <c r="A67">
        <v>66</v>
      </c>
      <c r="B67" s="1">
        <v>43866</v>
      </c>
      <c r="C67" s="1" t="str">
        <f t="shared" ref="C67:C130" si="3">TEXT(B67,"mmmm")</f>
        <v>fevereiro</v>
      </c>
      <c r="D67">
        <v>94</v>
      </c>
      <c r="E67" t="s">
        <v>49</v>
      </c>
      <c r="F67" t="s">
        <v>31</v>
      </c>
      <c r="G67" s="8">
        <v>23</v>
      </c>
      <c r="H67" s="2">
        <v>107</v>
      </c>
      <c r="I67" s="2">
        <v>2461</v>
      </c>
      <c r="J67" s="4">
        <v>0.1</v>
      </c>
      <c r="K67" s="2">
        <v>2214.9</v>
      </c>
      <c r="L67" s="2">
        <f t="shared" ref="L67:L130" si="4">I67-K67</f>
        <v>246.09999999999991</v>
      </c>
      <c r="M67" s="1">
        <v>43877</v>
      </c>
      <c r="N67" s="1">
        <v>43877</v>
      </c>
      <c r="O67">
        <v>66</v>
      </c>
      <c r="P67">
        <v>1</v>
      </c>
      <c r="Q67" t="s">
        <v>25</v>
      </c>
      <c r="R67" s="3">
        <v>0.05</v>
      </c>
      <c r="S67" s="2">
        <v>110.745</v>
      </c>
      <c r="T67">
        <v>3</v>
      </c>
      <c r="U67" t="str">
        <f t="shared" ref="U67:U130" si="5">PROPER(TEXT(B67,"mmmm"))</f>
        <v>Fevereiro</v>
      </c>
    </row>
    <row r="68" spans="1:21">
      <c r="A68">
        <v>67</v>
      </c>
      <c r="B68" s="1">
        <v>43866</v>
      </c>
      <c r="C68" s="1" t="str">
        <f t="shared" si="3"/>
        <v>fevereiro</v>
      </c>
      <c r="D68">
        <v>47</v>
      </c>
      <c r="E68" t="s">
        <v>40</v>
      </c>
      <c r="F68" t="s">
        <v>31</v>
      </c>
      <c r="G68" s="8">
        <v>35</v>
      </c>
      <c r="H68" s="2">
        <v>93</v>
      </c>
      <c r="I68" s="2">
        <v>3255</v>
      </c>
      <c r="J68" s="4">
        <v>0.14000000000000001</v>
      </c>
      <c r="K68" s="2">
        <v>2799.3</v>
      </c>
      <c r="L68" s="2">
        <f t="shared" si="4"/>
        <v>455.69999999999982</v>
      </c>
      <c r="M68" s="1">
        <v>43886</v>
      </c>
      <c r="N68" s="1">
        <v>43886</v>
      </c>
      <c r="O68">
        <v>67</v>
      </c>
      <c r="P68">
        <v>5</v>
      </c>
      <c r="Q68" t="s">
        <v>52</v>
      </c>
      <c r="R68" s="3">
        <v>0.1</v>
      </c>
      <c r="S68" s="2">
        <v>279.93</v>
      </c>
      <c r="T68">
        <v>4</v>
      </c>
      <c r="U68" t="str">
        <f t="shared" si="5"/>
        <v>Fevereiro</v>
      </c>
    </row>
    <row r="69" spans="1:21">
      <c r="A69">
        <v>68</v>
      </c>
      <c r="B69" s="1">
        <v>43866</v>
      </c>
      <c r="C69" s="1" t="str">
        <f t="shared" si="3"/>
        <v>fevereiro</v>
      </c>
      <c r="D69">
        <v>69</v>
      </c>
      <c r="E69" t="s">
        <v>67</v>
      </c>
      <c r="F69" t="s">
        <v>50</v>
      </c>
      <c r="G69" s="8">
        <v>45</v>
      </c>
      <c r="H69" s="2">
        <v>119</v>
      </c>
      <c r="I69" s="2">
        <v>5355</v>
      </c>
      <c r="J69" s="4">
        <v>0.05</v>
      </c>
      <c r="K69" s="2">
        <v>5087.25</v>
      </c>
      <c r="L69" s="2">
        <f t="shared" si="4"/>
        <v>267.75</v>
      </c>
      <c r="M69" s="1">
        <v>43885</v>
      </c>
      <c r="N69" s="1">
        <v>43885</v>
      </c>
      <c r="O69">
        <v>68</v>
      </c>
      <c r="P69">
        <v>1</v>
      </c>
      <c r="Q69" t="s">
        <v>25</v>
      </c>
      <c r="R69" s="3">
        <v>0.05</v>
      </c>
      <c r="S69" s="2">
        <v>254.36250000000001</v>
      </c>
      <c r="T69">
        <v>5</v>
      </c>
      <c r="U69" t="str">
        <f t="shared" si="5"/>
        <v>Fevereiro</v>
      </c>
    </row>
    <row r="70" spans="1:21">
      <c r="A70">
        <v>69</v>
      </c>
      <c r="B70" s="1">
        <v>43866</v>
      </c>
      <c r="C70" s="1" t="str">
        <f t="shared" si="3"/>
        <v>fevereiro</v>
      </c>
      <c r="D70">
        <v>39</v>
      </c>
      <c r="E70" t="s">
        <v>38</v>
      </c>
      <c r="F70" t="s">
        <v>54</v>
      </c>
      <c r="G70" s="8">
        <v>32</v>
      </c>
      <c r="H70" s="2">
        <v>117</v>
      </c>
      <c r="I70" s="2">
        <v>3744</v>
      </c>
      <c r="J70" s="4">
        <v>0.14000000000000001</v>
      </c>
      <c r="K70" s="2">
        <v>3219.84</v>
      </c>
      <c r="L70" s="2">
        <f t="shared" si="4"/>
        <v>524.15999999999985</v>
      </c>
      <c r="M70" s="1">
        <v>43884</v>
      </c>
      <c r="N70" s="1">
        <v>43884</v>
      </c>
      <c r="O70">
        <v>69</v>
      </c>
      <c r="P70">
        <v>1</v>
      </c>
      <c r="Q70" t="s">
        <v>47</v>
      </c>
      <c r="R70" s="3">
        <v>0.09</v>
      </c>
      <c r="S70" s="2">
        <v>289.78559999999999</v>
      </c>
      <c r="T70">
        <v>6</v>
      </c>
      <c r="U70" t="str">
        <f t="shared" si="5"/>
        <v>Fevereiro</v>
      </c>
    </row>
    <row r="71" spans="1:21">
      <c r="A71">
        <v>70</v>
      </c>
      <c r="B71" s="1">
        <v>43867</v>
      </c>
      <c r="C71" s="1" t="str">
        <f t="shared" si="3"/>
        <v>fevereiro</v>
      </c>
      <c r="D71">
        <v>94</v>
      </c>
      <c r="E71" t="s">
        <v>49</v>
      </c>
      <c r="F71" t="s">
        <v>31</v>
      </c>
      <c r="G71" s="8">
        <v>40</v>
      </c>
      <c r="H71" s="2">
        <v>99</v>
      </c>
      <c r="I71" s="2">
        <v>3960</v>
      </c>
      <c r="J71" s="4">
        <v>0.01</v>
      </c>
      <c r="K71" s="2">
        <v>3920.4</v>
      </c>
      <c r="L71" s="2">
        <f t="shared" si="4"/>
        <v>39.599999999999909</v>
      </c>
      <c r="M71" s="1">
        <v>43875</v>
      </c>
      <c r="N71" s="1">
        <v>43875</v>
      </c>
      <c r="O71">
        <v>70</v>
      </c>
      <c r="P71">
        <v>3</v>
      </c>
      <c r="Q71" t="s">
        <v>34</v>
      </c>
      <c r="R71" s="3">
        <v>0.08</v>
      </c>
      <c r="S71" s="2">
        <v>313.63200000000001</v>
      </c>
      <c r="T71">
        <v>7</v>
      </c>
      <c r="U71" t="str">
        <f t="shared" si="5"/>
        <v>Fevereiro</v>
      </c>
    </row>
    <row r="72" spans="1:21">
      <c r="A72">
        <v>71</v>
      </c>
      <c r="B72" s="1">
        <v>43867</v>
      </c>
      <c r="C72" s="1" t="str">
        <f t="shared" si="3"/>
        <v>fevereiro</v>
      </c>
      <c r="D72">
        <v>17</v>
      </c>
      <c r="E72" t="s">
        <v>67</v>
      </c>
      <c r="F72" t="s">
        <v>59</v>
      </c>
      <c r="G72" s="8">
        <v>43</v>
      </c>
      <c r="H72" s="2">
        <v>106</v>
      </c>
      <c r="I72" s="2">
        <v>4558</v>
      </c>
      <c r="J72" s="4">
        <v>0.08</v>
      </c>
      <c r="K72" s="2">
        <v>4193.3599999999997</v>
      </c>
      <c r="L72" s="2">
        <f t="shared" si="4"/>
        <v>364.64000000000033</v>
      </c>
      <c r="M72" s="1">
        <v>43880</v>
      </c>
      <c r="N72" s="1">
        <v>43880</v>
      </c>
      <c r="O72">
        <v>71</v>
      </c>
      <c r="P72">
        <v>7</v>
      </c>
      <c r="Q72" t="s">
        <v>22</v>
      </c>
      <c r="R72" s="3">
        <v>0.09</v>
      </c>
      <c r="S72" s="2">
        <v>377.40239999999994</v>
      </c>
      <c r="T72">
        <v>1</v>
      </c>
      <c r="U72" t="str">
        <f t="shared" si="5"/>
        <v>Fevereiro</v>
      </c>
    </row>
    <row r="73" spans="1:21">
      <c r="A73">
        <v>72</v>
      </c>
      <c r="B73" s="1">
        <v>43868</v>
      </c>
      <c r="C73" s="1" t="str">
        <f t="shared" si="3"/>
        <v>fevereiro</v>
      </c>
      <c r="D73">
        <v>73</v>
      </c>
      <c r="E73" t="s">
        <v>38</v>
      </c>
      <c r="F73" t="s">
        <v>41</v>
      </c>
      <c r="G73" s="8">
        <v>11</v>
      </c>
      <c r="H73" s="2">
        <v>120</v>
      </c>
      <c r="I73" s="2">
        <v>1320</v>
      </c>
      <c r="J73" s="4">
        <v>0.02</v>
      </c>
      <c r="K73" s="2">
        <v>1293.5999999999999</v>
      </c>
      <c r="L73" s="2">
        <f t="shared" si="4"/>
        <v>26.400000000000091</v>
      </c>
      <c r="M73" s="1">
        <v>43887</v>
      </c>
      <c r="N73" s="1">
        <v>43887</v>
      </c>
      <c r="O73">
        <v>72</v>
      </c>
      <c r="P73">
        <v>4</v>
      </c>
      <c r="Q73" t="s">
        <v>29</v>
      </c>
      <c r="R73" s="3">
        <v>0.1</v>
      </c>
      <c r="S73" s="2">
        <v>129.35999999999999</v>
      </c>
      <c r="T73">
        <v>2</v>
      </c>
      <c r="U73" t="str">
        <f t="shared" si="5"/>
        <v>Fevereiro</v>
      </c>
    </row>
    <row r="74" spans="1:21">
      <c r="A74">
        <v>73</v>
      </c>
      <c r="B74" s="1">
        <v>43868</v>
      </c>
      <c r="C74" s="1" t="str">
        <f t="shared" si="3"/>
        <v>fevereiro</v>
      </c>
      <c r="D74">
        <v>63</v>
      </c>
      <c r="E74" t="s">
        <v>80</v>
      </c>
      <c r="F74" t="s">
        <v>24</v>
      </c>
      <c r="G74" s="8">
        <v>30</v>
      </c>
      <c r="H74" s="2">
        <v>107</v>
      </c>
      <c r="I74" s="2">
        <v>3210</v>
      </c>
      <c r="J74" s="4">
        <v>0</v>
      </c>
      <c r="K74" s="2">
        <v>3210</v>
      </c>
      <c r="L74" s="2">
        <f t="shared" si="4"/>
        <v>0</v>
      </c>
      <c r="M74" s="1">
        <v>43879</v>
      </c>
      <c r="N74" s="1">
        <v>43879</v>
      </c>
      <c r="O74">
        <v>73</v>
      </c>
      <c r="P74">
        <v>1</v>
      </c>
      <c r="Q74" t="s">
        <v>52</v>
      </c>
      <c r="R74" s="3">
        <v>7.0000000000000007E-2</v>
      </c>
      <c r="S74" s="2">
        <v>224.70000000000002</v>
      </c>
      <c r="T74">
        <v>3</v>
      </c>
      <c r="U74" t="str">
        <f t="shared" si="5"/>
        <v>Fevereiro</v>
      </c>
    </row>
    <row r="75" spans="1:21">
      <c r="A75">
        <v>74</v>
      </c>
      <c r="B75" s="1">
        <v>43871</v>
      </c>
      <c r="C75" s="1" t="str">
        <f t="shared" si="3"/>
        <v>fevereiro</v>
      </c>
      <c r="D75">
        <v>69</v>
      </c>
      <c r="E75" t="s">
        <v>67</v>
      </c>
      <c r="F75" t="s">
        <v>28</v>
      </c>
      <c r="G75" s="8">
        <v>23</v>
      </c>
      <c r="H75" s="2">
        <v>94</v>
      </c>
      <c r="I75" s="2">
        <v>2162</v>
      </c>
      <c r="J75" s="4">
        <v>0.12</v>
      </c>
      <c r="K75" s="2">
        <v>1902.56</v>
      </c>
      <c r="L75" s="2">
        <f t="shared" si="4"/>
        <v>259.44000000000005</v>
      </c>
      <c r="M75" s="1">
        <v>43885</v>
      </c>
      <c r="N75" s="1">
        <v>43885</v>
      </c>
      <c r="O75">
        <v>74</v>
      </c>
      <c r="P75">
        <v>3</v>
      </c>
      <c r="Q75" t="s">
        <v>29</v>
      </c>
      <c r="R75" s="3">
        <v>0.06</v>
      </c>
      <c r="S75" s="2">
        <v>114.1536</v>
      </c>
      <c r="T75">
        <v>4</v>
      </c>
      <c r="U75" t="str">
        <f t="shared" si="5"/>
        <v>Fevereiro</v>
      </c>
    </row>
    <row r="76" spans="1:21">
      <c r="A76">
        <v>75</v>
      </c>
      <c r="B76" s="1">
        <v>43871</v>
      </c>
      <c r="C76" s="1" t="str">
        <f t="shared" si="3"/>
        <v>fevereiro</v>
      </c>
      <c r="D76">
        <v>19</v>
      </c>
      <c r="E76" t="s">
        <v>38</v>
      </c>
      <c r="F76" t="s">
        <v>21</v>
      </c>
      <c r="G76" s="8">
        <v>34</v>
      </c>
      <c r="H76" s="2">
        <v>104</v>
      </c>
      <c r="I76" s="2">
        <v>3536</v>
      </c>
      <c r="J76" s="4">
        <v>0.1</v>
      </c>
      <c r="K76" s="2">
        <v>3182.4</v>
      </c>
      <c r="L76" s="2">
        <f t="shared" si="4"/>
        <v>353.59999999999991</v>
      </c>
      <c r="M76" s="1">
        <v>43885</v>
      </c>
      <c r="N76" s="1">
        <v>43885</v>
      </c>
      <c r="O76">
        <v>75</v>
      </c>
      <c r="P76">
        <v>2</v>
      </c>
      <c r="Q76" t="s">
        <v>47</v>
      </c>
      <c r="R76" s="3">
        <v>7.0000000000000007E-2</v>
      </c>
      <c r="S76" s="2">
        <v>222.76800000000003</v>
      </c>
      <c r="T76">
        <v>5</v>
      </c>
      <c r="U76" t="str">
        <f t="shared" si="5"/>
        <v>Fevereiro</v>
      </c>
    </row>
    <row r="77" spans="1:21">
      <c r="A77">
        <v>76</v>
      </c>
      <c r="B77" s="1">
        <v>43872</v>
      </c>
      <c r="C77" s="1" t="str">
        <f t="shared" si="3"/>
        <v>fevereiro</v>
      </c>
      <c r="D77">
        <v>87</v>
      </c>
      <c r="E77" t="s">
        <v>40</v>
      </c>
      <c r="F77" t="s">
        <v>55</v>
      </c>
      <c r="G77" s="8">
        <v>42</v>
      </c>
      <c r="H77" s="2">
        <v>106</v>
      </c>
      <c r="I77" s="2">
        <v>4452</v>
      </c>
      <c r="J77" s="4">
        <v>0.06</v>
      </c>
      <c r="K77" s="2">
        <v>4184.88</v>
      </c>
      <c r="L77" s="2">
        <f t="shared" si="4"/>
        <v>267.11999999999989</v>
      </c>
      <c r="M77" s="1">
        <v>43902</v>
      </c>
      <c r="N77" s="1">
        <v>43902</v>
      </c>
      <c r="O77">
        <v>76</v>
      </c>
      <c r="P77">
        <v>3</v>
      </c>
      <c r="Q77" t="s">
        <v>43</v>
      </c>
      <c r="R77" s="3">
        <v>7.0000000000000007E-2</v>
      </c>
      <c r="S77" s="2">
        <v>292.94160000000005</v>
      </c>
      <c r="T77">
        <v>6</v>
      </c>
      <c r="U77" t="str">
        <f t="shared" si="5"/>
        <v>Fevereiro</v>
      </c>
    </row>
    <row r="78" spans="1:21">
      <c r="A78">
        <v>77</v>
      </c>
      <c r="B78" s="1">
        <v>43872</v>
      </c>
      <c r="C78" s="1" t="str">
        <f t="shared" si="3"/>
        <v>fevereiro</v>
      </c>
      <c r="D78">
        <v>33</v>
      </c>
      <c r="E78" t="s">
        <v>76</v>
      </c>
      <c r="F78" t="s">
        <v>24</v>
      </c>
      <c r="G78" s="8">
        <v>10</v>
      </c>
      <c r="H78" s="2">
        <v>91</v>
      </c>
      <c r="I78" s="2">
        <v>910</v>
      </c>
      <c r="J78" s="4">
        <v>0.1</v>
      </c>
      <c r="K78" s="2">
        <v>819</v>
      </c>
      <c r="L78" s="2">
        <f t="shared" si="4"/>
        <v>91</v>
      </c>
      <c r="M78" s="1">
        <v>43897</v>
      </c>
      <c r="N78" s="1">
        <v>43897</v>
      </c>
      <c r="O78">
        <v>77</v>
      </c>
      <c r="P78">
        <v>4</v>
      </c>
      <c r="Q78" t="s">
        <v>52</v>
      </c>
      <c r="R78" s="3">
        <v>0.09</v>
      </c>
      <c r="S78" s="2">
        <v>73.709999999999994</v>
      </c>
      <c r="T78">
        <v>7</v>
      </c>
      <c r="U78" t="str">
        <f t="shared" si="5"/>
        <v>Fevereiro</v>
      </c>
    </row>
    <row r="79" spans="1:21">
      <c r="A79">
        <v>78</v>
      </c>
      <c r="B79" s="1">
        <v>43875</v>
      </c>
      <c r="C79" s="1" t="str">
        <f t="shared" si="3"/>
        <v>fevereiro</v>
      </c>
      <c r="D79">
        <v>9</v>
      </c>
      <c r="E79" t="s">
        <v>36</v>
      </c>
      <c r="F79" t="s">
        <v>21</v>
      </c>
      <c r="G79" s="8">
        <v>34</v>
      </c>
      <c r="H79" s="2">
        <v>99</v>
      </c>
      <c r="I79" s="2">
        <v>3366</v>
      </c>
      <c r="J79" s="4">
        <v>0.14000000000000001</v>
      </c>
      <c r="K79" s="2">
        <v>2894.7599999999998</v>
      </c>
      <c r="L79" s="2">
        <f t="shared" si="4"/>
        <v>471.24000000000024</v>
      </c>
      <c r="M79" s="1">
        <v>43886</v>
      </c>
      <c r="N79" s="1">
        <v>43886</v>
      </c>
      <c r="O79">
        <v>78</v>
      </c>
      <c r="P79">
        <v>1</v>
      </c>
      <c r="Q79" t="s">
        <v>32</v>
      </c>
      <c r="R79" s="3">
        <v>7.0000000000000007E-2</v>
      </c>
      <c r="S79" s="2">
        <v>202.63320000000002</v>
      </c>
      <c r="T79">
        <v>1</v>
      </c>
      <c r="U79" t="str">
        <f t="shared" si="5"/>
        <v>Fevereiro</v>
      </c>
    </row>
    <row r="80" spans="1:21">
      <c r="A80">
        <v>79</v>
      </c>
      <c r="B80" s="1">
        <v>43876</v>
      </c>
      <c r="C80" s="1" t="str">
        <f t="shared" si="3"/>
        <v>fevereiro</v>
      </c>
      <c r="D80">
        <v>50</v>
      </c>
      <c r="E80" t="s">
        <v>81</v>
      </c>
      <c r="F80" t="s">
        <v>54</v>
      </c>
      <c r="G80" s="8">
        <v>13</v>
      </c>
      <c r="H80" s="2">
        <v>112</v>
      </c>
      <c r="I80" s="2">
        <v>1456</v>
      </c>
      <c r="J80" s="4">
        <v>0.05</v>
      </c>
      <c r="K80" s="2">
        <v>1383.2</v>
      </c>
      <c r="L80" s="2">
        <f t="shared" si="4"/>
        <v>72.799999999999955</v>
      </c>
      <c r="M80" s="1">
        <v>43892</v>
      </c>
      <c r="N80" s="1">
        <v>43892</v>
      </c>
      <c r="O80">
        <v>79</v>
      </c>
      <c r="P80">
        <v>2</v>
      </c>
      <c r="Q80" t="s">
        <v>37</v>
      </c>
      <c r="R80" s="3">
        <v>0.06</v>
      </c>
      <c r="S80" s="2">
        <v>82.992000000000004</v>
      </c>
      <c r="T80">
        <v>2</v>
      </c>
      <c r="U80" t="str">
        <f t="shared" si="5"/>
        <v>Fevereiro</v>
      </c>
    </row>
    <row r="81" spans="1:21">
      <c r="A81">
        <v>80</v>
      </c>
      <c r="B81" s="1">
        <v>43877</v>
      </c>
      <c r="C81" s="1" t="str">
        <f t="shared" si="3"/>
        <v>fevereiro</v>
      </c>
      <c r="D81">
        <v>75</v>
      </c>
      <c r="E81" t="s">
        <v>38</v>
      </c>
      <c r="F81" t="s">
        <v>59</v>
      </c>
      <c r="G81" s="8">
        <v>36</v>
      </c>
      <c r="H81" s="2">
        <v>105</v>
      </c>
      <c r="I81" s="2">
        <v>3780</v>
      </c>
      <c r="J81" s="4">
        <v>0.04</v>
      </c>
      <c r="K81" s="2">
        <v>3628.8</v>
      </c>
      <c r="L81" s="2">
        <f t="shared" si="4"/>
        <v>151.19999999999982</v>
      </c>
      <c r="M81" s="1">
        <v>43901</v>
      </c>
      <c r="N81" s="1">
        <v>43901</v>
      </c>
      <c r="O81">
        <v>80</v>
      </c>
      <c r="P81">
        <v>1</v>
      </c>
      <c r="Q81" t="s">
        <v>47</v>
      </c>
      <c r="R81" s="3">
        <v>0.05</v>
      </c>
      <c r="S81" s="2">
        <v>181.44000000000003</v>
      </c>
      <c r="T81">
        <v>3</v>
      </c>
      <c r="U81" t="str">
        <f t="shared" si="5"/>
        <v>Fevereiro</v>
      </c>
    </row>
    <row r="82" spans="1:21">
      <c r="A82">
        <v>81</v>
      </c>
      <c r="B82" s="1">
        <v>43877</v>
      </c>
      <c r="C82" s="1" t="str">
        <f t="shared" si="3"/>
        <v>fevereiro</v>
      </c>
      <c r="D82">
        <v>40</v>
      </c>
      <c r="E82" t="s">
        <v>49</v>
      </c>
      <c r="F82" t="s">
        <v>55</v>
      </c>
      <c r="G82" s="8">
        <v>17</v>
      </c>
      <c r="H82" s="2">
        <v>95</v>
      </c>
      <c r="I82" s="2">
        <v>1615</v>
      </c>
      <c r="J82" s="4">
        <v>0.1</v>
      </c>
      <c r="K82" s="2">
        <v>1453.5</v>
      </c>
      <c r="L82" s="2">
        <f t="shared" si="4"/>
        <v>161.5</v>
      </c>
      <c r="M82" s="1">
        <v>43884</v>
      </c>
      <c r="N82" s="1">
        <v>43884</v>
      </c>
      <c r="O82">
        <v>81</v>
      </c>
      <c r="P82">
        <v>1</v>
      </c>
      <c r="Q82" t="s">
        <v>47</v>
      </c>
      <c r="R82" s="3">
        <v>0.08</v>
      </c>
      <c r="S82" s="2">
        <v>116.28</v>
      </c>
      <c r="T82">
        <v>4</v>
      </c>
      <c r="U82" t="str">
        <f t="shared" si="5"/>
        <v>Fevereiro</v>
      </c>
    </row>
    <row r="83" spans="1:21">
      <c r="A83">
        <v>82</v>
      </c>
      <c r="B83" s="1">
        <v>43877</v>
      </c>
      <c r="C83" s="1" t="str">
        <f t="shared" si="3"/>
        <v>fevereiro</v>
      </c>
      <c r="D83">
        <v>60</v>
      </c>
      <c r="E83" t="s">
        <v>82</v>
      </c>
      <c r="F83" t="s">
        <v>21</v>
      </c>
      <c r="G83" s="8">
        <v>44</v>
      </c>
      <c r="H83" s="2">
        <v>97</v>
      </c>
      <c r="I83" s="2">
        <v>4268</v>
      </c>
      <c r="J83" s="4">
        <v>0.08</v>
      </c>
      <c r="K83" s="2">
        <v>3926.56</v>
      </c>
      <c r="L83" s="2">
        <f t="shared" si="4"/>
        <v>341.44000000000005</v>
      </c>
      <c r="M83" s="1">
        <v>43907</v>
      </c>
      <c r="N83" s="1">
        <v>43907</v>
      </c>
      <c r="O83">
        <v>82</v>
      </c>
      <c r="P83">
        <v>1</v>
      </c>
      <c r="Q83" t="s">
        <v>37</v>
      </c>
      <c r="R83" s="3">
        <v>0.1</v>
      </c>
      <c r="S83" s="2">
        <v>392.65600000000001</v>
      </c>
      <c r="T83">
        <v>5</v>
      </c>
      <c r="U83" t="str">
        <f t="shared" si="5"/>
        <v>Fevereiro</v>
      </c>
    </row>
    <row r="84" spans="1:21">
      <c r="A84">
        <v>83</v>
      </c>
      <c r="B84" s="1">
        <v>43879</v>
      </c>
      <c r="C84" s="1" t="str">
        <f t="shared" si="3"/>
        <v>fevereiro</v>
      </c>
      <c r="D84">
        <v>95</v>
      </c>
      <c r="E84" t="s">
        <v>38</v>
      </c>
      <c r="F84" t="s">
        <v>41</v>
      </c>
      <c r="G84" s="8">
        <v>35</v>
      </c>
      <c r="H84" s="2">
        <v>99</v>
      </c>
      <c r="I84" s="2">
        <v>3465</v>
      </c>
      <c r="J84" s="4">
        <v>0.15</v>
      </c>
      <c r="K84" s="2">
        <v>2945.25</v>
      </c>
      <c r="L84" s="2">
        <f t="shared" si="4"/>
        <v>519.75</v>
      </c>
      <c r="M84" s="1">
        <v>43909</v>
      </c>
      <c r="N84" s="1">
        <v>43909</v>
      </c>
      <c r="O84">
        <v>83</v>
      </c>
      <c r="P84">
        <v>6</v>
      </c>
      <c r="Q84" t="s">
        <v>52</v>
      </c>
      <c r="R84" s="3">
        <v>0.08</v>
      </c>
      <c r="S84" s="2">
        <v>235.62</v>
      </c>
      <c r="T84">
        <v>6</v>
      </c>
      <c r="U84" t="str">
        <f t="shared" si="5"/>
        <v>Fevereiro</v>
      </c>
    </row>
    <row r="85" spans="1:21">
      <c r="A85">
        <v>84</v>
      </c>
      <c r="B85" s="1">
        <v>43879</v>
      </c>
      <c r="C85" s="1" t="str">
        <f t="shared" si="3"/>
        <v>fevereiro</v>
      </c>
      <c r="D85">
        <v>79</v>
      </c>
      <c r="E85" t="s">
        <v>33</v>
      </c>
      <c r="F85" t="s">
        <v>24</v>
      </c>
      <c r="G85" s="8">
        <v>11</v>
      </c>
      <c r="H85" s="2">
        <v>102</v>
      </c>
      <c r="I85" s="2">
        <v>1122</v>
      </c>
      <c r="J85" s="4">
        <v>0.13</v>
      </c>
      <c r="K85" s="2">
        <v>976.14</v>
      </c>
      <c r="L85" s="2">
        <f t="shared" si="4"/>
        <v>145.86000000000001</v>
      </c>
      <c r="M85" s="1">
        <v>43907</v>
      </c>
      <c r="N85" s="1">
        <v>43907</v>
      </c>
      <c r="O85">
        <v>84</v>
      </c>
      <c r="P85">
        <v>5</v>
      </c>
      <c r="Q85" t="s">
        <v>32</v>
      </c>
      <c r="R85" s="3">
        <v>0.1</v>
      </c>
      <c r="S85" s="2">
        <v>97.614000000000004</v>
      </c>
      <c r="T85">
        <v>7</v>
      </c>
      <c r="U85" t="str">
        <f t="shared" si="5"/>
        <v>Fevereiro</v>
      </c>
    </row>
    <row r="86" spans="1:21">
      <c r="A86">
        <v>85</v>
      </c>
      <c r="B86" s="1">
        <v>43879</v>
      </c>
      <c r="C86" s="1" t="str">
        <f t="shared" si="3"/>
        <v>fevereiro</v>
      </c>
      <c r="D86">
        <v>60</v>
      </c>
      <c r="E86" t="s">
        <v>82</v>
      </c>
      <c r="F86" t="s">
        <v>31</v>
      </c>
      <c r="G86" s="8">
        <v>27</v>
      </c>
      <c r="H86" s="2">
        <v>103</v>
      </c>
      <c r="I86" s="2">
        <v>2781</v>
      </c>
      <c r="J86" s="4">
        <v>0.08</v>
      </c>
      <c r="K86" s="2">
        <v>2558.52</v>
      </c>
      <c r="L86" s="2">
        <f t="shared" si="4"/>
        <v>222.48000000000002</v>
      </c>
      <c r="M86" s="1">
        <v>43885</v>
      </c>
      <c r="N86" s="1">
        <v>43885</v>
      </c>
      <c r="O86">
        <v>85</v>
      </c>
      <c r="P86">
        <v>4</v>
      </c>
      <c r="Q86" t="s">
        <v>34</v>
      </c>
      <c r="R86" s="3">
        <v>0.09</v>
      </c>
      <c r="S86" s="2">
        <v>230.26679999999999</v>
      </c>
      <c r="T86">
        <v>1</v>
      </c>
      <c r="U86" t="str">
        <f t="shared" si="5"/>
        <v>Fevereiro</v>
      </c>
    </row>
    <row r="87" spans="1:21">
      <c r="A87">
        <v>86</v>
      </c>
      <c r="B87" s="1">
        <v>43879</v>
      </c>
      <c r="C87" s="1" t="str">
        <f t="shared" si="3"/>
        <v>fevereiro</v>
      </c>
      <c r="D87">
        <v>47</v>
      </c>
      <c r="E87" t="s">
        <v>40</v>
      </c>
      <c r="F87" t="s">
        <v>59</v>
      </c>
      <c r="G87" s="8">
        <v>14</v>
      </c>
      <c r="H87" s="2">
        <v>94</v>
      </c>
      <c r="I87" s="2">
        <v>1316</v>
      </c>
      <c r="J87" s="4">
        <v>0.08</v>
      </c>
      <c r="K87" s="2">
        <v>1210.72</v>
      </c>
      <c r="L87" s="2">
        <f t="shared" si="4"/>
        <v>105.27999999999997</v>
      </c>
      <c r="M87" s="1">
        <v>43905</v>
      </c>
      <c r="N87" s="1">
        <v>43905</v>
      </c>
      <c r="O87">
        <v>86</v>
      </c>
      <c r="P87">
        <v>3</v>
      </c>
      <c r="Q87" t="s">
        <v>25</v>
      </c>
      <c r="R87" s="3">
        <v>0.1</v>
      </c>
      <c r="S87" s="2">
        <v>121.072</v>
      </c>
      <c r="T87">
        <v>2</v>
      </c>
      <c r="U87" t="str">
        <f t="shared" si="5"/>
        <v>Fevereiro</v>
      </c>
    </row>
    <row r="88" spans="1:21">
      <c r="A88">
        <v>87</v>
      </c>
      <c r="B88" s="1">
        <v>43880</v>
      </c>
      <c r="C88" s="1" t="str">
        <f t="shared" si="3"/>
        <v>fevereiro</v>
      </c>
      <c r="D88">
        <v>38</v>
      </c>
      <c r="E88" t="s">
        <v>73</v>
      </c>
      <c r="F88" t="s">
        <v>59</v>
      </c>
      <c r="G88" s="8">
        <v>44</v>
      </c>
      <c r="H88" s="2">
        <v>118</v>
      </c>
      <c r="I88" s="2">
        <v>5192</v>
      </c>
      <c r="J88" s="4">
        <v>0.15</v>
      </c>
      <c r="K88" s="2">
        <v>4413.2</v>
      </c>
      <c r="L88" s="2">
        <f t="shared" si="4"/>
        <v>778.80000000000018</v>
      </c>
      <c r="M88" s="1">
        <v>43910</v>
      </c>
      <c r="N88" s="1">
        <v>43910</v>
      </c>
      <c r="O88">
        <v>87</v>
      </c>
      <c r="P88">
        <v>2</v>
      </c>
      <c r="Q88" t="s">
        <v>29</v>
      </c>
      <c r="R88" s="3">
        <v>0.06</v>
      </c>
      <c r="S88" s="2">
        <v>264.79199999999997</v>
      </c>
      <c r="T88">
        <v>3</v>
      </c>
      <c r="U88" t="str">
        <f t="shared" si="5"/>
        <v>Fevereiro</v>
      </c>
    </row>
    <row r="89" spans="1:21">
      <c r="A89">
        <v>88</v>
      </c>
      <c r="B89" s="1">
        <v>43880</v>
      </c>
      <c r="C89" s="1" t="str">
        <f t="shared" si="3"/>
        <v>fevereiro</v>
      </c>
      <c r="D89">
        <v>47</v>
      </c>
      <c r="E89" t="s">
        <v>40</v>
      </c>
      <c r="F89" t="s">
        <v>50</v>
      </c>
      <c r="G89" s="8">
        <v>44</v>
      </c>
      <c r="H89" s="2">
        <v>111</v>
      </c>
      <c r="I89" s="2">
        <v>4884</v>
      </c>
      <c r="J89" s="4">
        <v>0.03</v>
      </c>
      <c r="K89" s="2">
        <v>4737.4799999999996</v>
      </c>
      <c r="L89" s="2">
        <f t="shared" si="4"/>
        <v>146.52000000000044</v>
      </c>
      <c r="M89" s="1">
        <v>43908</v>
      </c>
      <c r="N89" s="1">
        <v>43908</v>
      </c>
      <c r="O89">
        <v>88</v>
      </c>
      <c r="P89">
        <v>6</v>
      </c>
      <c r="Q89" t="s">
        <v>52</v>
      </c>
      <c r="R89" s="3">
        <v>0.06</v>
      </c>
      <c r="S89" s="2">
        <v>284.24879999999996</v>
      </c>
      <c r="T89">
        <v>4</v>
      </c>
      <c r="U89" t="str">
        <f t="shared" si="5"/>
        <v>Fevereiro</v>
      </c>
    </row>
    <row r="90" spans="1:21">
      <c r="A90">
        <v>89</v>
      </c>
      <c r="B90" s="1">
        <v>43880</v>
      </c>
      <c r="C90" s="1" t="str">
        <f t="shared" si="3"/>
        <v>fevereiro</v>
      </c>
      <c r="D90">
        <v>18</v>
      </c>
      <c r="E90" t="s">
        <v>83</v>
      </c>
      <c r="F90" t="s">
        <v>46</v>
      </c>
      <c r="G90" s="8">
        <v>24</v>
      </c>
      <c r="H90" s="2">
        <v>116</v>
      </c>
      <c r="I90" s="2">
        <v>2784</v>
      </c>
      <c r="J90" s="4">
        <v>0.13</v>
      </c>
      <c r="K90" s="2">
        <v>2422.08</v>
      </c>
      <c r="L90" s="2">
        <f t="shared" si="4"/>
        <v>361.92000000000007</v>
      </c>
      <c r="M90" s="1">
        <v>43899</v>
      </c>
      <c r="N90" s="1">
        <v>43899</v>
      </c>
      <c r="O90">
        <v>89</v>
      </c>
      <c r="P90">
        <v>4</v>
      </c>
      <c r="Q90" t="s">
        <v>34</v>
      </c>
      <c r="R90" s="3">
        <v>0.06</v>
      </c>
      <c r="S90" s="2">
        <v>145.32479999999998</v>
      </c>
      <c r="T90">
        <v>5</v>
      </c>
      <c r="U90" t="str">
        <f t="shared" si="5"/>
        <v>Fevereiro</v>
      </c>
    </row>
    <row r="91" spans="1:21">
      <c r="A91">
        <v>90</v>
      </c>
      <c r="B91" s="1">
        <v>43880</v>
      </c>
      <c r="C91" s="1" t="str">
        <f t="shared" si="3"/>
        <v>fevereiro</v>
      </c>
      <c r="D91">
        <v>99</v>
      </c>
      <c r="E91" t="s">
        <v>84</v>
      </c>
      <c r="F91" t="s">
        <v>41</v>
      </c>
      <c r="G91" s="8">
        <v>47</v>
      </c>
      <c r="H91" s="2">
        <v>105</v>
      </c>
      <c r="I91" s="2">
        <v>4935</v>
      </c>
      <c r="J91" s="4">
        <v>0.02</v>
      </c>
      <c r="K91" s="2">
        <v>4836.3</v>
      </c>
      <c r="L91" s="2">
        <f t="shared" si="4"/>
        <v>98.699999999999818</v>
      </c>
      <c r="M91" s="1">
        <v>43880</v>
      </c>
      <c r="N91" s="1">
        <v>43880</v>
      </c>
      <c r="O91">
        <v>90</v>
      </c>
      <c r="P91">
        <v>1</v>
      </c>
      <c r="Q91" t="s">
        <v>69</v>
      </c>
      <c r="R91" s="3">
        <v>7.0000000000000007E-2</v>
      </c>
      <c r="S91" s="2">
        <v>338.54100000000005</v>
      </c>
      <c r="T91">
        <v>6</v>
      </c>
      <c r="U91" t="str">
        <f t="shared" si="5"/>
        <v>Fevereiro</v>
      </c>
    </row>
    <row r="92" spans="1:21">
      <c r="A92">
        <v>91</v>
      </c>
      <c r="B92" s="1">
        <v>43881</v>
      </c>
      <c r="C92" s="1" t="str">
        <f t="shared" si="3"/>
        <v>fevereiro</v>
      </c>
      <c r="D92">
        <v>31</v>
      </c>
      <c r="E92" t="s">
        <v>85</v>
      </c>
      <c r="F92" t="s">
        <v>24</v>
      </c>
      <c r="G92" s="8">
        <v>18</v>
      </c>
      <c r="H92" s="2">
        <v>100</v>
      </c>
      <c r="I92" s="2">
        <v>1800</v>
      </c>
      <c r="J92" s="4">
        <v>0.02</v>
      </c>
      <c r="K92" s="2">
        <v>1764</v>
      </c>
      <c r="L92" s="2">
        <f t="shared" si="4"/>
        <v>36</v>
      </c>
      <c r="M92" s="1">
        <v>43884</v>
      </c>
      <c r="N92" s="1">
        <v>43884</v>
      </c>
      <c r="O92">
        <v>91</v>
      </c>
      <c r="P92">
        <v>2</v>
      </c>
      <c r="Q92" t="s">
        <v>22</v>
      </c>
      <c r="R92" s="3">
        <v>7.0000000000000007E-2</v>
      </c>
      <c r="S92" s="2">
        <v>123.48000000000002</v>
      </c>
      <c r="T92">
        <v>7</v>
      </c>
      <c r="U92" t="str">
        <f t="shared" si="5"/>
        <v>Fevereiro</v>
      </c>
    </row>
    <row r="93" spans="1:21">
      <c r="A93">
        <v>92</v>
      </c>
      <c r="B93" s="1">
        <v>43882</v>
      </c>
      <c r="C93" s="1" t="str">
        <f t="shared" si="3"/>
        <v>fevereiro</v>
      </c>
      <c r="D93">
        <v>61</v>
      </c>
      <c r="E93" t="s">
        <v>56</v>
      </c>
      <c r="F93" t="s">
        <v>59</v>
      </c>
      <c r="G93" s="8">
        <v>37</v>
      </c>
      <c r="H93" s="2">
        <v>96</v>
      </c>
      <c r="I93" s="2">
        <v>3552</v>
      </c>
      <c r="J93" s="4">
        <v>0.15</v>
      </c>
      <c r="K93" s="2">
        <v>3019.2</v>
      </c>
      <c r="L93" s="2">
        <f t="shared" si="4"/>
        <v>532.80000000000018</v>
      </c>
      <c r="M93" s="1">
        <v>43882</v>
      </c>
      <c r="N93" s="1">
        <v>43882</v>
      </c>
      <c r="O93">
        <v>92</v>
      </c>
      <c r="P93">
        <v>4</v>
      </c>
      <c r="Q93" t="s">
        <v>22</v>
      </c>
      <c r="R93" s="3">
        <v>7.0000000000000007E-2</v>
      </c>
      <c r="S93" s="2">
        <v>211.34399999999999</v>
      </c>
      <c r="T93">
        <v>1</v>
      </c>
      <c r="U93" t="str">
        <f t="shared" si="5"/>
        <v>Fevereiro</v>
      </c>
    </row>
    <row r="94" spans="1:21">
      <c r="A94">
        <v>93</v>
      </c>
      <c r="B94" s="1">
        <v>43883</v>
      </c>
      <c r="C94" s="1" t="str">
        <f t="shared" si="3"/>
        <v>fevereiro</v>
      </c>
      <c r="D94">
        <v>52</v>
      </c>
      <c r="E94" t="s">
        <v>23</v>
      </c>
      <c r="F94" t="s">
        <v>31</v>
      </c>
      <c r="G94" s="8">
        <v>34</v>
      </c>
      <c r="H94" s="2">
        <v>112</v>
      </c>
      <c r="I94" s="2">
        <v>3808</v>
      </c>
      <c r="J94" s="4">
        <v>0.08</v>
      </c>
      <c r="K94" s="2">
        <v>3503.36</v>
      </c>
      <c r="L94" s="2">
        <f t="shared" si="4"/>
        <v>304.63999999999987</v>
      </c>
      <c r="M94" s="1">
        <v>43904</v>
      </c>
      <c r="N94" s="1">
        <v>43904</v>
      </c>
      <c r="O94">
        <v>93</v>
      </c>
      <c r="P94">
        <v>3</v>
      </c>
      <c r="Q94" t="s">
        <v>52</v>
      </c>
      <c r="R94" s="3">
        <v>0.06</v>
      </c>
      <c r="S94" s="2">
        <v>210.20160000000001</v>
      </c>
      <c r="T94">
        <v>2</v>
      </c>
      <c r="U94" t="str">
        <f t="shared" si="5"/>
        <v>Fevereiro</v>
      </c>
    </row>
    <row r="95" spans="1:21">
      <c r="A95">
        <v>94</v>
      </c>
      <c r="B95" s="1">
        <v>43883</v>
      </c>
      <c r="C95" s="1" t="str">
        <f t="shared" si="3"/>
        <v>fevereiro</v>
      </c>
      <c r="D95">
        <v>41</v>
      </c>
      <c r="E95" t="s">
        <v>68</v>
      </c>
      <c r="F95" t="s">
        <v>21</v>
      </c>
      <c r="G95" s="8">
        <v>41</v>
      </c>
      <c r="H95" s="2">
        <v>107</v>
      </c>
      <c r="I95" s="2">
        <v>4387</v>
      </c>
      <c r="J95" s="4">
        <v>7.0000000000000007E-2</v>
      </c>
      <c r="K95" s="2">
        <v>4079.91</v>
      </c>
      <c r="L95" s="2">
        <f t="shared" si="4"/>
        <v>307.09000000000015</v>
      </c>
      <c r="M95" s="1">
        <v>43890</v>
      </c>
      <c r="N95" s="1">
        <v>43890</v>
      </c>
      <c r="O95">
        <v>94</v>
      </c>
      <c r="P95">
        <v>5</v>
      </c>
      <c r="Q95" t="s">
        <v>47</v>
      </c>
      <c r="R95" s="3">
        <v>0.05</v>
      </c>
      <c r="S95" s="2">
        <v>203.99549999999999</v>
      </c>
      <c r="T95">
        <v>3</v>
      </c>
      <c r="U95" t="str">
        <f t="shared" si="5"/>
        <v>Fevereiro</v>
      </c>
    </row>
    <row r="96" spans="1:21">
      <c r="A96">
        <v>95</v>
      </c>
      <c r="B96" s="1">
        <v>43883</v>
      </c>
      <c r="C96" s="1" t="str">
        <f t="shared" si="3"/>
        <v>fevereiro</v>
      </c>
      <c r="D96">
        <v>35</v>
      </c>
      <c r="E96" t="s">
        <v>38</v>
      </c>
      <c r="F96" t="s">
        <v>31</v>
      </c>
      <c r="G96" s="8">
        <v>32</v>
      </c>
      <c r="H96" s="2">
        <v>118</v>
      </c>
      <c r="I96" s="2">
        <v>3776</v>
      </c>
      <c r="J96" s="4">
        <v>0.01</v>
      </c>
      <c r="K96" s="2">
        <v>3738.24</v>
      </c>
      <c r="L96" s="2">
        <f t="shared" si="4"/>
        <v>37.760000000000218</v>
      </c>
      <c r="M96" s="1">
        <v>43895</v>
      </c>
      <c r="N96" s="1">
        <v>43895</v>
      </c>
      <c r="O96">
        <v>95</v>
      </c>
      <c r="P96">
        <v>6</v>
      </c>
      <c r="Q96" t="s">
        <v>25</v>
      </c>
      <c r="R96" s="3">
        <v>0.1</v>
      </c>
      <c r="S96" s="2">
        <v>373.82400000000001</v>
      </c>
      <c r="T96">
        <v>4</v>
      </c>
      <c r="U96" t="str">
        <f t="shared" si="5"/>
        <v>Fevereiro</v>
      </c>
    </row>
    <row r="97" spans="1:21">
      <c r="A97">
        <v>96</v>
      </c>
      <c r="B97" s="1">
        <v>43884</v>
      </c>
      <c r="C97" s="1" t="str">
        <f t="shared" si="3"/>
        <v>fevereiro</v>
      </c>
      <c r="D97">
        <v>89</v>
      </c>
      <c r="E97" t="s">
        <v>49</v>
      </c>
      <c r="F97" t="s">
        <v>31</v>
      </c>
      <c r="G97" s="8">
        <v>44</v>
      </c>
      <c r="H97" s="2">
        <v>96</v>
      </c>
      <c r="I97" s="2">
        <v>4224</v>
      </c>
      <c r="J97" s="4">
        <v>0.13</v>
      </c>
      <c r="K97" s="2">
        <v>3674.88</v>
      </c>
      <c r="L97" s="2">
        <f t="shared" si="4"/>
        <v>549.11999999999989</v>
      </c>
      <c r="M97" s="1">
        <v>43885</v>
      </c>
      <c r="N97" s="1">
        <v>43885</v>
      </c>
      <c r="O97">
        <v>96</v>
      </c>
      <c r="P97">
        <v>6</v>
      </c>
      <c r="Q97" t="s">
        <v>52</v>
      </c>
      <c r="R97" s="3">
        <v>0.06</v>
      </c>
      <c r="S97" s="2">
        <v>220.49279999999999</v>
      </c>
      <c r="T97">
        <v>5</v>
      </c>
      <c r="U97" t="str">
        <f t="shared" si="5"/>
        <v>Fevereiro</v>
      </c>
    </row>
    <row r="98" spans="1:21">
      <c r="A98">
        <v>97</v>
      </c>
      <c r="B98" s="1">
        <v>43884</v>
      </c>
      <c r="C98" s="1" t="str">
        <f t="shared" si="3"/>
        <v>fevereiro</v>
      </c>
      <c r="D98">
        <v>8</v>
      </c>
      <c r="E98" t="s">
        <v>38</v>
      </c>
      <c r="F98" t="s">
        <v>28</v>
      </c>
      <c r="G98" s="8">
        <v>35</v>
      </c>
      <c r="H98" s="2">
        <v>90</v>
      </c>
      <c r="I98" s="2">
        <v>3150</v>
      </c>
      <c r="J98" s="4">
        <v>0.02</v>
      </c>
      <c r="K98" s="2">
        <v>3087</v>
      </c>
      <c r="L98" s="2">
        <f t="shared" si="4"/>
        <v>63</v>
      </c>
      <c r="M98" s="1">
        <v>43914</v>
      </c>
      <c r="N98" s="1">
        <v>43914</v>
      </c>
      <c r="O98">
        <v>97</v>
      </c>
      <c r="P98">
        <v>6</v>
      </c>
      <c r="Q98" t="s">
        <v>22</v>
      </c>
      <c r="R98" s="3">
        <v>0.05</v>
      </c>
      <c r="S98" s="2">
        <v>154.35000000000002</v>
      </c>
      <c r="T98">
        <v>6</v>
      </c>
      <c r="U98" t="str">
        <f t="shared" si="5"/>
        <v>Fevereiro</v>
      </c>
    </row>
    <row r="99" spans="1:21">
      <c r="A99">
        <v>98</v>
      </c>
      <c r="B99" s="1">
        <v>43884</v>
      </c>
      <c r="C99" s="1" t="str">
        <f t="shared" si="3"/>
        <v>fevereiro</v>
      </c>
      <c r="D99">
        <v>28</v>
      </c>
      <c r="E99" t="s">
        <v>86</v>
      </c>
      <c r="F99" t="s">
        <v>31</v>
      </c>
      <c r="G99" s="8">
        <v>14</v>
      </c>
      <c r="H99" s="2">
        <v>112</v>
      </c>
      <c r="I99" s="2">
        <v>1568</v>
      </c>
      <c r="J99" s="4">
        <v>0.14000000000000001</v>
      </c>
      <c r="K99" s="2">
        <v>1348.48</v>
      </c>
      <c r="L99" s="2">
        <f t="shared" si="4"/>
        <v>219.51999999999998</v>
      </c>
      <c r="M99" s="1">
        <v>43888</v>
      </c>
      <c r="N99" s="1">
        <v>43888</v>
      </c>
      <c r="O99">
        <v>98</v>
      </c>
      <c r="P99">
        <v>6</v>
      </c>
      <c r="Q99" t="s">
        <v>47</v>
      </c>
      <c r="R99" s="3">
        <v>0.05</v>
      </c>
      <c r="S99" s="2">
        <v>67.424000000000007</v>
      </c>
      <c r="T99">
        <v>7</v>
      </c>
      <c r="U99" t="str">
        <f t="shared" si="5"/>
        <v>Fevereiro</v>
      </c>
    </row>
    <row r="100" spans="1:21">
      <c r="A100">
        <v>99</v>
      </c>
      <c r="B100" s="1">
        <v>43884</v>
      </c>
      <c r="C100" s="1" t="str">
        <f t="shared" si="3"/>
        <v>fevereiro</v>
      </c>
      <c r="D100">
        <v>31</v>
      </c>
      <c r="E100" t="s">
        <v>85</v>
      </c>
      <c r="F100" t="s">
        <v>59</v>
      </c>
      <c r="G100" s="8">
        <v>13</v>
      </c>
      <c r="H100" s="2">
        <v>111</v>
      </c>
      <c r="I100" s="2">
        <v>1443</v>
      </c>
      <c r="J100" s="4">
        <v>0.02</v>
      </c>
      <c r="K100" s="2">
        <v>1414.14</v>
      </c>
      <c r="L100" s="2">
        <f t="shared" si="4"/>
        <v>28.8599999999999</v>
      </c>
      <c r="M100" s="1">
        <v>43886</v>
      </c>
      <c r="N100" s="1">
        <v>43886</v>
      </c>
      <c r="O100">
        <v>99</v>
      </c>
      <c r="P100">
        <v>1</v>
      </c>
      <c r="Q100" t="s">
        <v>43</v>
      </c>
      <c r="R100" s="3">
        <v>0.06</v>
      </c>
      <c r="S100" s="2">
        <v>84.848399999999998</v>
      </c>
      <c r="T100">
        <v>1</v>
      </c>
      <c r="U100" t="str">
        <f t="shared" si="5"/>
        <v>Fevereiro</v>
      </c>
    </row>
    <row r="101" spans="1:21">
      <c r="A101">
        <v>100</v>
      </c>
      <c r="B101" s="1">
        <v>43885</v>
      </c>
      <c r="C101" s="1" t="str">
        <f t="shared" si="3"/>
        <v>fevereiro</v>
      </c>
      <c r="D101">
        <v>25</v>
      </c>
      <c r="E101" t="s">
        <v>63</v>
      </c>
      <c r="F101" t="s">
        <v>50</v>
      </c>
      <c r="G101" s="8">
        <v>20</v>
      </c>
      <c r="H101" s="2">
        <v>116</v>
      </c>
      <c r="I101" s="2">
        <v>2320</v>
      </c>
      <c r="J101" s="4">
        <v>0.1</v>
      </c>
      <c r="K101" s="2">
        <v>2088</v>
      </c>
      <c r="L101" s="2">
        <f t="shared" si="4"/>
        <v>232</v>
      </c>
      <c r="M101" s="1">
        <v>43886</v>
      </c>
      <c r="N101" s="1">
        <v>43886</v>
      </c>
      <c r="O101">
        <v>100</v>
      </c>
      <c r="P101">
        <v>2</v>
      </c>
      <c r="Q101" t="s">
        <v>52</v>
      </c>
      <c r="R101" s="3">
        <v>0.1</v>
      </c>
      <c r="S101" s="2">
        <v>208.8</v>
      </c>
      <c r="T101">
        <v>2</v>
      </c>
      <c r="U101" t="str">
        <f t="shared" si="5"/>
        <v>Fevereiro</v>
      </c>
    </row>
    <row r="102" spans="1:21">
      <c r="A102">
        <v>101</v>
      </c>
      <c r="B102" s="1">
        <v>43886</v>
      </c>
      <c r="C102" s="1" t="str">
        <f t="shared" si="3"/>
        <v>fevereiro</v>
      </c>
      <c r="D102">
        <v>85</v>
      </c>
      <c r="E102" t="s">
        <v>57</v>
      </c>
      <c r="F102" t="s">
        <v>55</v>
      </c>
      <c r="G102" s="8">
        <v>27</v>
      </c>
      <c r="H102" s="2">
        <v>119</v>
      </c>
      <c r="I102" s="2">
        <v>3213</v>
      </c>
      <c r="J102" s="4">
        <v>0.1</v>
      </c>
      <c r="K102" s="2">
        <v>2891.7</v>
      </c>
      <c r="L102" s="2">
        <f t="shared" si="4"/>
        <v>321.30000000000018</v>
      </c>
      <c r="M102" s="1">
        <v>43916</v>
      </c>
      <c r="N102" s="1">
        <v>43916</v>
      </c>
      <c r="O102">
        <v>101</v>
      </c>
      <c r="P102">
        <v>4</v>
      </c>
      <c r="Q102" t="s">
        <v>25</v>
      </c>
      <c r="R102" s="3">
        <v>0.06</v>
      </c>
      <c r="S102" s="2">
        <v>173.50199999999998</v>
      </c>
      <c r="T102">
        <v>3</v>
      </c>
      <c r="U102" t="str">
        <f t="shared" si="5"/>
        <v>Fevereiro</v>
      </c>
    </row>
    <row r="103" spans="1:21">
      <c r="A103">
        <v>102</v>
      </c>
      <c r="B103" s="1">
        <v>43886</v>
      </c>
      <c r="C103" s="1" t="str">
        <f t="shared" si="3"/>
        <v>fevereiro</v>
      </c>
      <c r="D103">
        <v>8</v>
      </c>
      <c r="E103" t="s">
        <v>38</v>
      </c>
      <c r="F103" t="s">
        <v>28</v>
      </c>
      <c r="G103" s="8">
        <v>10</v>
      </c>
      <c r="H103" s="2">
        <v>111</v>
      </c>
      <c r="I103" s="2">
        <v>1110</v>
      </c>
      <c r="J103" s="4">
        <v>0.11</v>
      </c>
      <c r="K103" s="2">
        <v>987.9</v>
      </c>
      <c r="L103" s="2">
        <f t="shared" si="4"/>
        <v>122.10000000000002</v>
      </c>
      <c r="M103" s="1">
        <v>43906</v>
      </c>
      <c r="N103" s="1">
        <v>43906</v>
      </c>
      <c r="O103">
        <v>102</v>
      </c>
      <c r="P103">
        <v>1</v>
      </c>
      <c r="Q103" t="s">
        <v>43</v>
      </c>
      <c r="R103" s="3">
        <v>0.08</v>
      </c>
      <c r="S103" s="2">
        <v>79.031999999999996</v>
      </c>
      <c r="T103">
        <v>4</v>
      </c>
      <c r="U103" t="str">
        <f t="shared" si="5"/>
        <v>Fevereiro</v>
      </c>
    </row>
    <row r="104" spans="1:21">
      <c r="A104">
        <v>103</v>
      </c>
      <c r="B104" s="1">
        <v>43887</v>
      </c>
      <c r="C104" s="1" t="str">
        <f t="shared" si="3"/>
        <v>fevereiro</v>
      </c>
      <c r="D104">
        <v>21</v>
      </c>
      <c r="E104" t="s">
        <v>87</v>
      </c>
      <c r="F104" t="s">
        <v>50</v>
      </c>
      <c r="G104" s="8">
        <v>13</v>
      </c>
      <c r="H104" s="2">
        <v>112</v>
      </c>
      <c r="I104" s="2">
        <v>1456</v>
      </c>
      <c r="J104" s="4">
        <v>0.15</v>
      </c>
      <c r="K104" s="2">
        <v>1237.5999999999999</v>
      </c>
      <c r="L104" s="2">
        <f t="shared" si="4"/>
        <v>218.40000000000009</v>
      </c>
      <c r="M104" s="1">
        <v>43906</v>
      </c>
      <c r="N104" s="1">
        <v>43906</v>
      </c>
      <c r="O104">
        <v>103</v>
      </c>
      <c r="P104">
        <v>3</v>
      </c>
      <c r="Q104" t="s">
        <v>43</v>
      </c>
      <c r="R104" s="3">
        <v>0.08</v>
      </c>
      <c r="S104" s="2">
        <v>99.007999999999996</v>
      </c>
      <c r="T104">
        <v>5</v>
      </c>
      <c r="U104" t="str">
        <f t="shared" si="5"/>
        <v>Fevereiro</v>
      </c>
    </row>
    <row r="105" spans="1:21">
      <c r="A105">
        <v>104</v>
      </c>
      <c r="B105" s="1">
        <v>43888</v>
      </c>
      <c r="C105" s="1" t="str">
        <f t="shared" si="3"/>
        <v>fevereiro</v>
      </c>
      <c r="D105">
        <v>34</v>
      </c>
      <c r="E105" t="s">
        <v>58</v>
      </c>
      <c r="F105" t="s">
        <v>46</v>
      </c>
      <c r="G105" s="8">
        <v>17</v>
      </c>
      <c r="H105" s="2">
        <v>96</v>
      </c>
      <c r="I105" s="2">
        <v>1632</v>
      </c>
      <c r="J105" s="4">
        <v>7.0000000000000007E-2</v>
      </c>
      <c r="K105" s="2">
        <v>1517.76</v>
      </c>
      <c r="L105" s="2">
        <f t="shared" si="4"/>
        <v>114.24000000000001</v>
      </c>
      <c r="M105" s="1">
        <v>43891</v>
      </c>
      <c r="N105" s="1">
        <v>43891</v>
      </c>
      <c r="O105">
        <v>104</v>
      </c>
      <c r="P105">
        <v>4</v>
      </c>
      <c r="Q105" t="s">
        <v>25</v>
      </c>
      <c r="R105" s="3">
        <v>7.0000000000000007E-2</v>
      </c>
      <c r="S105" s="2">
        <v>106.24320000000002</v>
      </c>
      <c r="T105">
        <v>6</v>
      </c>
      <c r="U105" t="str">
        <f t="shared" si="5"/>
        <v>Fevereiro</v>
      </c>
    </row>
    <row r="106" spans="1:21">
      <c r="A106">
        <v>105</v>
      </c>
      <c r="B106" s="1">
        <v>43888</v>
      </c>
      <c r="C106" s="1" t="str">
        <f t="shared" si="3"/>
        <v>fevereiro</v>
      </c>
      <c r="D106">
        <v>53</v>
      </c>
      <c r="E106" t="s">
        <v>88</v>
      </c>
      <c r="F106" t="s">
        <v>41</v>
      </c>
      <c r="G106" s="8">
        <v>29</v>
      </c>
      <c r="H106" s="2">
        <v>102</v>
      </c>
      <c r="I106" s="2">
        <v>2958</v>
      </c>
      <c r="J106" s="4">
        <v>0.13</v>
      </c>
      <c r="K106" s="2">
        <v>2573.46</v>
      </c>
      <c r="L106" s="2">
        <f t="shared" si="4"/>
        <v>384.53999999999996</v>
      </c>
      <c r="M106" s="1">
        <v>43911</v>
      </c>
      <c r="N106" s="1">
        <v>43911</v>
      </c>
      <c r="O106">
        <v>105</v>
      </c>
      <c r="P106">
        <v>7</v>
      </c>
      <c r="Q106" t="s">
        <v>47</v>
      </c>
      <c r="R106" s="3">
        <v>0.05</v>
      </c>
      <c r="S106" s="2">
        <v>128.673</v>
      </c>
      <c r="T106">
        <v>7</v>
      </c>
      <c r="U106" t="str">
        <f t="shared" si="5"/>
        <v>Fevereiro</v>
      </c>
    </row>
    <row r="107" spans="1:21">
      <c r="A107">
        <v>106</v>
      </c>
      <c r="B107" s="1">
        <v>43891</v>
      </c>
      <c r="C107" s="1" t="str">
        <f t="shared" si="3"/>
        <v>março</v>
      </c>
      <c r="D107">
        <v>10</v>
      </c>
      <c r="E107" t="s">
        <v>89</v>
      </c>
      <c r="F107" t="s">
        <v>55</v>
      </c>
      <c r="G107" s="8">
        <v>10</v>
      </c>
      <c r="H107" s="2">
        <v>98</v>
      </c>
      <c r="I107" s="2">
        <v>980</v>
      </c>
      <c r="J107" s="4">
        <v>7.0000000000000007E-2</v>
      </c>
      <c r="K107" s="2">
        <v>911.4</v>
      </c>
      <c r="L107" s="2">
        <f t="shared" si="4"/>
        <v>68.600000000000023</v>
      </c>
      <c r="M107" s="1">
        <v>43899</v>
      </c>
      <c r="N107" s="1">
        <v>43899</v>
      </c>
      <c r="O107">
        <v>106</v>
      </c>
      <c r="P107">
        <v>1</v>
      </c>
      <c r="Q107" t="s">
        <v>22</v>
      </c>
      <c r="R107" s="3">
        <v>0.1</v>
      </c>
      <c r="S107" s="2">
        <v>91.14</v>
      </c>
      <c r="T107">
        <v>1</v>
      </c>
      <c r="U107" t="str">
        <f t="shared" si="5"/>
        <v>Março</v>
      </c>
    </row>
    <row r="108" spans="1:21">
      <c r="A108">
        <v>107</v>
      </c>
      <c r="B108" s="1">
        <v>43892</v>
      </c>
      <c r="C108" s="1" t="str">
        <f t="shared" si="3"/>
        <v>março</v>
      </c>
      <c r="D108">
        <v>70</v>
      </c>
      <c r="E108" t="s">
        <v>67</v>
      </c>
      <c r="F108" t="s">
        <v>28</v>
      </c>
      <c r="G108" s="8">
        <v>20</v>
      </c>
      <c r="H108" s="2">
        <v>119</v>
      </c>
      <c r="I108" s="2">
        <v>2380</v>
      </c>
      <c r="J108" s="4">
        <v>0.05</v>
      </c>
      <c r="K108" s="2">
        <v>2261</v>
      </c>
      <c r="L108" s="2">
        <f t="shared" si="4"/>
        <v>119</v>
      </c>
      <c r="M108" s="1">
        <v>43914</v>
      </c>
      <c r="N108" s="1">
        <v>43914</v>
      </c>
      <c r="O108">
        <v>107</v>
      </c>
      <c r="P108">
        <v>3</v>
      </c>
      <c r="Q108" t="s">
        <v>69</v>
      </c>
      <c r="R108" s="3">
        <v>0.09</v>
      </c>
      <c r="S108" s="2">
        <v>203.48999999999998</v>
      </c>
      <c r="T108">
        <v>2</v>
      </c>
      <c r="U108" t="str">
        <f t="shared" si="5"/>
        <v>Março</v>
      </c>
    </row>
    <row r="109" spans="1:21">
      <c r="A109">
        <v>108</v>
      </c>
      <c r="B109" s="1">
        <v>43893</v>
      </c>
      <c r="C109" s="1" t="str">
        <f t="shared" si="3"/>
        <v>março</v>
      </c>
      <c r="D109">
        <v>95</v>
      </c>
      <c r="E109" t="s">
        <v>38</v>
      </c>
      <c r="F109" t="s">
        <v>21</v>
      </c>
      <c r="G109" s="8">
        <v>31</v>
      </c>
      <c r="H109" s="2">
        <v>115</v>
      </c>
      <c r="I109" s="2">
        <v>3565</v>
      </c>
      <c r="J109" s="4">
        <v>0.09</v>
      </c>
      <c r="K109" s="2">
        <v>3244.15</v>
      </c>
      <c r="L109" s="2">
        <f t="shared" si="4"/>
        <v>320.84999999999991</v>
      </c>
      <c r="M109" s="1">
        <v>43909</v>
      </c>
      <c r="N109" s="1">
        <v>43909</v>
      </c>
      <c r="O109">
        <v>108</v>
      </c>
      <c r="P109">
        <v>4</v>
      </c>
      <c r="Q109" t="s">
        <v>43</v>
      </c>
      <c r="R109" s="3">
        <v>0.06</v>
      </c>
      <c r="S109" s="2">
        <v>194.649</v>
      </c>
      <c r="T109">
        <v>3</v>
      </c>
      <c r="U109" t="str">
        <f t="shared" si="5"/>
        <v>Março</v>
      </c>
    </row>
    <row r="110" spans="1:21">
      <c r="A110">
        <v>109</v>
      </c>
      <c r="B110" s="1">
        <v>43894</v>
      </c>
      <c r="C110" s="1" t="str">
        <f t="shared" si="3"/>
        <v>março</v>
      </c>
      <c r="D110">
        <v>69</v>
      </c>
      <c r="E110" t="s">
        <v>67</v>
      </c>
      <c r="F110" t="s">
        <v>21</v>
      </c>
      <c r="G110" s="8">
        <v>35</v>
      </c>
      <c r="H110" s="2">
        <v>116</v>
      </c>
      <c r="I110" s="2">
        <v>4060</v>
      </c>
      <c r="J110" s="4">
        <v>0.14000000000000001</v>
      </c>
      <c r="K110" s="2">
        <v>3491.6</v>
      </c>
      <c r="L110" s="2">
        <f t="shared" si="4"/>
        <v>568.40000000000009</v>
      </c>
      <c r="M110" s="1">
        <v>43917</v>
      </c>
      <c r="N110" s="1">
        <v>43917</v>
      </c>
      <c r="O110">
        <v>109</v>
      </c>
      <c r="P110">
        <v>1</v>
      </c>
      <c r="Q110" t="s">
        <v>25</v>
      </c>
      <c r="R110" s="3">
        <v>0.06</v>
      </c>
      <c r="S110" s="2">
        <v>209.49599999999998</v>
      </c>
      <c r="T110">
        <v>4</v>
      </c>
      <c r="U110" t="str">
        <f t="shared" si="5"/>
        <v>Março</v>
      </c>
    </row>
    <row r="111" spans="1:21">
      <c r="A111">
        <v>110</v>
      </c>
      <c r="B111" s="1">
        <v>43894</v>
      </c>
      <c r="C111" s="1" t="str">
        <f t="shared" si="3"/>
        <v>março</v>
      </c>
      <c r="D111">
        <v>18</v>
      </c>
      <c r="E111" t="s">
        <v>83</v>
      </c>
      <c r="F111" t="s">
        <v>46</v>
      </c>
      <c r="G111" s="8">
        <v>33</v>
      </c>
      <c r="H111" s="2">
        <v>105</v>
      </c>
      <c r="I111" s="2">
        <v>3465</v>
      </c>
      <c r="J111" s="4">
        <v>0.03</v>
      </c>
      <c r="K111" s="2">
        <v>3361.05</v>
      </c>
      <c r="L111" s="2">
        <f t="shared" si="4"/>
        <v>103.94999999999982</v>
      </c>
      <c r="M111" s="1">
        <v>43924</v>
      </c>
      <c r="N111" s="1">
        <v>43924</v>
      </c>
      <c r="O111">
        <v>110</v>
      </c>
      <c r="P111">
        <v>3</v>
      </c>
      <c r="Q111" t="s">
        <v>43</v>
      </c>
      <c r="R111" s="3">
        <v>0.09</v>
      </c>
      <c r="S111" s="2">
        <v>302.49450000000002</v>
      </c>
      <c r="T111">
        <v>5</v>
      </c>
      <c r="U111" t="str">
        <f t="shared" si="5"/>
        <v>Março</v>
      </c>
    </row>
    <row r="112" spans="1:21">
      <c r="A112">
        <v>111</v>
      </c>
      <c r="B112" s="1">
        <v>43894</v>
      </c>
      <c r="C112" s="1" t="str">
        <f t="shared" si="3"/>
        <v>março</v>
      </c>
      <c r="D112">
        <v>86</v>
      </c>
      <c r="E112" t="s">
        <v>90</v>
      </c>
      <c r="F112" t="s">
        <v>31</v>
      </c>
      <c r="G112" s="8">
        <v>50</v>
      </c>
      <c r="H112" s="2">
        <v>103</v>
      </c>
      <c r="I112" s="2">
        <v>5150</v>
      </c>
      <c r="J112" s="4">
        <v>0.11</v>
      </c>
      <c r="K112" s="2">
        <v>4583.5</v>
      </c>
      <c r="L112" s="2">
        <f t="shared" si="4"/>
        <v>566.5</v>
      </c>
      <c r="M112" s="1">
        <v>43915</v>
      </c>
      <c r="N112" s="1">
        <v>43915</v>
      </c>
      <c r="O112">
        <v>111</v>
      </c>
      <c r="P112">
        <v>2</v>
      </c>
      <c r="Q112" t="s">
        <v>47</v>
      </c>
      <c r="R112" s="3">
        <v>0.1</v>
      </c>
      <c r="S112" s="2">
        <v>458.35</v>
      </c>
      <c r="T112">
        <v>6</v>
      </c>
      <c r="U112" t="str">
        <f t="shared" si="5"/>
        <v>Março</v>
      </c>
    </row>
    <row r="113" spans="1:21">
      <c r="A113">
        <v>112</v>
      </c>
      <c r="B113" s="1">
        <v>43895</v>
      </c>
      <c r="C113" s="1" t="str">
        <f t="shared" si="3"/>
        <v>março</v>
      </c>
      <c r="D113">
        <v>18</v>
      </c>
      <c r="E113" t="s">
        <v>83</v>
      </c>
      <c r="F113" t="s">
        <v>24</v>
      </c>
      <c r="G113" s="8">
        <v>42</v>
      </c>
      <c r="H113" s="2">
        <v>98</v>
      </c>
      <c r="I113" s="2">
        <v>4116</v>
      </c>
      <c r="J113" s="4">
        <v>0.11</v>
      </c>
      <c r="K113" s="2">
        <v>3663.24</v>
      </c>
      <c r="L113" s="2">
        <f t="shared" si="4"/>
        <v>452.76000000000022</v>
      </c>
      <c r="M113" s="1">
        <v>43900</v>
      </c>
      <c r="N113" s="1">
        <v>43900</v>
      </c>
      <c r="O113">
        <v>112</v>
      </c>
      <c r="P113">
        <v>5</v>
      </c>
      <c r="Q113" t="s">
        <v>25</v>
      </c>
      <c r="R113" s="3">
        <v>0.09</v>
      </c>
      <c r="S113" s="2">
        <v>329.69159999999999</v>
      </c>
      <c r="T113">
        <v>7</v>
      </c>
      <c r="U113" t="str">
        <f t="shared" si="5"/>
        <v>Março</v>
      </c>
    </row>
    <row r="114" spans="1:21">
      <c r="A114">
        <v>113</v>
      </c>
      <c r="B114" s="1">
        <v>43895</v>
      </c>
      <c r="C114" s="1" t="str">
        <f t="shared" si="3"/>
        <v>março</v>
      </c>
      <c r="D114">
        <v>41</v>
      </c>
      <c r="E114" t="s">
        <v>68</v>
      </c>
      <c r="F114" t="s">
        <v>54</v>
      </c>
      <c r="G114" s="8">
        <v>49</v>
      </c>
      <c r="H114" s="2">
        <v>102</v>
      </c>
      <c r="I114" s="2">
        <v>4998</v>
      </c>
      <c r="J114" s="4">
        <v>0.09</v>
      </c>
      <c r="K114" s="2">
        <v>4548.18</v>
      </c>
      <c r="L114" s="2">
        <f t="shared" si="4"/>
        <v>449.81999999999971</v>
      </c>
      <c r="M114" s="1">
        <v>43905</v>
      </c>
      <c r="N114" s="1">
        <v>43905</v>
      </c>
      <c r="O114">
        <v>113</v>
      </c>
      <c r="P114">
        <v>4</v>
      </c>
      <c r="Q114" t="s">
        <v>37</v>
      </c>
      <c r="R114" s="3">
        <v>0.06</v>
      </c>
      <c r="S114" s="2">
        <v>272.89080000000001</v>
      </c>
      <c r="T114">
        <v>1</v>
      </c>
      <c r="U114" t="str">
        <f t="shared" si="5"/>
        <v>Março</v>
      </c>
    </row>
    <row r="115" spans="1:21">
      <c r="A115">
        <v>114</v>
      </c>
      <c r="B115" s="1">
        <v>43895</v>
      </c>
      <c r="C115" s="1" t="str">
        <f t="shared" si="3"/>
        <v>março</v>
      </c>
      <c r="D115">
        <v>3</v>
      </c>
      <c r="E115" t="s">
        <v>91</v>
      </c>
      <c r="F115" t="s">
        <v>24</v>
      </c>
      <c r="G115" s="8">
        <v>11</v>
      </c>
      <c r="H115" s="2">
        <v>109</v>
      </c>
      <c r="I115" s="2">
        <v>1199</v>
      </c>
      <c r="J115" s="4">
        <v>0.02</v>
      </c>
      <c r="K115" s="2">
        <v>1175.02</v>
      </c>
      <c r="L115" s="2">
        <f t="shared" si="4"/>
        <v>23.980000000000018</v>
      </c>
      <c r="M115" s="1">
        <v>43907</v>
      </c>
      <c r="N115" s="1">
        <v>43907</v>
      </c>
      <c r="O115">
        <v>114</v>
      </c>
      <c r="P115">
        <v>5</v>
      </c>
      <c r="Q115" t="s">
        <v>29</v>
      </c>
      <c r="R115" s="3">
        <v>7.0000000000000007E-2</v>
      </c>
      <c r="S115" s="2">
        <v>82.251400000000004</v>
      </c>
      <c r="T115">
        <v>2</v>
      </c>
      <c r="U115" t="str">
        <f t="shared" si="5"/>
        <v>Março</v>
      </c>
    </row>
    <row r="116" spans="1:21">
      <c r="A116">
        <v>115</v>
      </c>
      <c r="B116" s="1">
        <v>43896</v>
      </c>
      <c r="C116" s="1" t="str">
        <f t="shared" si="3"/>
        <v>março</v>
      </c>
      <c r="D116">
        <v>56</v>
      </c>
      <c r="E116" t="s">
        <v>67</v>
      </c>
      <c r="F116" t="s">
        <v>21</v>
      </c>
      <c r="G116" s="8">
        <v>50</v>
      </c>
      <c r="H116" s="2">
        <v>98</v>
      </c>
      <c r="I116" s="2">
        <v>4900</v>
      </c>
      <c r="J116" s="4">
        <v>0.04</v>
      </c>
      <c r="K116" s="2">
        <v>4704</v>
      </c>
      <c r="L116" s="2">
        <f t="shared" si="4"/>
        <v>196</v>
      </c>
      <c r="M116" s="1">
        <v>43916</v>
      </c>
      <c r="N116" s="1">
        <v>43916</v>
      </c>
      <c r="O116">
        <v>115</v>
      </c>
      <c r="P116">
        <v>2</v>
      </c>
      <c r="Q116" t="s">
        <v>43</v>
      </c>
      <c r="R116" s="3">
        <v>0.08</v>
      </c>
      <c r="S116" s="2">
        <v>376.32</v>
      </c>
      <c r="T116">
        <v>3</v>
      </c>
      <c r="U116" t="str">
        <f t="shared" si="5"/>
        <v>Março</v>
      </c>
    </row>
    <row r="117" spans="1:21">
      <c r="A117">
        <v>116</v>
      </c>
      <c r="B117" s="1">
        <v>43896</v>
      </c>
      <c r="C117" s="1" t="str">
        <f t="shared" si="3"/>
        <v>março</v>
      </c>
      <c r="D117">
        <v>42</v>
      </c>
      <c r="E117" t="s">
        <v>92</v>
      </c>
      <c r="F117" t="s">
        <v>21</v>
      </c>
      <c r="G117" s="8">
        <v>50</v>
      </c>
      <c r="H117" s="2">
        <v>99</v>
      </c>
      <c r="I117" s="2">
        <v>4950</v>
      </c>
      <c r="J117" s="4">
        <v>0.08</v>
      </c>
      <c r="K117" s="2">
        <v>4554</v>
      </c>
      <c r="L117" s="2">
        <f t="shared" si="4"/>
        <v>396</v>
      </c>
      <c r="M117" s="1">
        <v>43918</v>
      </c>
      <c r="N117" s="1">
        <v>43918</v>
      </c>
      <c r="O117">
        <v>116</v>
      </c>
      <c r="P117">
        <v>4</v>
      </c>
      <c r="Q117" t="s">
        <v>25</v>
      </c>
      <c r="R117" s="3">
        <v>0.09</v>
      </c>
      <c r="S117" s="2">
        <v>409.85999999999996</v>
      </c>
      <c r="T117">
        <v>4</v>
      </c>
      <c r="U117" t="str">
        <f t="shared" si="5"/>
        <v>Março</v>
      </c>
    </row>
    <row r="118" spans="1:21">
      <c r="A118">
        <v>117</v>
      </c>
      <c r="B118" s="1">
        <v>43897</v>
      </c>
      <c r="C118" s="1" t="str">
        <f t="shared" si="3"/>
        <v>março</v>
      </c>
      <c r="D118">
        <v>32</v>
      </c>
      <c r="E118" t="s">
        <v>77</v>
      </c>
      <c r="F118" t="s">
        <v>31</v>
      </c>
      <c r="G118" s="8">
        <v>31</v>
      </c>
      <c r="H118" s="2">
        <v>117</v>
      </c>
      <c r="I118" s="2">
        <v>3627</v>
      </c>
      <c r="J118" s="4">
        <v>0.14000000000000001</v>
      </c>
      <c r="K118" s="2">
        <v>3119.22</v>
      </c>
      <c r="L118" s="2">
        <f t="shared" si="4"/>
        <v>507.7800000000002</v>
      </c>
      <c r="M118" s="1">
        <v>43905</v>
      </c>
      <c r="N118" s="1">
        <v>43905</v>
      </c>
      <c r="O118">
        <v>117</v>
      </c>
      <c r="P118">
        <v>4</v>
      </c>
      <c r="Q118" t="s">
        <v>25</v>
      </c>
      <c r="R118" s="3">
        <v>0.05</v>
      </c>
      <c r="S118" s="2">
        <v>155.96100000000001</v>
      </c>
      <c r="T118">
        <v>5</v>
      </c>
      <c r="U118" t="str">
        <f t="shared" si="5"/>
        <v>Março</v>
      </c>
    </row>
    <row r="119" spans="1:21">
      <c r="A119">
        <v>118</v>
      </c>
      <c r="B119" s="1">
        <v>43897</v>
      </c>
      <c r="C119" s="1" t="str">
        <f t="shared" si="3"/>
        <v>março</v>
      </c>
      <c r="D119">
        <v>36</v>
      </c>
      <c r="E119" t="s">
        <v>70</v>
      </c>
      <c r="F119" t="s">
        <v>24</v>
      </c>
      <c r="G119" s="8">
        <v>30</v>
      </c>
      <c r="H119" s="2">
        <v>99</v>
      </c>
      <c r="I119" s="2">
        <v>2970</v>
      </c>
      <c r="J119" s="4">
        <v>7.0000000000000007E-2</v>
      </c>
      <c r="K119" s="2">
        <v>2762.1</v>
      </c>
      <c r="L119" s="2">
        <f t="shared" si="4"/>
        <v>207.90000000000009</v>
      </c>
      <c r="M119" s="1">
        <v>43898</v>
      </c>
      <c r="N119" s="1">
        <v>43898</v>
      </c>
      <c r="O119">
        <v>118</v>
      </c>
      <c r="P119">
        <v>5</v>
      </c>
      <c r="Q119" t="s">
        <v>37</v>
      </c>
      <c r="R119" s="3">
        <v>0.05</v>
      </c>
      <c r="S119" s="2">
        <v>138.10499999999999</v>
      </c>
      <c r="T119">
        <v>6</v>
      </c>
      <c r="U119" t="str">
        <f t="shared" si="5"/>
        <v>Março</v>
      </c>
    </row>
    <row r="120" spans="1:21">
      <c r="A120">
        <v>119</v>
      </c>
      <c r="B120" s="1">
        <v>43897</v>
      </c>
      <c r="C120" s="1" t="str">
        <f t="shared" si="3"/>
        <v>março</v>
      </c>
      <c r="D120">
        <v>78</v>
      </c>
      <c r="E120" t="s">
        <v>36</v>
      </c>
      <c r="F120" t="s">
        <v>28</v>
      </c>
      <c r="G120" s="8">
        <v>23</v>
      </c>
      <c r="H120" s="2">
        <v>92</v>
      </c>
      <c r="I120" s="2">
        <v>2116</v>
      </c>
      <c r="J120" s="4">
        <v>0.02</v>
      </c>
      <c r="K120" s="2">
        <v>2073.6799999999998</v>
      </c>
      <c r="L120" s="2">
        <f t="shared" si="4"/>
        <v>42.320000000000164</v>
      </c>
      <c r="M120" s="1">
        <v>43926</v>
      </c>
      <c r="N120" s="1">
        <v>43926</v>
      </c>
      <c r="O120">
        <v>119</v>
      </c>
      <c r="P120">
        <v>3</v>
      </c>
      <c r="Q120" t="s">
        <v>34</v>
      </c>
      <c r="R120" s="3">
        <v>0.08</v>
      </c>
      <c r="S120" s="2">
        <v>165.89439999999999</v>
      </c>
      <c r="T120">
        <v>7</v>
      </c>
      <c r="U120" t="str">
        <f t="shared" si="5"/>
        <v>Março</v>
      </c>
    </row>
    <row r="121" spans="1:21">
      <c r="A121">
        <v>120</v>
      </c>
      <c r="B121" s="1">
        <v>43897</v>
      </c>
      <c r="C121" s="1" t="str">
        <f t="shared" si="3"/>
        <v>março</v>
      </c>
      <c r="D121">
        <v>13</v>
      </c>
      <c r="E121" t="s">
        <v>75</v>
      </c>
      <c r="F121" t="s">
        <v>46</v>
      </c>
      <c r="G121" s="8">
        <v>32</v>
      </c>
      <c r="H121" s="2">
        <v>99</v>
      </c>
      <c r="I121" s="2">
        <v>3168</v>
      </c>
      <c r="J121" s="4">
        <v>0.11</v>
      </c>
      <c r="K121" s="2">
        <v>2819.52</v>
      </c>
      <c r="L121" s="2">
        <f t="shared" si="4"/>
        <v>348.48</v>
      </c>
      <c r="M121" s="1">
        <v>43902</v>
      </c>
      <c r="N121" s="1">
        <v>43902</v>
      </c>
      <c r="O121">
        <v>120</v>
      </c>
      <c r="P121">
        <v>6</v>
      </c>
      <c r="Q121" t="s">
        <v>47</v>
      </c>
      <c r="R121" s="3">
        <v>0.09</v>
      </c>
      <c r="S121" s="2">
        <v>253.7568</v>
      </c>
      <c r="T121">
        <v>1</v>
      </c>
      <c r="U121" t="str">
        <f t="shared" si="5"/>
        <v>Março</v>
      </c>
    </row>
    <row r="122" spans="1:21">
      <c r="A122">
        <v>121</v>
      </c>
      <c r="B122" s="1">
        <v>43898</v>
      </c>
      <c r="C122" s="1" t="str">
        <f t="shared" si="3"/>
        <v>março</v>
      </c>
      <c r="D122">
        <v>49</v>
      </c>
      <c r="E122" t="s">
        <v>38</v>
      </c>
      <c r="F122" t="s">
        <v>50</v>
      </c>
      <c r="G122" s="8">
        <v>31</v>
      </c>
      <c r="H122" s="2">
        <v>103</v>
      </c>
      <c r="I122" s="2">
        <v>3193</v>
      </c>
      <c r="J122" s="4">
        <v>0.09</v>
      </c>
      <c r="K122" s="2">
        <v>2905.63</v>
      </c>
      <c r="L122" s="2">
        <f t="shared" si="4"/>
        <v>287.36999999999989</v>
      </c>
      <c r="M122" s="1">
        <v>43902</v>
      </c>
      <c r="N122" s="1">
        <v>43902</v>
      </c>
      <c r="O122">
        <v>121</v>
      </c>
      <c r="P122">
        <v>5</v>
      </c>
      <c r="Q122" t="s">
        <v>37</v>
      </c>
      <c r="R122" s="3">
        <v>0.05</v>
      </c>
      <c r="S122" s="2">
        <v>145.28150000000002</v>
      </c>
      <c r="T122">
        <v>2</v>
      </c>
      <c r="U122" t="str">
        <f t="shared" si="5"/>
        <v>Março</v>
      </c>
    </row>
    <row r="123" spans="1:21">
      <c r="A123">
        <v>122</v>
      </c>
      <c r="B123" s="1">
        <v>43898</v>
      </c>
      <c r="C123" s="1" t="str">
        <f t="shared" si="3"/>
        <v>março</v>
      </c>
      <c r="D123">
        <v>1</v>
      </c>
      <c r="E123" t="s">
        <v>93</v>
      </c>
      <c r="F123" t="s">
        <v>46</v>
      </c>
      <c r="G123" s="8">
        <v>26</v>
      </c>
      <c r="H123" s="2">
        <v>97</v>
      </c>
      <c r="I123" s="2">
        <v>2522</v>
      </c>
      <c r="J123" s="4">
        <v>0.14000000000000001</v>
      </c>
      <c r="K123" s="2">
        <v>2168.92</v>
      </c>
      <c r="L123" s="2">
        <f t="shared" si="4"/>
        <v>353.07999999999993</v>
      </c>
      <c r="M123" s="1">
        <v>43899</v>
      </c>
      <c r="N123" s="1">
        <v>43899</v>
      </c>
      <c r="O123">
        <v>122</v>
      </c>
      <c r="P123">
        <v>2</v>
      </c>
      <c r="Q123" t="s">
        <v>47</v>
      </c>
      <c r="R123" s="3">
        <v>0.1</v>
      </c>
      <c r="S123" s="2">
        <v>216.89200000000002</v>
      </c>
      <c r="T123">
        <v>3</v>
      </c>
      <c r="U123" t="str">
        <f t="shared" si="5"/>
        <v>Março</v>
      </c>
    </row>
    <row r="124" spans="1:21">
      <c r="A124">
        <v>123</v>
      </c>
      <c r="B124" s="1">
        <v>43898</v>
      </c>
      <c r="C124" s="1" t="str">
        <f t="shared" si="3"/>
        <v>março</v>
      </c>
      <c r="D124">
        <v>33</v>
      </c>
      <c r="E124" t="s">
        <v>76</v>
      </c>
      <c r="F124" t="s">
        <v>24</v>
      </c>
      <c r="G124" s="8">
        <v>13</v>
      </c>
      <c r="H124" s="2">
        <v>111</v>
      </c>
      <c r="I124" s="2">
        <v>1443</v>
      </c>
      <c r="J124" s="4">
        <v>0.01</v>
      </c>
      <c r="K124" s="2">
        <v>1428.57</v>
      </c>
      <c r="L124" s="2">
        <f t="shared" si="4"/>
        <v>14.430000000000064</v>
      </c>
      <c r="M124" s="1">
        <v>43901</v>
      </c>
      <c r="N124" s="1">
        <v>43901</v>
      </c>
      <c r="O124">
        <v>123</v>
      </c>
      <c r="P124">
        <v>4</v>
      </c>
      <c r="Q124" t="s">
        <v>32</v>
      </c>
      <c r="R124" s="3">
        <v>0.05</v>
      </c>
      <c r="S124" s="2">
        <v>71.4285</v>
      </c>
      <c r="T124">
        <v>4</v>
      </c>
      <c r="U124" t="str">
        <f t="shared" si="5"/>
        <v>Março</v>
      </c>
    </row>
    <row r="125" spans="1:21">
      <c r="A125">
        <v>124</v>
      </c>
      <c r="B125" s="1">
        <v>43898</v>
      </c>
      <c r="C125" s="1" t="str">
        <f t="shared" si="3"/>
        <v>março</v>
      </c>
      <c r="D125">
        <v>50</v>
      </c>
      <c r="E125" t="s">
        <v>81</v>
      </c>
      <c r="F125" t="s">
        <v>28</v>
      </c>
      <c r="G125" s="8">
        <v>35</v>
      </c>
      <c r="H125" s="2">
        <v>102</v>
      </c>
      <c r="I125" s="2">
        <v>3570</v>
      </c>
      <c r="J125" s="4">
        <v>0.09</v>
      </c>
      <c r="K125" s="2">
        <v>3248.7</v>
      </c>
      <c r="L125" s="2">
        <f t="shared" si="4"/>
        <v>321.30000000000018</v>
      </c>
      <c r="M125" s="1">
        <v>43913</v>
      </c>
      <c r="O125">
        <v>124</v>
      </c>
      <c r="P125">
        <v>7</v>
      </c>
      <c r="Q125" t="s">
        <v>25</v>
      </c>
      <c r="R125" s="3">
        <v>0.09</v>
      </c>
      <c r="S125" s="2">
        <v>292.38299999999998</v>
      </c>
      <c r="T125">
        <v>5</v>
      </c>
      <c r="U125" t="str">
        <f t="shared" si="5"/>
        <v>Março</v>
      </c>
    </row>
    <row r="126" spans="1:21">
      <c r="A126">
        <v>125</v>
      </c>
      <c r="B126" s="1">
        <v>43899</v>
      </c>
      <c r="C126" s="1" t="str">
        <f t="shared" si="3"/>
        <v>março</v>
      </c>
      <c r="D126">
        <v>46</v>
      </c>
      <c r="E126" t="s">
        <v>94</v>
      </c>
      <c r="F126" t="s">
        <v>54</v>
      </c>
      <c r="G126" s="8">
        <v>19</v>
      </c>
      <c r="H126" s="2">
        <v>104</v>
      </c>
      <c r="I126" s="2">
        <v>1976</v>
      </c>
      <c r="J126" s="4">
        <v>0.09</v>
      </c>
      <c r="K126" s="2">
        <v>1798.16</v>
      </c>
      <c r="L126" s="2">
        <f t="shared" si="4"/>
        <v>177.83999999999992</v>
      </c>
      <c r="M126" s="1">
        <v>43928</v>
      </c>
      <c r="N126" s="1">
        <v>43928</v>
      </c>
      <c r="O126">
        <v>125</v>
      </c>
      <c r="P126">
        <v>5</v>
      </c>
      <c r="Q126" t="s">
        <v>52</v>
      </c>
      <c r="R126" s="3">
        <v>0.09</v>
      </c>
      <c r="S126" s="2">
        <v>161.83439999999999</v>
      </c>
      <c r="T126">
        <v>6</v>
      </c>
      <c r="U126" t="str">
        <f t="shared" si="5"/>
        <v>Março</v>
      </c>
    </row>
    <row r="127" spans="1:21">
      <c r="A127">
        <v>126</v>
      </c>
      <c r="B127" s="1">
        <v>43899</v>
      </c>
      <c r="C127" s="1" t="str">
        <f t="shared" si="3"/>
        <v>março</v>
      </c>
      <c r="D127">
        <v>26</v>
      </c>
      <c r="E127" t="s">
        <v>95</v>
      </c>
      <c r="F127" t="s">
        <v>28</v>
      </c>
      <c r="G127" s="8">
        <v>15</v>
      </c>
      <c r="H127" s="2">
        <v>119</v>
      </c>
      <c r="I127" s="2">
        <v>1785</v>
      </c>
      <c r="J127" s="4">
        <v>0.15</v>
      </c>
      <c r="K127" s="2">
        <v>1517.25</v>
      </c>
      <c r="L127" s="2">
        <f t="shared" si="4"/>
        <v>267.75</v>
      </c>
      <c r="M127" s="1">
        <v>43912</v>
      </c>
      <c r="N127" s="1">
        <v>43912</v>
      </c>
      <c r="O127">
        <v>126</v>
      </c>
      <c r="P127">
        <v>7</v>
      </c>
      <c r="Q127" t="s">
        <v>37</v>
      </c>
      <c r="R127" s="3">
        <v>0.05</v>
      </c>
      <c r="S127" s="2">
        <v>75.862499999999997</v>
      </c>
      <c r="T127">
        <v>7</v>
      </c>
      <c r="U127" t="str">
        <f t="shared" si="5"/>
        <v>Março</v>
      </c>
    </row>
    <row r="128" spans="1:21">
      <c r="A128">
        <v>127</v>
      </c>
      <c r="B128" s="1">
        <v>43901</v>
      </c>
      <c r="C128" s="1" t="str">
        <f t="shared" si="3"/>
        <v>março</v>
      </c>
      <c r="D128">
        <v>48</v>
      </c>
      <c r="E128" t="s">
        <v>61</v>
      </c>
      <c r="F128" t="s">
        <v>31</v>
      </c>
      <c r="G128" s="8">
        <v>13</v>
      </c>
      <c r="H128" s="2">
        <v>99</v>
      </c>
      <c r="I128" s="2">
        <v>1287</v>
      </c>
      <c r="J128" s="4">
        <v>0.15</v>
      </c>
      <c r="K128" s="2">
        <v>1093.95</v>
      </c>
      <c r="L128" s="2">
        <f t="shared" si="4"/>
        <v>193.04999999999995</v>
      </c>
      <c r="M128" s="1">
        <v>43929</v>
      </c>
      <c r="N128" s="1">
        <v>43929</v>
      </c>
      <c r="O128">
        <v>127</v>
      </c>
      <c r="P128">
        <v>6</v>
      </c>
      <c r="Q128" t="s">
        <v>37</v>
      </c>
      <c r="R128" s="3">
        <v>0.08</v>
      </c>
      <c r="S128" s="2">
        <v>87.516000000000005</v>
      </c>
      <c r="T128">
        <v>1</v>
      </c>
      <c r="U128" t="str">
        <f t="shared" si="5"/>
        <v>Março</v>
      </c>
    </row>
    <row r="129" spans="1:21">
      <c r="A129">
        <v>128</v>
      </c>
      <c r="B129" s="1">
        <v>43901</v>
      </c>
      <c r="C129" s="1" t="str">
        <f t="shared" si="3"/>
        <v>março</v>
      </c>
      <c r="D129">
        <v>22</v>
      </c>
      <c r="E129" t="s">
        <v>51</v>
      </c>
      <c r="F129" t="s">
        <v>31</v>
      </c>
      <c r="G129" s="8">
        <v>31</v>
      </c>
      <c r="H129" s="2">
        <v>104</v>
      </c>
      <c r="I129" s="2">
        <v>3224</v>
      </c>
      <c r="J129" s="4">
        <v>0.13</v>
      </c>
      <c r="K129" s="2">
        <v>2804.88</v>
      </c>
      <c r="L129" s="2">
        <f t="shared" si="4"/>
        <v>419.11999999999989</v>
      </c>
      <c r="M129" s="1">
        <v>43919</v>
      </c>
      <c r="N129" s="1">
        <v>43919</v>
      </c>
      <c r="O129">
        <v>128</v>
      </c>
      <c r="P129">
        <v>6</v>
      </c>
      <c r="Q129" t="s">
        <v>69</v>
      </c>
      <c r="R129" s="3">
        <v>0.06</v>
      </c>
      <c r="S129" s="2">
        <v>168.2928</v>
      </c>
      <c r="T129">
        <v>2</v>
      </c>
      <c r="U129" t="str">
        <f t="shared" si="5"/>
        <v>Março</v>
      </c>
    </row>
    <row r="130" spans="1:21">
      <c r="A130">
        <v>129</v>
      </c>
      <c r="B130" s="1">
        <v>43902</v>
      </c>
      <c r="C130" s="1" t="str">
        <f t="shared" si="3"/>
        <v>março</v>
      </c>
      <c r="D130">
        <v>30</v>
      </c>
      <c r="E130" t="s">
        <v>96</v>
      </c>
      <c r="F130" t="s">
        <v>46</v>
      </c>
      <c r="G130" s="8">
        <v>36</v>
      </c>
      <c r="H130" s="2">
        <v>109</v>
      </c>
      <c r="I130" s="2">
        <v>3924</v>
      </c>
      <c r="J130" s="4">
        <v>7.0000000000000007E-2</v>
      </c>
      <c r="K130" s="2">
        <v>3649.32</v>
      </c>
      <c r="L130" s="2">
        <f t="shared" si="4"/>
        <v>274.67999999999984</v>
      </c>
      <c r="M130" s="1">
        <v>43904</v>
      </c>
      <c r="N130" s="1">
        <v>43904</v>
      </c>
      <c r="O130">
        <v>129</v>
      </c>
      <c r="P130">
        <v>3</v>
      </c>
      <c r="Q130" t="s">
        <v>34</v>
      </c>
      <c r="R130" s="3">
        <v>0.08</v>
      </c>
      <c r="S130" s="2">
        <v>291.94560000000001</v>
      </c>
      <c r="T130">
        <v>3</v>
      </c>
      <c r="U130" t="str">
        <f t="shared" si="5"/>
        <v>Março</v>
      </c>
    </row>
    <row r="131" spans="1:21">
      <c r="A131">
        <v>130</v>
      </c>
      <c r="B131" s="1">
        <v>43902</v>
      </c>
      <c r="C131" s="1" t="str">
        <f t="shared" ref="C131:C194" si="6">TEXT(B131,"mmmm")</f>
        <v>março</v>
      </c>
      <c r="D131">
        <v>97</v>
      </c>
      <c r="E131" t="s">
        <v>66</v>
      </c>
      <c r="F131" t="s">
        <v>59</v>
      </c>
      <c r="G131" s="8">
        <v>24</v>
      </c>
      <c r="H131" s="2">
        <v>105</v>
      </c>
      <c r="I131" s="2">
        <v>2520</v>
      </c>
      <c r="J131" s="4">
        <v>0.03</v>
      </c>
      <c r="K131" s="2">
        <v>2444.4</v>
      </c>
      <c r="L131" s="2">
        <f t="shared" ref="L131:L194" si="7">I131-K131</f>
        <v>75.599999999999909</v>
      </c>
      <c r="M131" s="1">
        <v>43906</v>
      </c>
      <c r="N131" s="1">
        <v>43906</v>
      </c>
      <c r="O131">
        <v>130</v>
      </c>
      <c r="P131">
        <v>1</v>
      </c>
      <c r="Q131" t="s">
        <v>43</v>
      </c>
      <c r="R131" s="3">
        <v>0.09</v>
      </c>
      <c r="S131" s="2">
        <v>219.99600000000001</v>
      </c>
      <c r="T131">
        <v>4</v>
      </c>
      <c r="U131" t="str">
        <f t="shared" ref="U131:U194" si="8">PROPER(TEXT(B131,"mmmm"))</f>
        <v>Março</v>
      </c>
    </row>
    <row r="132" spans="1:21">
      <c r="A132">
        <v>131</v>
      </c>
      <c r="B132" s="1">
        <v>43902</v>
      </c>
      <c r="C132" s="1" t="str">
        <f t="shared" si="6"/>
        <v>março</v>
      </c>
      <c r="D132">
        <v>64</v>
      </c>
      <c r="E132" t="s">
        <v>78</v>
      </c>
      <c r="F132" t="s">
        <v>28</v>
      </c>
      <c r="G132" s="8">
        <v>24</v>
      </c>
      <c r="H132" s="2">
        <v>118</v>
      </c>
      <c r="I132" s="2">
        <v>2832</v>
      </c>
      <c r="J132" s="4">
        <v>0.13</v>
      </c>
      <c r="K132" s="2">
        <v>2463.84</v>
      </c>
      <c r="L132" s="2">
        <f t="shared" si="7"/>
        <v>368.15999999999985</v>
      </c>
      <c r="M132" s="1">
        <v>43930</v>
      </c>
      <c r="N132" s="1">
        <v>43930</v>
      </c>
      <c r="O132">
        <v>131</v>
      </c>
      <c r="P132">
        <v>5</v>
      </c>
      <c r="Q132" t="s">
        <v>52</v>
      </c>
      <c r="R132" s="3">
        <v>7.0000000000000007E-2</v>
      </c>
      <c r="S132" s="2">
        <v>172.46880000000002</v>
      </c>
      <c r="T132">
        <v>5</v>
      </c>
      <c r="U132" t="str">
        <f t="shared" si="8"/>
        <v>Março</v>
      </c>
    </row>
    <row r="133" spans="1:21">
      <c r="A133">
        <v>132</v>
      </c>
      <c r="B133" s="1">
        <v>43903</v>
      </c>
      <c r="C133" s="1" t="str">
        <f t="shared" si="6"/>
        <v>março</v>
      </c>
      <c r="D133">
        <v>98</v>
      </c>
      <c r="E133" t="s">
        <v>26</v>
      </c>
      <c r="F133" t="s">
        <v>28</v>
      </c>
      <c r="G133" s="8">
        <v>48</v>
      </c>
      <c r="H133" s="2">
        <v>119</v>
      </c>
      <c r="I133" s="2">
        <v>5712</v>
      </c>
      <c r="J133" s="4">
        <v>0</v>
      </c>
      <c r="K133" s="2">
        <v>5712</v>
      </c>
      <c r="L133" s="2">
        <f t="shared" si="7"/>
        <v>0</v>
      </c>
      <c r="M133" s="1">
        <v>43931</v>
      </c>
      <c r="N133" s="1">
        <v>43931</v>
      </c>
      <c r="O133">
        <v>132</v>
      </c>
      <c r="P133">
        <v>1</v>
      </c>
      <c r="Q133" t="s">
        <v>47</v>
      </c>
      <c r="R133" s="3">
        <v>0.08</v>
      </c>
      <c r="S133" s="2">
        <v>456.96000000000004</v>
      </c>
      <c r="T133">
        <v>6</v>
      </c>
      <c r="U133" t="str">
        <f t="shared" si="8"/>
        <v>Março</v>
      </c>
    </row>
    <row r="134" spans="1:21">
      <c r="A134">
        <v>133</v>
      </c>
      <c r="B134" s="1">
        <v>43903</v>
      </c>
      <c r="C134" s="1" t="str">
        <f t="shared" si="6"/>
        <v>março</v>
      </c>
      <c r="D134">
        <v>37</v>
      </c>
      <c r="E134" t="s">
        <v>48</v>
      </c>
      <c r="F134" t="s">
        <v>28</v>
      </c>
      <c r="G134" s="8">
        <v>13</v>
      </c>
      <c r="H134" s="2">
        <v>120</v>
      </c>
      <c r="I134" s="2">
        <v>1560</v>
      </c>
      <c r="J134" s="4">
        <v>0.14000000000000001</v>
      </c>
      <c r="K134" s="2">
        <v>1341.6</v>
      </c>
      <c r="L134" s="2">
        <f t="shared" si="7"/>
        <v>218.40000000000009</v>
      </c>
      <c r="M134" s="1">
        <v>43927</v>
      </c>
      <c r="N134" s="1">
        <v>43927</v>
      </c>
      <c r="O134">
        <v>133</v>
      </c>
      <c r="P134">
        <v>4</v>
      </c>
      <c r="Q134" t="s">
        <v>22</v>
      </c>
      <c r="R134" s="3">
        <v>0.06</v>
      </c>
      <c r="S134" s="2">
        <v>80.495999999999995</v>
      </c>
      <c r="T134">
        <v>7</v>
      </c>
      <c r="U134" t="str">
        <f t="shared" si="8"/>
        <v>Março</v>
      </c>
    </row>
    <row r="135" spans="1:21">
      <c r="A135">
        <v>134</v>
      </c>
      <c r="B135" s="1">
        <v>43903</v>
      </c>
      <c r="C135" s="1" t="str">
        <f t="shared" si="6"/>
        <v>março</v>
      </c>
      <c r="D135">
        <v>15</v>
      </c>
      <c r="E135" t="s">
        <v>77</v>
      </c>
      <c r="F135" t="s">
        <v>28</v>
      </c>
      <c r="G135" s="8">
        <v>11</v>
      </c>
      <c r="H135" s="2">
        <v>113</v>
      </c>
      <c r="I135" s="2">
        <v>1243</v>
      </c>
      <c r="J135" s="4">
        <v>0.12</v>
      </c>
      <c r="K135" s="2">
        <v>1093.8399999999999</v>
      </c>
      <c r="L135" s="2">
        <f t="shared" si="7"/>
        <v>149.16000000000008</v>
      </c>
      <c r="M135" s="1">
        <v>43924</v>
      </c>
      <c r="N135" s="1">
        <v>43924</v>
      </c>
      <c r="O135">
        <v>134</v>
      </c>
      <c r="P135">
        <v>7</v>
      </c>
      <c r="Q135" t="s">
        <v>43</v>
      </c>
      <c r="R135" s="3">
        <v>0.1</v>
      </c>
      <c r="S135" s="2">
        <v>109.384</v>
      </c>
      <c r="T135">
        <v>1</v>
      </c>
      <c r="U135" t="str">
        <f t="shared" si="8"/>
        <v>Março</v>
      </c>
    </row>
    <row r="136" spans="1:21">
      <c r="A136">
        <v>135</v>
      </c>
      <c r="B136" s="1">
        <v>43905</v>
      </c>
      <c r="C136" s="1" t="str">
        <f t="shared" si="6"/>
        <v>março</v>
      </c>
      <c r="D136">
        <v>6</v>
      </c>
      <c r="E136" t="s">
        <v>88</v>
      </c>
      <c r="F136" t="s">
        <v>46</v>
      </c>
      <c r="G136" s="8">
        <v>18</v>
      </c>
      <c r="H136" s="2">
        <v>104</v>
      </c>
      <c r="I136" s="2">
        <v>1872</v>
      </c>
      <c r="J136" s="4">
        <v>0.01</v>
      </c>
      <c r="K136" s="2">
        <v>1853.28</v>
      </c>
      <c r="L136" s="2">
        <f t="shared" si="7"/>
        <v>18.720000000000027</v>
      </c>
      <c r="M136" s="1">
        <v>43928</v>
      </c>
      <c r="N136" s="1">
        <v>43928</v>
      </c>
      <c r="O136">
        <v>135</v>
      </c>
      <c r="P136">
        <v>1</v>
      </c>
      <c r="Q136" t="s">
        <v>47</v>
      </c>
      <c r="R136" s="3">
        <v>0.1</v>
      </c>
      <c r="S136" s="2">
        <v>185.328</v>
      </c>
      <c r="T136">
        <v>2</v>
      </c>
      <c r="U136" t="str">
        <f t="shared" si="8"/>
        <v>Março</v>
      </c>
    </row>
    <row r="137" spans="1:21">
      <c r="A137">
        <v>136</v>
      </c>
      <c r="B137" s="1">
        <v>43906</v>
      </c>
      <c r="C137" s="1" t="str">
        <f t="shared" si="6"/>
        <v>março</v>
      </c>
      <c r="D137">
        <v>94</v>
      </c>
      <c r="E137" t="s">
        <v>49</v>
      </c>
      <c r="F137" t="s">
        <v>21</v>
      </c>
      <c r="G137" s="8">
        <v>25</v>
      </c>
      <c r="H137" s="2">
        <v>115</v>
      </c>
      <c r="I137" s="2">
        <v>2875</v>
      </c>
      <c r="J137" s="4">
        <v>7.0000000000000007E-2</v>
      </c>
      <c r="K137" s="2">
        <v>2673.75</v>
      </c>
      <c r="L137" s="2">
        <f t="shared" si="7"/>
        <v>201.25</v>
      </c>
      <c r="M137" s="1">
        <v>43930</v>
      </c>
      <c r="N137" s="1">
        <v>43930</v>
      </c>
      <c r="O137">
        <v>136</v>
      </c>
      <c r="P137">
        <v>1</v>
      </c>
      <c r="Q137" t="s">
        <v>43</v>
      </c>
      <c r="R137" s="3">
        <v>7.0000000000000007E-2</v>
      </c>
      <c r="S137" s="2">
        <v>187.16250000000002</v>
      </c>
      <c r="T137">
        <v>3</v>
      </c>
      <c r="U137" t="str">
        <f t="shared" si="8"/>
        <v>Março</v>
      </c>
    </row>
    <row r="138" spans="1:21">
      <c r="A138">
        <v>137</v>
      </c>
      <c r="B138" s="1">
        <v>43907</v>
      </c>
      <c r="C138" s="1" t="str">
        <f t="shared" si="6"/>
        <v>março</v>
      </c>
      <c r="D138">
        <v>80</v>
      </c>
      <c r="E138" t="s">
        <v>38</v>
      </c>
      <c r="F138" t="s">
        <v>46</v>
      </c>
      <c r="G138" s="8">
        <v>49</v>
      </c>
      <c r="H138" s="2">
        <v>107</v>
      </c>
      <c r="I138" s="2">
        <v>5243</v>
      </c>
      <c r="J138" s="4">
        <v>0.04</v>
      </c>
      <c r="K138" s="2">
        <v>5033.28</v>
      </c>
      <c r="L138" s="2">
        <f t="shared" si="7"/>
        <v>209.72000000000025</v>
      </c>
      <c r="M138" s="1">
        <v>43930</v>
      </c>
      <c r="N138" s="1">
        <v>43930</v>
      </c>
      <c r="O138">
        <v>137</v>
      </c>
      <c r="P138">
        <v>3</v>
      </c>
      <c r="Q138" t="s">
        <v>32</v>
      </c>
      <c r="R138" s="3">
        <v>0.06</v>
      </c>
      <c r="S138" s="2">
        <v>301.99679999999995</v>
      </c>
      <c r="T138">
        <v>4</v>
      </c>
      <c r="U138" t="str">
        <f t="shared" si="8"/>
        <v>Março</v>
      </c>
    </row>
    <row r="139" spans="1:21">
      <c r="A139">
        <v>138</v>
      </c>
      <c r="B139" s="1">
        <v>43907</v>
      </c>
      <c r="C139" s="1" t="str">
        <f t="shared" si="6"/>
        <v>março</v>
      </c>
      <c r="D139">
        <v>94</v>
      </c>
      <c r="E139" t="s">
        <v>49</v>
      </c>
      <c r="F139" t="s">
        <v>50</v>
      </c>
      <c r="G139" s="8">
        <v>16</v>
      </c>
      <c r="H139" s="2">
        <v>106</v>
      </c>
      <c r="I139" s="2">
        <v>1696</v>
      </c>
      <c r="J139" s="4">
        <v>0.11</v>
      </c>
      <c r="K139" s="2">
        <v>1509.44</v>
      </c>
      <c r="L139" s="2">
        <f t="shared" si="7"/>
        <v>186.55999999999995</v>
      </c>
      <c r="M139" s="1">
        <v>43924</v>
      </c>
      <c r="N139" s="1">
        <v>43924</v>
      </c>
      <c r="O139">
        <v>138</v>
      </c>
      <c r="P139">
        <v>7</v>
      </c>
      <c r="Q139" t="s">
        <v>69</v>
      </c>
      <c r="R139" s="3">
        <v>0.05</v>
      </c>
      <c r="S139" s="2">
        <v>75.472000000000008</v>
      </c>
      <c r="T139">
        <v>5</v>
      </c>
      <c r="U139" t="str">
        <f t="shared" si="8"/>
        <v>Março</v>
      </c>
    </row>
    <row r="140" spans="1:21">
      <c r="A140">
        <v>139</v>
      </c>
      <c r="B140" s="1">
        <v>43908</v>
      </c>
      <c r="C140" s="1" t="str">
        <f t="shared" si="6"/>
        <v>março</v>
      </c>
      <c r="D140">
        <v>80</v>
      </c>
      <c r="E140" t="s">
        <v>38</v>
      </c>
      <c r="F140" t="s">
        <v>59</v>
      </c>
      <c r="G140" s="8">
        <v>50</v>
      </c>
      <c r="H140" s="2">
        <v>119</v>
      </c>
      <c r="I140" s="2">
        <v>5950</v>
      </c>
      <c r="J140" s="4">
        <v>0.1</v>
      </c>
      <c r="K140" s="2">
        <v>5355</v>
      </c>
      <c r="L140" s="2">
        <f t="shared" si="7"/>
        <v>595</v>
      </c>
      <c r="M140" s="1">
        <v>43911</v>
      </c>
      <c r="N140" s="1">
        <v>43911</v>
      </c>
      <c r="O140">
        <v>139</v>
      </c>
      <c r="P140">
        <v>3</v>
      </c>
      <c r="Q140" t="s">
        <v>37</v>
      </c>
      <c r="R140" s="3">
        <v>0.1</v>
      </c>
      <c r="S140" s="2">
        <v>535.5</v>
      </c>
      <c r="T140">
        <v>6</v>
      </c>
      <c r="U140" t="str">
        <f t="shared" si="8"/>
        <v>Março</v>
      </c>
    </row>
    <row r="141" spans="1:21">
      <c r="A141">
        <v>140</v>
      </c>
      <c r="B141" s="1">
        <v>43909</v>
      </c>
      <c r="C141" s="1" t="str">
        <f t="shared" si="6"/>
        <v>março</v>
      </c>
      <c r="D141">
        <v>73</v>
      </c>
      <c r="E141" t="s">
        <v>38</v>
      </c>
      <c r="F141" t="s">
        <v>41</v>
      </c>
      <c r="G141" s="8">
        <v>36</v>
      </c>
      <c r="H141" s="2">
        <v>111</v>
      </c>
      <c r="I141" s="2">
        <v>3996</v>
      </c>
      <c r="J141" s="4">
        <v>0.08</v>
      </c>
      <c r="K141" s="2">
        <v>3676.32</v>
      </c>
      <c r="L141" s="2">
        <f t="shared" si="7"/>
        <v>319.67999999999984</v>
      </c>
      <c r="M141" s="1">
        <v>43931</v>
      </c>
      <c r="N141" s="1">
        <v>43931</v>
      </c>
      <c r="O141">
        <v>140</v>
      </c>
      <c r="P141">
        <v>1</v>
      </c>
      <c r="Q141" t="s">
        <v>37</v>
      </c>
      <c r="R141" s="3">
        <v>0.1</v>
      </c>
      <c r="S141" s="2">
        <v>367.63200000000006</v>
      </c>
      <c r="T141">
        <v>7</v>
      </c>
      <c r="U141" t="str">
        <f t="shared" si="8"/>
        <v>Março</v>
      </c>
    </row>
    <row r="142" spans="1:21">
      <c r="A142">
        <v>141</v>
      </c>
      <c r="B142" s="1">
        <v>43909</v>
      </c>
      <c r="C142" s="1" t="str">
        <f t="shared" si="6"/>
        <v>março</v>
      </c>
      <c r="D142">
        <v>17</v>
      </c>
      <c r="E142" t="s">
        <v>67</v>
      </c>
      <c r="F142" t="s">
        <v>59</v>
      </c>
      <c r="G142" s="8">
        <v>10</v>
      </c>
      <c r="H142" s="2">
        <v>96</v>
      </c>
      <c r="I142" s="2">
        <v>960</v>
      </c>
      <c r="J142" s="4">
        <v>0.1</v>
      </c>
      <c r="K142" s="2">
        <v>864</v>
      </c>
      <c r="L142" s="2">
        <f t="shared" si="7"/>
        <v>96</v>
      </c>
      <c r="M142" s="1">
        <v>43922</v>
      </c>
      <c r="N142" s="1">
        <v>43922</v>
      </c>
      <c r="O142">
        <v>141</v>
      </c>
      <c r="P142">
        <v>2</v>
      </c>
      <c r="Q142" t="s">
        <v>32</v>
      </c>
      <c r="R142" s="3">
        <v>0.05</v>
      </c>
      <c r="S142" s="2">
        <v>43.2</v>
      </c>
      <c r="T142">
        <v>1</v>
      </c>
      <c r="U142" t="str">
        <f t="shared" si="8"/>
        <v>Março</v>
      </c>
    </row>
    <row r="143" spans="1:21">
      <c r="A143">
        <v>142</v>
      </c>
      <c r="B143" s="1">
        <v>43911</v>
      </c>
      <c r="C143" s="1" t="str">
        <f t="shared" si="6"/>
        <v>março</v>
      </c>
      <c r="D143">
        <v>14</v>
      </c>
      <c r="E143" t="s">
        <v>27</v>
      </c>
      <c r="F143" t="s">
        <v>50</v>
      </c>
      <c r="G143" s="8">
        <v>20</v>
      </c>
      <c r="H143" s="2">
        <v>113</v>
      </c>
      <c r="I143" s="2">
        <v>2260</v>
      </c>
      <c r="J143" s="4">
        <v>0.09</v>
      </c>
      <c r="K143" s="2">
        <v>2056.6</v>
      </c>
      <c r="L143" s="2">
        <f t="shared" si="7"/>
        <v>203.40000000000009</v>
      </c>
      <c r="M143" s="1">
        <v>43913</v>
      </c>
      <c r="N143" s="1">
        <v>43913</v>
      </c>
      <c r="O143">
        <v>142</v>
      </c>
      <c r="P143">
        <v>6</v>
      </c>
      <c r="Q143" t="s">
        <v>25</v>
      </c>
      <c r="R143" s="3">
        <v>7.0000000000000007E-2</v>
      </c>
      <c r="S143" s="2">
        <v>143.96200000000002</v>
      </c>
      <c r="T143">
        <v>2</v>
      </c>
      <c r="U143" t="str">
        <f t="shared" si="8"/>
        <v>Março</v>
      </c>
    </row>
    <row r="144" spans="1:21">
      <c r="A144">
        <v>143</v>
      </c>
      <c r="B144" s="1">
        <v>43911</v>
      </c>
      <c r="C144" s="1" t="str">
        <f t="shared" si="6"/>
        <v>março</v>
      </c>
      <c r="D144">
        <v>16</v>
      </c>
      <c r="E144" t="s">
        <v>27</v>
      </c>
      <c r="F144" t="s">
        <v>46</v>
      </c>
      <c r="G144" s="8">
        <v>46</v>
      </c>
      <c r="H144" s="2">
        <v>98</v>
      </c>
      <c r="I144" s="2">
        <v>4508</v>
      </c>
      <c r="J144" s="4">
        <v>0</v>
      </c>
      <c r="K144" s="2">
        <v>4508</v>
      </c>
      <c r="L144" s="2">
        <f t="shared" si="7"/>
        <v>0</v>
      </c>
      <c r="M144" s="1">
        <v>43932</v>
      </c>
      <c r="N144" s="1">
        <v>43932</v>
      </c>
      <c r="O144">
        <v>143</v>
      </c>
      <c r="P144">
        <v>1</v>
      </c>
      <c r="Q144" t="s">
        <v>34</v>
      </c>
      <c r="R144" s="3">
        <v>0.06</v>
      </c>
      <c r="S144" s="2">
        <v>270.48</v>
      </c>
      <c r="T144">
        <v>3</v>
      </c>
      <c r="U144" t="str">
        <f t="shared" si="8"/>
        <v>Março</v>
      </c>
    </row>
    <row r="145" spans="1:21">
      <c r="A145">
        <v>144</v>
      </c>
      <c r="B145" s="1">
        <v>43911</v>
      </c>
      <c r="C145" s="1" t="str">
        <f t="shared" si="6"/>
        <v>março</v>
      </c>
      <c r="D145">
        <v>41</v>
      </c>
      <c r="E145" t="s">
        <v>68</v>
      </c>
      <c r="F145" t="s">
        <v>41</v>
      </c>
      <c r="G145" s="8">
        <v>14</v>
      </c>
      <c r="H145" s="2">
        <v>92</v>
      </c>
      <c r="I145" s="2">
        <v>1288</v>
      </c>
      <c r="J145" s="4">
        <v>7.0000000000000007E-2</v>
      </c>
      <c r="K145" s="2">
        <v>1197.8399999999999</v>
      </c>
      <c r="L145" s="2">
        <f t="shared" si="7"/>
        <v>90.160000000000082</v>
      </c>
      <c r="M145" s="1">
        <v>43927</v>
      </c>
      <c r="N145" s="1">
        <v>43927</v>
      </c>
      <c r="O145">
        <v>144</v>
      </c>
      <c r="P145">
        <v>7</v>
      </c>
      <c r="Q145" t="s">
        <v>34</v>
      </c>
      <c r="R145" s="3">
        <v>7.0000000000000007E-2</v>
      </c>
      <c r="S145" s="2">
        <v>83.848799999999997</v>
      </c>
      <c r="T145">
        <v>4</v>
      </c>
      <c r="U145" t="str">
        <f t="shared" si="8"/>
        <v>Março</v>
      </c>
    </row>
    <row r="146" spans="1:21">
      <c r="A146">
        <v>145</v>
      </c>
      <c r="B146" s="1">
        <v>43912</v>
      </c>
      <c r="C146" s="1" t="str">
        <f t="shared" si="6"/>
        <v>março</v>
      </c>
      <c r="D146">
        <v>34</v>
      </c>
      <c r="E146" t="s">
        <v>58</v>
      </c>
      <c r="F146" t="s">
        <v>50</v>
      </c>
      <c r="G146" s="8">
        <v>42</v>
      </c>
      <c r="H146" s="2">
        <v>91</v>
      </c>
      <c r="I146" s="2">
        <v>3822</v>
      </c>
      <c r="J146" s="4">
        <v>0.14000000000000001</v>
      </c>
      <c r="K146" s="2">
        <v>3286.92</v>
      </c>
      <c r="L146" s="2">
        <f t="shared" si="7"/>
        <v>535.07999999999993</v>
      </c>
      <c r="M146" s="1">
        <v>43921</v>
      </c>
      <c r="N146" s="1">
        <v>43921</v>
      </c>
      <c r="O146">
        <v>145</v>
      </c>
      <c r="P146">
        <v>1</v>
      </c>
      <c r="Q146" t="s">
        <v>47</v>
      </c>
      <c r="R146" s="3">
        <v>0.06</v>
      </c>
      <c r="S146" s="2">
        <v>197.21520000000001</v>
      </c>
      <c r="T146">
        <v>5</v>
      </c>
      <c r="U146" t="str">
        <f t="shared" si="8"/>
        <v>Março</v>
      </c>
    </row>
    <row r="147" spans="1:21">
      <c r="A147">
        <v>146</v>
      </c>
      <c r="B147" s="1">
        <v>43912</v>
      </c>
      <c r="C147" s="1" t="str">
        <f t="shared" si="6"/>
        <v>março</v>
      </c>
      <c r="D147">
        <v>88</v>
      </c>
      <c r="E147" t="s">
        <v>38</v>
      </c>
      <c r="F147" t="s">
        <v>31</v>
      </c>
      <c r="G147" s="8">
        <v>49</v>
      </c>
      <c r="H147" s="2">
        <v>113</v>
      </c>
      <c r="I147" s="2">
        <v>5537</v>
      </c>
      <c r="J147" s="4">
        <v>0.02</v>
      </c>
      <c r="K147" s="2">
        <v>5426.26</v>
      </c>
      <c r="L147" s="2">
        <f t="shared" si="7"/>
        <v>110.73999999999978</v>
      </c>
      <c r="M147" s="1">
        <v>43931</v>
      </c>
      <c r="N147" s="1">
        <v>43931</v>
      </c>
      <c r="O147">
        <v>146</v>
      </c>
      <c r="P147">
        <v>7</v>
      </c>
      <c r="Q147" t="s">
        <v>52</v>
      </c>
      <c r="R147" s="3">
        <v>0.08</v>
      </c>
      <c r="S147" s="2">
        <v>434.10080000000005</v>
      </c>
      <c r="T147">
        <v>6</v>
      </c>
      <c r="U147" t="str">
        <f t="shared" si="8"/>
        <v>Março</v>
      </c>
    </row>
    <row r="148" spans="1:21">
      <c r="A148">
        <v>147</v>
      </c>
      <c r="B148" s="1">
        <v>43912</v>
      </c>
      <c r="C148" s="1" t="str">
        <f t="shared" si="6"/>
        <v>março</v>
      </c>
      <c r="D148">
        <v>59</v>
      </c>
      <c r="E148" t="s">
        <v>97</v>
      </c>
      <c r="F148" t="s">
        <v>50</v>
      </c>
      <c r="G148" s="8">
        <v>50</v>
      </c>
      <c r="H148" s="2">
        <v>103</v>
      </c>
      <c r="I148" s="2">
        <v>5150</v>
      </c>
      <c r="J148" s="4">
        <v>0.02</v>
      </c>
      <c r="K148" s="2">
        <v>5047</v>
      </c>
      <c r="L148" s="2">
        <f t="shared" si="7"/>
        <v>103</v>
      </c>
      <c r="M148" s="1">
        <v>43914</v>
      </c>
      <c r="N148" s="1">
        <v>43914</v>
      </c>
      <c r="O148">
        <v>147</v>
      </c>
      <c r="P148">
        <v>3</v>
      </c>
      <c r="Q148" t="s">
        <v>37</v>
      </c>
      <c r="R148" s="3">
        <v>0.06</v>
      </c>
      <c r="S148" s="2">
        <v>302.82</v>
      </c>
      <c r="T148">
        <v>7</v>
      </c>
      <c r="U148" t="str">
        <f t="shared" si="8"/>
        <v>Março</v>
      </c>
    </row>
    <row r="149" spans="1:21">
      <c r="A149">
        <v>148</v>
      </c>
      <c r="B149" s="1">
        <v>43912</v>
      </c>
      <c r="C149" s="1" t="str">
        <f t="shared" si="6"/>
        <v>março</v>
      </c>
      <c r="D149">
        <v>91</v>
      </c>
      <c r="E149" t="s">
        <v>62</v>
      </c>
      <c r="F149" t="s">
        <v>28</v>
      </c>
      <c r="G149" s="8">
        <v>34</v>
      </c>
      <c r="H149" s="2">
        <v>117</v>
      </c>
      <c r="I149" s="2">
        <v>3978</v>
      </c>
      <c r="J149" s="4">
        <v>0.14000000000000001</v>
      </c>
      <c r="K149" s="2">
        <v>3421.08</v>
      </c>
      <c r="L149" s="2">
        <f t="shared" si="7"/>
        <v>556.92000000000007</v>
      </c>
      <c r="M149" s="1">
        <v>43913</v>
      </c>
      <c r="N149" s="1">
        <v>43913</v>
      </c>
      <c r="O149">
        <v>148</v>
      </c>
      <c r="P149">
        <v>6</v>
      </c>
      <c r="Q149" t="s">
        <v>69</v>
      </c>
      <c r="R149" s="3">
        <v>0.06</v>
      </c>
      <c r="S149" s="2">
        <v>205.26479999999998</v>
      </c>
      <c r="T149">
        <v>1</v>
      </c>
      <c r="U149" t="str">
        <f t="shared" si="8"/>
        <v>Março</v>
      </c>
    </row>
    <row r="150" spans="1:21">
      <c r="A150">
        <v>149</v>
      </c>
      <c r="B150" s="1">
        <v>43912</v>
      </c>
      <c r="C150" s="1" t="str">
        <f t="shared" si="6"/>
        <v>março</v>
      </c>
      <c r="D150">
        <v>54</v>
      </c>
      <c r="E150" t="s">
        <v>79</v>
      </c>
      <c r="F150" t="s">
        <v>28</v>
      </c>
      <c r="G150" s="8">
        <v>35</v>
      </c>
      <c r="H150" s="2">
        <v>93</v>
      </c>
      <c r="I150" s="2">
        <v>3255</v>
      </c>
      <c r="J150" s="4">
        <v>0.02</v>
      </c>
      <c r="K150" s="2">
        <v>3189.9</v>
      </c>
      <c r="L150" s="2">
        <f t="shared" si="7"/>
        <v>65.099999999999909</v>
      </c>
      <c r="M150" s="1">
        <v>43934</v>
      </c>
      <c r="N150" s="1">
        <v>43934</v>
      </c>
      <c r="O150">
        <v>149</v>
      </c>
      <c r="P150">
        <v>6</v>
      </c>
      <c r="Q150" t="s">
        <v>22</v>
      </c>
      <c r="R150" s="3">
        <v>0.05</v>
      </c>
      <c r="S150" s="2">
        <v>159.495</v>
      </c>
      <c r="T150">
        <v>2</v>
      </c>
      <c r="U150" t="str">
        <f t="shared" si="8"/>
        <v>Março</v>
      </c>
    </row>
    <row r="151" spans="1:21">
      <c r="A151">
        <v>150</v>
      </c>
      <c r="B151" s="1">
        <v>43913</v>
      </c>
      <c r="C151" s="1" t="str">
        <f t="shared" si="6"/>
        <v>março</v>
      </c>
      <c r="D151">
        <v>71</v>
      </c>
      <c r="E151" t="s">
        <v>20</v>
      </c>
      <c r="F151" t="s">
        <v>28</v>
      </c>
      <c r="G151" s="8">
        <v>40</v>
      </c>
      <c r="H151" s="2">
        <v>113</v>
      </c>
      <c r="I151" s="2">
        <v>4520</v>
      </c>
      <c r="J151" s="4">
        <v>0</v>
      </c>
      <c r="K151" s="2">
        <v>4520</v>
      </c>
      <c r="L151" s="2">
        <f t="shared" si="7"/>
        <v>0</v>
      </c>
      <c r="M151" s="1">
        <v>43942</v>
      </c>
      <c r="N151" s="1">
        <v>43942</v>
      </c>
      <c r="O151">
        <v>150</v>
      </c>
      <c r="P151">
        <v>6</v>
      </c>
      <c r="Q151" t="s">
        <v>69</v>
      </c>
      <c r="R151" s="3">
        <v>0.08</v>
      </c>
      <c r="S151" s="2">
        <v>361.6</v>
      </c>
      <c r="T151">
        <v>3</v>
      </c>
      <c r="U151" t="str">
        <f t="shared" si="8"/>
        <v>Março</v>
      </c>
    </row>
    <row r="152" spans="1:21">
      <c r="A152">
        <v>151</v>
      </c>
      <c r="B152" s="1">
        <v>43915</v>
      </c>
      <c r="C152" s="1" t="str">
        <f t="shared" si="6"/>
        <v>março</v>
      </c>
      <c r="D152">
        <v>29</v>
      </c>
      <c r="E152" t="s">
        <v>98</v>
      </c>
      <c r="F152" t="s">
        <v>54</v>
      </c>
      <c r="G152" s="8">
        <v>14</v>
      </c>
      <c r="H152" s="2">
        <v>119</v>
      </c>
      <c r="I152" s="2">
        <v>1666</v>
      </c>
      <c r="J152" s="4">
        <v>7.0000000000000007E-2</v>
      </c>
      <c r="K152" s="2">
        <v>1549.38</v>
      </c>
      <c r="L152" s="2">
        <f t="shared" si="7"/>
        <v>116.61999999999989</v>
      </c>
      <c r="M152" s="1">
        <v>43933</v>
      </c>
      <c r="N152" s="1">
        <v>43933</v>
      </c>
      <c r="O152">
        <v>151</v>
      </c>
      <c r="P152">
        <v>3</v>
      </c>
      <c r="Q152" t="s">
        <v>29</v>
      </c>
      <c r="R152" s="3">
        <v>0.05</v>
      </c>
      <c r="S152" s="2">
        <v>77.469000000000008</v>
      </c>
      <c r="T152">
        <v>4</v>
      </c>
      <c r="U152" t="str">
        <f t="shared" si="8"/>
        <v>Março</v>
      </c>
    </row>
    <row r="153" spans="1:21">
      <c r="A153">
        <v>152</v>
      </c>
      <c r="B153" s="1">
        <v>43915</v>
      </c>
      <c r="C153" s="1" t="str">
        <f t="shared" si="6"/>
        <v>março</v>
      </c>
      <c r="D153">
        <v>91</v>
      </c>
      <c r="E153" t="s">
        <v>62</v>
      </c>
      <c r="F153" t="s">
        <v>59</v>
      </c>
      <c r="G153" s="8">
        <v>11</v>
      </c>
      <c r="H153" s="2">
        <v>109</v>
      </c>
      <c r="I153" s="2">
        <v>1199</v>
      </c>
      <c r="J153" s="4">
        <v>0.06</v>
      </c>
      <c r="K153" s="2">
        <v>1127.06</v>
      </c>
      <c r="L153" s="2">
        <f t="shared" si="7"/>
        <v>71.940000000000055</v>
      </c>
      <c r="M153" s="1">
        <v>43922</v>
      </c>
      <c r="N153" s="1">
        <v>43922</v>
      </c>
      <c r="O153">
        <v>152</v>
      </c>
      <c r="P153">
        <v>1</v>
      </c>
      <c r="Q153" t="s">
        <v>47</v>
      </c>
      <c r="R153" s="3">
        <v>0.08</v>
      </c>
      <c r="S153" s="2">
        <v>90.1648</v>
      </c>
      <c r="T153">
        <v>5</v>
      </c>
      <c r="U153" t="str">
        <f t="shared" si="8"/>
        <v>Março</v>
      </c>
    </row>
    <row r="154" spans="1:21">
      <c r="A154">
        <v>153</v>
      </c>
      <c r="B154" s="1">
        <v>43915</v>
      </c>
      <c r="C154" s="1" t="str">
        <f t="shared" si="6"/>
        <v>março</v>
      </c>
      <c r="D154">
        <v>36</v>
      </c>
      <c r="E154" t="s">
        <v>70</v>
      </c>
      <c r="F154" t="s">
        <v>46</v>
      </c>
      <c r="G154" s="8">
        <v>34</v>
      </c>
      <c r="H154" s="2">
        <v>112</v>
      </c>
      <c r="I154" s="2">
        <v>3808</v>
      </c>
      <c r="J154" s="4">
        <v>0.12</v>
      </c>
      <c r="K154" s="2">
        <v>3351.04</v>
      </c>
      <c r="L154" s="2">
        <f t="shared" si="7"/>
        <v>456.96000000000004</v>
      </c>
      <c r="M154" s="1">
        <v>43929</v>
      </c>
      <c r="N154" s="1">
        <v>43929</v>
      </c>
      <c r="O154">
        <v>153</v>
      </c>
      <c r="P154">
        <v>1</v>
      </c>
      <c r="Q154" t="s">
        <v>34</v>
      </c>
      <c r="R154" s="3">
        <v>0.05</v>
      </c>
      <c r="S154" s="2">
        <v>167.55200000000002</v>
      </c>
      <c r="T154">
        <v>6</v>
      </c>
      <c r="U154" t="str">
        <f t="shared" si="8"/>
        <v>Março</v>
      </c>
    </row>
    <row r="155" spans="1:21">
      <c r="A155">
        <v>154</v>
      </c>
      <c r="B155" s="1">
        <v>43915</v>
      </c>
      <c r="C155" s="1" t="str">
        <f t="shared" si="6"/>
        <v>março</v>
      </c>
      <c r="D155">
        <v>71</v>
      </c>
      <c r="E155" t="s">
        <v>20</v>
      </c>
      <c r="F155" t="s">
        <v>50</v>
      </c>
      <c r="G155" s="8">
        <v>23</v>
      </c>
      <c r="H155" s="2">
        <v>117</v>
      </c>
      <c r="I155" s="2">
        <v>2691</v>
      </c>
      <c r="J155" s="4">
        <v>0.03</v>
      </c>
      <c r="K155" s="2">
        <v>2610.27</v>
      </c>
      <c r="L155" s="2">
        <f t="shared" si="7"/>
        <v>80.730000000000018</v>
      </c>
      <c r="M155" s="1">
        <v>43945</v>
      </c>
      <c r="N155" s="1">
        <v>43945</v>
      </c>
      <c r="O155">
        <v>154</v>
      </c>
      <c r="P155">
        <v>4</v>
      </c>
      <c r="Q155" t="s">
        <v>29</v>
      </c>
      <c r="R155" s="3">
        <v>0.08</v>
      </c>
      <c r="S155" s="2">
        <v>208.82159999999999</v>
      </c>
      <c r="T155">
        <v>7</v>
      </c>
      <c r="U155" t="str">
        <f t="shared" si="8"/>
        <v>Março</v>
      </c>
    </row>
    <row r="156" spans="1:21">
      <c r="A156">
        <v>155</v>
      </c>
      <c r="B156" s="1">
        <v>43915</v>
      </c>
      <c r="C156" s="1" t="str">
        <f t="shared" si="6"/>
        <v>março</v>
      </c>
      <c r="D156">
        <v>4</v>
      </c>
      <c r="E156" t="s">
        <v>86</v>
      </c>
      <c r="F156" t="s">
        <v>41</v>
      </c>
      <c r="G156" s="8">
        <v>31</v>
      </c>
      <c r="H156" s="2">
        <v>94</v>
      </c>
      <c r="I156" s="2">
        <v>2914</v>
      </c>
      <c r="J156" s="4">
        <v>0.11</v>
      </c>
      <c r="K156" s="2">
        <v>2593.46</v>
      </c>
      <c r="L156" s="2">
        <f t="shared" si="7"/>
        <v>320.53999999999996</v>
      </c>
      <c r="M156" s="1">
        <v>43926</v>
      </c>
      <c r="N156" s="1">
        <v>43926</v>
      </c>
      <c r="O156">
        <v>155</v>
      </c>
      <c r="P156">
        <v>3</v>
      </c>
      <c r="Q156" t="s">
        <v>22</v>
      </c>
      <c r="R156" s="3">
        <v>0.1</v>
      </c>
      <c r="S156" s="2">
        <v>259.346</v>
      </c>
      <c r="T156">
        <v>1</v>
      </c>
      <c r="U156" t="str">
        <f t="shared" si="8"/>
        <v>Março</v>
      </c>
    </row>
    <row r="157" spans="1:21">
      <c r="A157">
        <v>156</v>
      </c>
      <c r="B157" s="1">
        <v>43915</v>
      </c>
      <c r="C157" s="1" t="str">
        <f t="shared" si="6"/>
        <v>março</v>
      </c>
      <c r="D157">
        <v>75</v>
      </c>
      <c r="E157" t="s">
        <v>38</v>
      </c>
      <c r="F157" t="s">
        <v>59</v>
      </c>
      <c r="G157" s="8">
        <v>42</v>
      </c>
      <c r="H157" s="2">
        <v>98</v>
      </c>
      <c r="I157" s="2">
        <v>4116</v>
      </c>
      <c r="J157" s="4">
        <v>0.15</v>
      </c>
      <c r="K157" s="2">
        <v>3498.6</v>
      </c>
      <c r="L157" s="2">
        <f t="shared" si="7"/>
        <v>617.40000000000009</v>
      </c>
      <c r="M157" s="1">
        <v>43917</v>
      </c>
      <c r="N157" s="1">
        <v>43917</v>
      </c>
      <c r="O157">
        <v>156</v>
      </c>
      <c r="P157">
        <v>6</v>
      </c>
      <c r="Q157" t="s">
        <v>34</v>
      </c>
      <c r="R157" s="3">
        <v>0.08</v>
      </c>
      <c r="S157" s="2">
        <v>279.88799999999998</v>
      </c>
      <c r="T157">
        <v>2</v>
      </c>
      <c r="U157" t="str">
        <f t="shared" si="8"/>
        <v>Março</v>
      </c>
    </row>
    <row r="158" spans="1:21">
      <c r="A158">
        <v>157</v>
      </c>
      <c r="B158" s="1">
        <v>43917</v>
      </c>
      <c r="C158" s="1" t="str">
        <f t="shared" si="6"/>
        <v>março</v>
      </c>
      <c r="D158">
        <v>12</v>
      </c>
      <c r="E158" t="s">
        <v>45</v>
      </c>
      <c r="F158" t="s">
        <v>46</v>
      </c>
      <c r="G158" s="8">
        <v>48</v>
      </c>
      <c r="H158" s="2">
        <v>109</v>
      </c>
      <c r="I158" s="2">
        <v>5232</v>
      </c>
      <c r="J158" s="4">
        <v>0.04</v>
      </c>
      <c r="K158" s="2">
        <v>5022.72</v>
      </c>
      <c r="L158" s="2">
        <f t="shared" si="7"/>
        <v>209.27999999999975</v>
      </c>
      <c r="M158" s="1">
        <v>43945</v>
      </c>
      <c r="N158" s="1">
        <v>43945</v>
      </c>
      <c r="O158">
        <v>157</v>
      </c>
      <c r="P158">
        <v>1</v>
      </c>
      <c r="Q158" t="s">
        <v>22</v>
      </c>
      <c r="R158" s="3">
        <v>0.08</v>
      </c>
      <c r="S158" s="2">
        <v>401.81760000000003</v>
      </c>
      <c r="T158">
        <v>3</v>
      </c>
      <c r="U158" t="str">
        <f t="shared" si="8"/>
        <v>Março</v>
      </c>
    </row>
    <row r="159" spans="1:21">
      <c r="A159">
        <v>158</v>
      </c>
      <c r="B159" s="1">
        <v>43918</v>
      </c>
      <c r="C159" s="1" t="str">
        <f t="shared" si="6"/>
        <v>março</v>
      </c>
      <c r="D159">
        <v>97</v>
      </c>
      <c r="E159" t="s">
        <v>66</v>
      </c>
      <c r="F159" t="s">
        <v>28</v>
      </c>
      <c r="G159" s="8">
        <v>16</v>
      </c>
      <c r="H159" s="2">
        <v>97</v>
      </c>
      <c r="I159" s="2">
        <v>1552</v>
      </c>
      <c r="J159" s="4">
        <v>0.09</v>
      </c>
      <c r="K159" s="2">
        <v>1412.32</v>
      </c>
      <c r="L159" s="2">
        <f t="shared" si="7"/>
        <v>139.68000000000006</v>
      </c>
      <c r="M159" s="1">
        <v>43942</v>
      </c>
      <c r="N159" s="1">
        <v>43942</v>
      </c>
      <c r="O159">
        <v>158</v>
      </c>
      <c r="P159">
        <v>6</v>
      </c>
      <c r="Q159" t="s">
        <v>22</v>
      </c>
      <c r="R159" s="3">
        <v>0.06</v>
      </c>
      <c r="S159" s="2">
        <v>84.739199999999997</v>
      </c>
      <c r="T159">
        <v>4</v>
      </c>
      <c r="U159" t="str">
        <f t="shared" si="8"/>
        <v>Março</v>
      </c>
    </row>
    <row r="160" spans="1:21">
      <c r="A160">
        <v>159</v>
      </c>
      <c r="B160" s="1">
        <v>43918</v>
      </c>
      <c r="C160" s="1" t="str">
        <f t="shared" si="6"/>
        <v>março</v>
      </c>
      <c r="D160">
        <v>38</v>
      </c>
      <c r="E160" t="s">
        <v>73</v>
      </c>
      <c r="F160" t="s">
        <v>50</v>
      </c>
      <c r="G160" s="8">
        <v>50</v>
      </c>
      <c r="H160" s="2">
        <v>111</v>
      </c>
      <c r="I160" s="2">
        <v>5550</v>
      </c>
      <c r="J160" s="4">
        <v>0.1</v>
      </c>
      <c r="K160" s="2">
        <v>4995</v>
      </c>
      <c r="L160" s="2">
        <f t="shared" si="7"/>
        <v>555</v>
      </c>
      <c r="M160" s="1">
        <v>43946</v>
      </c>
      <c r="N160" s="1">
        <v>43946</v>
      </c>
      <c r="O160">
        <v>159</v>
      </c>
      <c r="P160">
        <v>1</v>
      </c>
      <c r="Q160" t="s">
        <v>25</v>
      </c>
      <c r="R160" s="3">
        <v>0.05</v>
      </c>
      <c r="S160" s="2">
        <v>249.75</v>
      </c>
      <c r="T160">
        <v>5</v>
      </c>
      <c r="U160" t="str">
        <f t="shared" si="8"/>
        <v>Março</v>
      </c>
    </row>
    <row r="161" spans="1:21">
      <c r="A161">
        <v>160</v>
      </c>
      <c r="B161" s="1">
        <v>43918</v>
      </c>
      <c r="C161" s="1" t="str">
        <f t="shared" si="6"/>
        <v>março</v>
      </c>
      <c r="D161">
        <v>16</v>
      </c>
      <c r="E161" t="s">
        <v>27</v>
      </c>
      <c r="F161" t="s">
        <v>50</v>
      </c>
      <c r="G161" s="8">
        <v>45</v>
      </c>
      <c r="H161" s="2">
        <v>90</v>
      </c>
      <c r="I161" s="2">
        <v>4050</v>
      </c>
      <c r="J161" s="4">
        <v>0.04</v>
      </c>
      <c r="K161" s="2">
        <v>3888</v>
      </c>
      <c r="L161" s="2">
        <f t="shared" si="7"/>
        <v>162</v>
      </c>
      <c r="M161" s="1">
        <v>43927</v>
      </c>
      <c r="N161" s="1">
        <v>43927</v>
      </c>
      <c r="O161">
        <v>160</v>
      </c>
      <c r="P161">
        <v>6</v>
      </c>
      <c r="Q161" t="s">
        <v>32</v>
      </c>
      <c r="R161" s="3">
        <v>7.0000000000000007E-2</v>
      </c>
      <c r="S161" s="2">
        <v>272.16000000000003</v>
      </c>
      <c r="T161">
        <v>6</v>
      </c>
      <c r="U161" t="str">
        <f t="shared" si="8"/>
        <v>Março</v>
      </c>
    </row>
    <row r="162" spans="1:21">
      <c r="A162">
        <v>161</v>
      </c>
      <c r="B162" s="1">
        <v>43918</v>
      </c>
      <c r="C162" s="1" t="str">
        <f t="shared" si="6"/>
        <v>março</v>
      </c>
      <c r="D162">
        <v>90</v>
      </c>
      <c r="E162" t="s">
        <v>60</v>
      </c>
      <c r="F162" t="s">
        <v>50</v>
      </c>
      <c r="G162" s="8">
        <v>28</v>
      </c>
      <c r="H162" s="2">
        <v>91</v>
      </c>
      <c r="I162" s="2">
        <v>2548</v>
      </c>
      <c r="J162" s="4">
        <v>0.13</v>
      </c>
      <c r="K162" s="2">
        <v>2216.7600000000002</v>
      </c>
      <c r="L162" s="2">
        <f t="shared" si="7"/>
        <v>331.23999999999978</v>
      </c>
      <c r="M162" s="1">
        <v>43924</v>
      </c>
      <c r="N162" s="1">
        <v>43924</v>
      </c>
      <c r="O162">
        <v>161</v>
      </c>
      <c r="P162">
        <v>7</v>
      </c>
      <c r="Q162" t="s">
        <v>25</v>
      </c>
      <c r="R162" s="3">
        <v>7.0000000000000007E-2</v>
      </c>
      <c r="S162" s="2">
        <v>155.17320000000004</v>
      </c>
      <c r="T162">
        <v>7</v>
      </c>
      <c r="U162" t="str">
        <f t="shared" si="8"/>
        <v>Março</v>
      </c>
    </row>
    <row r="163" spans="1:21">
      <c r="A163">
        <v>162</v>
      </c>
      <c r="B163" s="1">
        <v>43919</v>
      </c>
      <c r="C163" s="1" t="str">
        <f t="shared" si="6"/>
        <v>março</v>
      </c>
      <c r="D163">
        <v>73</v>
      </c>
      <c r="E163" t="s">
        <v>38</v>
      </c>
      <c r="F163" t="s">
        <v>24</v>
      </c>
      <c r="G163" s="8">
        <v>25</v>
      </c>
      <c r="H163" s="2">
        <v>115</v>
      </c>
      <c r="I163" s="2">
        <v>2875</v>
      </c>
      <c r="J163" s="4">
        <v>0.13</v>
      </c>
      <c r="K163" s="2">
        <v>2501.25</v>
      </c>
      <c r="L163" s="2">
        <f t="shared" si="7"/>
        <v>373.75</v>
      </c>
      <c r="M163" s="1">
        <v>43940</v>
      </c>
      <c r="N163" s="1">
        <v>43940</v>
      </c>
      <c r="O163">
        <v>162</v>
      </c>
      <c r="P163">
        <v>4</v>
      </c>
      <c r="Q163" t="s">
        <v>32</v>
      </c>
      <c r="R163" s="3">
        <v>0.09</v>
      </c>
      <c r="S163" s="2">
        <v>225.11249999999998</v>
      </c>
      <c r="T163">
        <v>1</v>
      </c>
      <c r="U163" t="str">
        <f t="shared" si="8"/>
        <v>Março</v>
      </c>
    </row>
    <row r="164" spans="1:21">
      <c r="A164">
        <v>163</v>
      </c>
      <c r="B164" s="1">
        <v>43920</v>
      </c>
      <c r="C164" s="1" t="str">
        <f t="shared" si="6"/>
        <v>março</v>
      </c>
      <c r="D164">
        <v>34</v>
      </c>
      <c r="E164" t="s">
        <v>58</v>
      </c>
      <c r="F164" t="s">
        <v>31</v>
      </c>
      <c r="G164" s="8">
        <v>39</v>
      </c>
      <c r="H164" s="2">
        <v>106</v>
      </c>
      <c r="I164" s="2">
        <v>4134</v>
      </c>
      <c r="J164" s="4">
        <v>0.05</v>
      </c>
      <c r="K164" s="2">
        <v>3927.3</v>
      </c>
      <c r="L164" s="2">
        <f t="shared" si="7"/>
        <v>206.69999999999982</v>
      </c>
      <c r="M164" s="1">
        <v>43944</v>
      </c>
      <c r="N164" s="1">
        <v>43944</v>
      </c>
      <c r="O164">
        <v>163</v>
      </c>
      <c r="P164">
        <v>3</v>
      </c>
      <c r="Q164" t="s">
        <v>52</v>
      </c>
      <c r="R164" s="3">
        <v>0.1</v>
      </c>
      <c r="S164" s="2">
        <v>392.73</v>
      </c>
      <c r="T164">
        <v>2</v>
      </c>
      <c r="U164" t="str">
        <f t="shared" si="8"/>
        <v>Março</v>
      </c>
    </row>
    <row r="165" spans="1:21">
      <c r="A165">
        <v>164</v>
      </c>
      <c r="B165" s="1">
        <v>43920</v>
      </c>
      <c r="C165" s="1" t="str">
        <f t="shared" si="6"/>
        <v>março</v>
      </c>
      <c r="D165">
        <v>79</v>
      </c>
      <c r="E165" t="s">
        <v>33</v>
      </c>
      <c r="F165" t="s">
        <v>59</v>
      </c>
      <c r="G165" s="8">
        <v>15</v>
      </c>
      <c r="H165" s="2">
        <v>100</v>
      </c>
      <c r="I165" s="2">
        <v>1500</v>
      </c>
      <c r="J165" s="4">
        <v>7.0000000000000007E-2</v>
      </c>
      <c r="K165" s="2">
        <v>1395</v>
      </c>
      <c r="L165" s="2">
        <f t="shared" si="7"/>
        <v>105</v>
      </c>
      <c r="M165" s="1">
        <v>43946</v>
      </c>
      <c r="N165" s="1">
        <v>43946</v>
      </c>
      <c r="O165">
        <v>164</v>
      </c>
      <c r="P165">
        <v>4</v>
      </c>
      <c r="Q165" t="s">
        <v>47</v>
      </c>
      <c r="R165" s="3">
        <v>0.09</v>
      </c>
      <c r="S165" s="2">
        <v>125.55</v>
      </c>
      <c r="T165">
        <v>3</v>
      </c>
      <c r="U165" t="str">
        <f t="shared" si="8"/>
        <v>Março</v>
      </c>
    </row>
    <row r="166" spans="1:21">
      <c r="A166">
        <v>165</v>
      </c>
      <c r="B166" s="1">
        <v>43921</v>
      </c>
      <c r="C166" s="1" t="str">
        <f t="shared" si="6"/>
        <v>março</v>
      </c>
      <c r="D166">
        <v>78</v>
      </c>
      <c r="E166" t="s">
        <v>36</v>
      </c>
      <c r="F166" t="s">
        <v>28</v>
      </c>
      <c r="G166" s="8">
        <v>21</v>
      </c>
      <c r="H166" s="2">
        <v>119</v>
      </c>
      <c r="I166" s="2">
        <v>2499</v>
      </c>
      <c r="J166" s="4">
        <v>0.02</v>
      </c>
      <c r="K166" s="2">
        <v>2449.02</v>
      </c>
      <c r="L166" s="2">
        <f t="shared" si="7"/>
        <v>49.980000000000018</v>
      </c>
      <c r="M166" s="1">
        <v>43942</v>
      </c>
      <c r="N166" s="1">
        <v>43942</v>
      </c>
      <c r="O166">
        <v>165</v>
      </c>
      <c r="P166">
        <v>4</v>
      </c>
      <c r="Q166" t="s">
        <v>69</v>
      </c>
      <c r="R166" s="3">
        <v>0.06</v>
      </c>
      <c r="S166" s="2">
        <v>146.94119999999998</v>
      </c>
      <c r="T166">
        <v>4</v>
      </c>
      <c r="U166" t="str">
        <f t="shared" si="8"/>
        <v>Março</v>
      </c>
    </row>
    <row r="167" spans="1:21">
      <c r="A167">
        <v>166</v>
      </c>
      <c r="B167" s="1">
        <v>43921</v>
      </c>
      <c r="C167" s="1" t="str">
        <f t="shared" si="6"/>
        <v>março</v>
      </c>
      <c r="D167">
        <v>19</v>
      </c>
      <c r="E167" t="s">
        <v>38</v>
      </c>
      <c r="F167" t="s">
        <v>31</v>
      </c>
      <c r="G167" s="8">
        <v>14</v>
      </c>
      <c r="H167" s="2">
        <v>116</v>
      </c>
      <c r="I167" s="2">
        <v>1624</v>
      </c>
      <c r="J167" s="4">
        <v>7.0000000000000007E-2</v>
      </c>
      <c r="K167" s="2">
        <v>1510.32</v>
      </c>
      <c r="L167" s="2">
        <f t="shared" si="7"/>
        <v>113.68000000000006</v>
      </c>
      <c r="M167" s="1">
        <v>43929</v>
      </c>
      <c r="N167" s="1">
        <v>43929</v>
      </c>
      <c r="O167">
        <v>166</v>
      </c>
      <c r="P167">
        <v>3</v>
      </c>
      <c r="Q167" t="s">
        <v>47</v>
      </c>
      <c r="R167" s="3">
        <v>7.0000000000000007E-2</v>
      </c>
      <c r="S167" s="2">
        <v>105.72240000000001</v>
      </c>
      <c r="T167">
        <v>5</v>
      </c>
      <c r="U167" t="str">
        <f t="shared" si="8"/>
        <v>Março</v>
      </c>
    </row>
    <row r="168" spans="1:21">
      <c r="A168">
        <v>167</v>
      </c>
      <c r="B168" s="1">
        <v>43921</v>
      </c>
      <c r="C168" s="1" t="str">
        <f t="shared" si="6"/>
        <v>março</v>
      </c>
      <c r="D168">
        <v>72</v>
      </c>
      <c r="E168" t="s">
        <v>38</v>
      </c>
      <c r="F168" t="s">
        <v>41</v>
      </c>
      <c r="G168" s="8">
        <v>24</v>
      </c>
      <c r="H168" s="2">
        <v>98</v>
      </c>
      <c r="I168" s="2">
        <v>2352</v>
      </c>
      <c r="J168" s="4">
        <v>0.1</v>
      </c>
      <c r="K168" s="2">
        <v>2116.8000000000002</v>
      </c>
      <c r="L168" s="2">
        <f t="shared" si="7"/>
        <v>235.19999999999982</v>
      </c>
      <c r="M168" s="1">
        <v>43931</v>
      </c>
      <c r="N168" s="1">
        <v>43931</v>
      </c>
      <c r="O168">
        <v>167</v>
      </c>
      <c r="P168">
        <v>6</v>
      </c>
      <c r="Q168" t="s">
        <v>32</v>
      </c>
      <c r="R168" s="3">
        <v>0.09</v>
      </c>
      <c r="S168" s="2">
        <v>190.512</v>
      </c>
      <c r="T168">
        <v>6</v>
      </c>
      <c r="U168" t="str">
        <f t="shared" si="8"/>
        <v>Março</v>
      </c>
    </row>
    <row r="169" spans="1:21">
      <c r="A169">
        <v>168</v>
      </c>
      <c r="B169" s="1">
        <v>43921</v>
      </c>
      <c r="C169" s="1" t="str">
        <f t="shared" si="6"/>
        <v>março</v>
      </c>
      <c r="D169">
        <v>63</v>
      </c>
      <c r="E169" t="s">
        <v>80</v>
      </c>
      <c r="F169" t="s">
        <v>31</v>
      </c>
      <c r="G169" s="8">
        <v>27</v>
      </c>
      <c r="H169" s="2">
        <v>116</v>
      </c>
      <c r="I169" s="2">
        <v>3132</v>
      </c>
      <c r="J169" s="4">
        <v>0</v>
      </c>
      <c r="K169" s="2">
        <v>3132</v>
      </c>
      <c r="L169" s="2">
        <f t="shared" si="7"/>
        <v>0</v>
      </c>
      <c r="M169" s="1">
        <v>43937</v>
      </c>
      <c r="N169" s="1">
        <v>43937</v>
      </c>
      <c r="O169">
        <v>168</v>
      </c>
      <c r="P169">
        <v>6</v>
      </c>
      <c r="Q169" t="s">
        <v>22</v>
      </c>
      <c r="R169" s="3">
        <v>0.05</v>
      </c>
      <c r="S169" s="2">
        <v>156.60000000000002</v>
      </c>
      <c r="T169">
        <v>7</v>
      </c>
      <c r="U169" t="str">
        <f t="shared" si="8"/>
        <v>Março</v>
      </c>
    </row>
    <row r="170" spans="1:21">
      <c r="A170">
        <v>169</v>
      </c>
      <c r="B170" s="1">
        <v>43922</v>
      </c>
      <c r="C170" s="1" t="str">
        <f t="shared" si="6"/>
        <v>abril</v>
      </c>
      <c r="D170">
        <v>90</v>
      </c>
      <c r="E170" t="s">
        <v>60</v>
      </c>
      <c r="F170" t="s">
        <v>28</v>
      </c>
      <c r="G170" s="8">
        <v>31</v>
      </c>
      <c r="H170" s="2">
        <v>103</v>
      </c>
      <c r="I170" s="2">
        <v>3193</v>
      </c>
      <c r="J170" s="4">
        <v>0.11</v>
      </c>
      <c r="K170" s="2">
        <v>2841.77</v>
      </c>
      <c r="L170" s="2">
        <f t="shared" si="7"/>
        <v>351.23</v>
      </c>
      <c r="M170" s="1">
        <v>43922</v>
      </c>
      <c r="N170" s="1">
        <v>43922</v>
      </c>
      <c r="O170">
        <v>169</v>
      </c>
      <c r="P170">
        <v>5</v>
      </c>
      <c r="Q170" t="s">
        <v>29</v>
      </c>
      <c r="R170" s="3">
        <v>0.1</v>
      </c>
      <c r="S170" s="2">
        <v>284.17700000000002</v>
      </c>
      <c r="T170">
        <v>1</v>
      </c>
      <c r="U170" t="str">
        <f t="shared" si="8"/>
        <v>Abril</v>
      </c>
    </row>
    <row r="171" spans="1:21">
      <c r="A171">
        <v>170</v>
      </c>
      <c r="B171" s="1">
        <v>43922</v>
      </c>
      <c r="C171" s="1" t="str">
        <f t="shared" si="6"/>
        <v>abril</v>
      </c>
      <c r="D171">
        <v>26</v>
      </c>
      <c r="E171" t="s">
        <v>95</v>
      </c>
      <c r="F171" t="s">
        <v>50</v>
      </c>
      <c r="G171" s="8">
        <v>44</v>
      </c>
      <c r="H171" s="2">
        <v>114</v>
      </c>
      <c r="I171" s="2">
        <v>5016</v>
      </c>
      <c r="J171" s="4">
        <v>0.01</v>
      </c>
      <c r="K171" s="2">
        <v>4965.84</v>
      </c>
      <c r="L171" s="2">
        <f t="shared" si="7"/>
        <v>50.159999999999854</v>
      </c>
      <c r="M171" s="1">
        <v>43944</v>
      </c>
      <c r="N171" s="1">
        <v>43944</v>
      </c>
      <c r="O171">
        <v>170</v>
      </c>
      <c r="P171">
        <v>4</v>
      </c>
      <c r="Q171" t="s">
        <v>37</v>
      </c>
      <c r="R171" s="3">
        <v>0.05</v>
      </c>
      <c r="S171" s="2">
        <v>248.29200000000003</v>
      </c>
      <c r="T171">
        <v>2</v>
      </c>
      <c r="U171" t="str">
        <f t="shared" si="8"/>
        <v>Abril</v>
      </c>
    </row>
    <row r="172" spans="1:21">
      <c r="A172">
        <v>171</v>
      </c>
      <c r="B172" s="1">
        <v>43922</v>
      </c>
      <c r="C172" s="1" t="str">
        <f t="shared" si="6"/>
        <v>abril</v>
      </c>
      <c r="D172">
        <v>86</v>
      </c>
      <c r="E172" t="s">
        <v>90</v>
      </c>
      <c r="F172" t="s">
        <v>55</v>
      </c>
      <c r="G172" s="8">
        <v>10</v>
      </c>
      <c r="H172" s="2">
        <v>93</v>
      </c>
      <c r="I172" s="2">
        <v>930</v>
      </c>
      <c r="J172" s="4">
        <v>0.1</v>
      </c>
      <c r="K172" s="2">
        <v>837</v>
      </c>
      <c r="L172" s="2">
        <f t="shared" si="7"/>
        <v>93</v>
      </c>
      <c r="M172" s="1">
        <v>43927</v>
      </c>
      <c r="N172" s="1">
        <v>43927</v>
      </c>
      <c r="O172">
        <v>171</v>
      </c>
      <c r="P172">
        <v>7</v>
      </c>
      <c r="Q172" t="s">
        <v>29</v>
      </c>
      <c r="R172" s="3">
        <v>7.0000000000000007E-2</v>
      </c>
      <c r="S172" s="2">
        <v>58.59</v>
      </c>
      <c r="T172">
        <v>3</v>
      </c>
      <c r="U172" t="str">
        <f t="shared" si="8"/>
        <v>Abril</v>
      </c>
    </row>
    <row r="173" spans="1:21">
      <c r="A173">
        <v>172</v>
      </c>
      <c r="B173" s="1">
        <v>43922</v>
      </c>
      <c r="C173" s="1" t="str">
        <f t="shared" si="6"/>
        <v>abril</v>
      </c>
      <c r="D173">
        <v>4</v>
      </c>
      <c r="E173" t="s">
        <v>86</v>
      </c>
      <c r="F173" t="s">
        <v>55</v>
      </c>
      <c r="G173" s="8">
        <v>22</v>
      </c>
      <c r="H173" s="2">
        <v>116</v>
      </c>
      <c r="I173" s="2">
        <v>2552</v>
      </c>
      <c r="J173" s="4">
        <v>0.03</v>
      </c>
      <c r="K173" s="2">
        <v>2475.44</v>
      </c>
      <c r="L173" s="2">
        <f t="shared" si="7"/>
        <v>76.559999999999945</v>
      </c>
      <c r="M173" s="1">
        <v>43938</v>
      </c>
      <c r="N173" s="1">
        <v>43938</v>
      </c>
      <c r="O173">
        <v>172</v>
      </c>
      <c r="P173">
        <v>3</v>
      </c>
      <c r="Q173" t="s">
        <v>32</v>
      </c>
      <c r="R173" s="3">
        <v>0.06</v>
      </c>
      <c r="S173" s="2">
        <v>148.5264</v>
      </c>
      <c r="T173">
        <v>4</v>
      </c>
      <c r="U173" t="str">
        <f t="shared" si="8"/>
        <v>Abril</v>
      </c>
    </row>
    <row r="174" spans="1:21">
      <c r="A174">
        <v>173</v>
      </c>
      <c r="B174" s="1">
        <v>43922</v>
      </c>
      <c r="C174" s="1" t="str">
        <f t="shared" si="6"/>
        <v>abril</v>
      </c>
      <c r="D174">
        <v>88</v>
      </c>
      <c r="E174" t="s">
        <v>38</v>
      </c>
      <c r="F174" t="s">
        <v>28</v>
      </c>
      <c r="G174" s="8">
        <v>49</v>
      </c>
      <c r="H174" s="2">
        <v>109</v>
      </c>
      <c r="I174" s="2">
        <v>5341</v>
      </c>
      <c r="J174" s="4">
        <v>0.01</v>
      </c>
      <c r="K174" s="2">
        <v>5287.59</v>
      </c>
      <c r="L174" s="2">
        <f t="shared" si="7"/>
        <v>53.409999999999854</v>
      </c>
      <c r="M174" s="1">
        <v>43922</v>
      </c>
      <c r="N174" s="1">
        <v>43922</v>
      </c>
      <c r="O174">
        <v>173</v>
      </c>
      <c r="P174">
        <v>3</v>
      </c>
      <c r="Q174" t="s">
        <v>25</v>
      </c>
      <c r="R174" s="3">
        <v>0.09</v>
      </c>
      <c r="S174" s="2">
        <v>475.88310000000001</v>
      </c>
      <c r="T174">
        <v>5</v>
      </c>
      <c r="U174" t="str">
        <f t="shared" si="8"/>
        <v>Abril</v>
      </c>
    </row>
    <row r="175" spans="1:21">
      <c r="A175">
        <v>174</v>
      </c>
      <c r="B175" s="1">
        <v>43923</v>
      </c>
      <c r="C175" s="1" t="str">
        <f t="shared" si="6"/>
        <v>abril</v>
      </c>
      <c r="D175">
        <v>64</v>
      </c>
      <c r="E175" t="s">
        <v>78</v>
      </c>
      <c r="F175" t="s">
        <v>54</v>
      </c>
      <c r="G175" s="8">
        <v>47</v>
      </c>
      <c r="H175" s="2">
        <v>107</v>
      </c>
      <c r="I175" s="2">
        <v>5029</v>
      </c>
      <c r="J175" s="4">
        <v>0.09</v>
      </c>
      <c r="K175" s="2">
        <v>4576.3900000000003</v>
      </c>
      <c r="L175" s="2">
        <f t="shared" si="7"/>
        <v>452.60999999999967</v>
      </c>
      <c r="M175" s="1">
        <v>43951</v>
      </c>
      <c r="N175" s="1">
        <v>43951</v>
      </c>
      <c r="O175">
        <v>174</v>
      </c>
      <c r="P175">
        <v>6</v>
      </c>
      <c r="Q175" t="s">
        <v>47</v>
      </c>
      <c r="R175" s="3">
        <v>0.06</v>
      </c>
      <c r="S175" s="2">
        <v>274.58339999999998</v>
      </c>
      <c r="T175">
        <v>6</v>
      </c>
      <c r="U175" t="str">
        <f t="shared" si="8"/>
        <v>Abril</v>
      </c>
    </row>
    <row r="176" spans="1:21">
      <c r="A176">
        <v>175</v>
      </c>
      <c r="B176" s="1">
        <v>43924</v>
      </c>
      <c r="C176" s="1" t="str">
        <f t="shared" si="6"/>
        <v>abril</v>
      </c>
      <c r="D176">
        <v>52</v>
      </c>
      <c r="E176" t="s">
        <v>23</v>
      </c>
      <c r="F176" t="s">
        <v>46</v>
      </c>
      <c r="G176" s="8">
        <v>44</v>
      </c>
      <c r="H176" s="2">
        <v>104</v>
      </c>
      <c r="I176" s="2">
        <v>4576</v>
      </c>
      <c r="J176" s="4">
        <v>0</v>
      </c>
      <c r="K176" s="2">
        <v>4576</v>
      </c>
      <c r="L176" s="2">
        <f t="shared" si="7"/>
        <v>0</v>
      </c>
      <c r="M176" s="1">
        <v>43942</v>
      </c>
      <c r="N176" s="1">
        <v>43942</v>
      </c>
      <c r="O176">
        <v>175</v>
      </c>
      <c r="P176">
        <v>5</v>
      </c>
      <c r="Q176" t="s">
        <v>34</v>
      </c>
      <c r="R176" s="3">
        <v>0.06</v>
      </c>
      <c r="S176" s="2">
        <v>274.56</v>
      </c>
      <c r="T176">
        <v>7</v>
      </c>
      <c r="U176" t="str">
        <f t="shared" si="8"/>
        <v>Abril</v>
      </c>
    </row>
    <row r="177" spans="1:21">
      <c r="A177">
        <v>176</v>
      </c>
      <c r="B177" s="1">
        <v>43926</v>
      </c>
      <c r="C177" s="1" t="str">
        <f t="shared" si="6"/>
        <v>abril</v>
      </c>
      <c r="D177">
        <v>70</v>
      </c>
      <c r="E177" t="s">
        <v>67</v>
      </c>
      <c r="F177" t="s">
        <v>46</v>
      </c>
      <c r="G177" s="8">
        <v>15</v>
      </c>
      <c r="H177" s="2">
        <v>101</v>
      </c>
      <c r="I177" s="2">
        <v>1515</v>
      </c>
      <c r="J177" s="4">
        <v>0.1</v>
      </c>
      <c r="K177" s="2">
        <v>1363.5</v>
      </c>
      <c r="L177" s="2">
        <f t="shared" si="7"/>
        <v>151.5</v>
      </c>
      <c r="M177" s="1">
        <v>43937</v>
      </c>
      <c r="N177" s="1">
        <v>43937</v>
      </c>
      <c r="O177">
        <v>176</v>
      </c>
      <c r="P177">
        <v>6</v>
      </c>
      <c r="Q177" t="s">
        <v>52</v>
      </c>
      <c r="R177" s="3">
        <v>7.0000000000000007E-2</v>
      </c>
      <c r="S177" s="2">
        <v>95.445000000000007</v>
      </c>
      <c r="T177">
        <v>1</v>
      </c>
      <c r="U177" t="str">
        <f t="shared" si="8"/>
        <v>Abril</v>
      </c>
    </row>
    <row r="178" spans="1:21">
      <c r="A178">
        <v>177</v>
      </c>
      <c r="B178" s="1">
        <v>43927</v>
      </c>
      <c r="C178" s="1" t="str">
        <f t="shared" si="6"/>
        <v>abril</v>
      </c>
      <c r="D178">
        <v>74</v>
      </c>
      <c r="E178" t="s">
        <v>38</v>
      </c>
      <c r="F178" t="s">
        <v>28</v>
      </c>
      <c r="G178" s="8">
        <v>28</v>
      </c>
      <c r="H178" s="2">
        <v>98</v>
      </c>
      <c r="I178" s="2">
        <v>2744</v>
      </c>
      <c r="J178" s="4">
        <v>0.08</v>
      </c>
      <c r="K178" s="2">
        <v>2524.48</v>
      </c>
      <c r="L178" s="2">
        <f t="shared" si="7"/>
        <v>219.51999999999998</v>
      </c>
      <c r="M178" s="1">
        <v>43942</v>
      </c>
      <c r="N178" s="1">
        <v>43942</v>
      </c>
      <c r="O178">
        <v>177</v>
      </c>
      <c r="P178">
        <v>4</v>
      </c>
      <c r="Q178" t="s">
        <v>37</v>
      </c>
      <c r="R178" s="3">
        <v>0.1</v>
      </c>
      <c r="S178" s="2">
        <v>252.44800000000001</v>
      </c>
      <c r="T178">
        <v>2</v>
      </c>
      <c r="U178" t="str">
        <f t="shared" si="8"/>
        <v>Abril</v>
      </c>
    </row>
    <row r="179" spans="1:21">
      <c r="A179">
        <v>178</v>
      </c>
      <c r="B179" s="1">
        <v>43928</v>
      </c>
      <c r="C179" s="1" t="str">
        <f t="shared" si="6"/>
        <v>abril</v>
      </c>
      <c r="D179">
        <v>1</v>
      </c>
      <c r="E179" t="s">
        <v>93</v>
      </c>
      <c r="F179" t="s">
        <v>41</v>
      </c>
      <c r="G179" s="8">
        <v>34</v>
      </c>
      <c r="H179" s="2">
        <v>92</v>
      </c>
      <c r="I179" s="2">
        <v>3128</v>
      </c>
      <c r="J179" s="4">
        <v>0.03</v>
      </c>
      <c r="K179" s="2">
        <v>3034.16</v>
      </c>
      <c r="L179" s="2">
        <f t="shared" si="7"/>
        <v>93.840000000000146</v>
      </c>
      <c r="M179" s="1">
        <v>43943</v>
      </c>
      <c r="N179" s="1">
        <v>43943</v>
      </c>
      <c r="O179">
        <v>178</v>
      </c>
      <c r="P179">
        <v>1</v>
      </c>
      <c r="Q179" t="s">
        <v>32</v>
      </c>
      <c r="R179" s="3">
        <v>0.06</v>
      </c>
      <c r="S179" s="2">
        <v>182.0496</v>
      </c>
      <c r="T179">
        <v>3</v>
      </c>
      <c r="U179" t="str">
        <f t="shared" si="8"/>
        <v>Abril</v>
      </c>
    </row>
    <row r="180" spans="1:21">
      <c r="A180">
        <v>179</v>
      </c>
      <c r="B180" s="1">
        <v>43930</v>
      </c>
      <c r="C180" s="1" t="str">
        <f t="shared" si="6"/>
        <v>abril</v>
      </c>
      <c r="D180">
        <v>87</v>
      </c>
      <c r="E180" t="s">
        <v>40</v>
      </c>
      <c r="F180" t="s">
        <v>24</v>
      </c>
      <c r="G180" s="8">
        <v>44</v>
      </c>
      <c r="H180" s="2">
        <v>97</v>
      </c>
      <c r="I180" s="2">
        <v>4268</v>
      </c>
      <c r="J180" s="4">
        <v>0.06</v>
      </c>
      <c r="K180" s="2">
        <v>4011.92</v>
      </c>
      <c r="L180" s="2">
        <f t="shared" si="7"/>
        <v>256.07999999999993</v>
      </c>
      <c r="M180" s="1">
        <v>43943</v>
      </c>
      <c r="N180" s="1">
        <v>43943</v>
      </c>
      <c r="O180">
        <v>179</v>
      </c>
      <c r="P180">
        <v>5</v>
      </c>
      <c r="Q180" t="s">
        <v>52</v>
      </c>
      <c r="R180" s="3">
        <v>0.09</v>
      </c>
      <c r="S180" s="2">
        <v>361.07279999999997</v>
      </c>
      <c r="T180">
        <v>4</v>
      </c>
      <c r="U180" t="str">
        <f t="shared" si="8"/>
        <v>Abril</v>
      </c>
    </row>
    <row r="181" spans="1:21">
      <c r="A181">
        <v>180</v>
      </c>
      <c r="B181" s="1">
        <v>43930</v>
      </c>
      <c r="C181" s="1" t="str">
        <f t="shared" si="6"/>
        <v>abril</v>
      </c>
      <c r="D181">
        <v>2</v>
      </c>
      <c r="E181" t="s">
        <v>35</v>
      </c>
      <c r="F181" t="s">
        <v>59</v>
      </c>
      <c r="G181" s="8">
        <v>30</v>
      </c>
      <c r="H181" s="2">
        <v>96</v>
      </c>
      <c r="I181" s="2">
        <v>2880</v>
      </c>
      <c r="J181" s="4">
        <v>0.15</v>
      </c>
      <c r="K181" s="2">
        <v>2448</v>
      </c>
      <c r="L181" s="2">
        <f t="shared" si="7"/>
        <v>432</v>
      </c>
      <c r="M181" s="1">
        <v>43947</v>
      </c>
      <c r="N181" s="1">
        <v>43947</v>
      </c>
      <c r="O181">
        <v>180</v>
      </c>
      <c r="P181">
        <v>3</v>
      </c>
      <c r="Q181" t="s">
        <v>37</v>
      </c>
      <c r="R181" s="3">
        <v>0.06</v>
      </c>
      <c r="S181" s="2">
        <v>146.88</v>
      </c>
      <c r="T181">
        <v>5</v>
      </c>
      <c r="U181" t="str">
        <f t="shared" si="8"/>
        <v>Abril</v>
      </c>
    </row>
    <row r="182" spans="1:21">
      <c r="A182">
        <v>181</v>
      </c>
      <c r="B182" s="1">
        <v>43931</v>
      </c>
      <c r="C182" s="1" t="str">
        <f t="shared" si="6"/>
        <v>abril</v>
      </c>
      <c r="D182">
        <v>11</v>
      </c>
      <c r="E182" t="s">
        <v>60</v>
      </c>
      <c r="F182" t="s">
        <v>55</v>
      </c>
      <c r="G182" s="8">
        <v>35</v>
      </c>
      <c r="H182" s="2">
        <v>93</v>
      </c>
      <c r="I182" s="2">
        <v>3255</v>
      </c>
      <c r="J182" s="4">
        <v>0.06</v>
      </c>
      <c r="K182" s="2">
        <v>3059.7</v>
      </c>
      <c r="L182" s="2">
        <f t="shared" si="7"/>
        <v>195.30000000000018</v>
      </c>
      <c r="M182" s="1">
        <v>43955</v>
      </c>
      <c r="N182" s="1">
        <v>43955</v>
      </c>
      <c r="O182">
        <v>181</v>
      </c>
      <c r="P182">
        <v>3</v>
      </c>
      <c r="Q182" t="s">
        <v>69</v>
      </c>
      <c r="R182" s="3">
        <v>7.0000000000000007E-2</v>
      </c>
      <c r="S182" s="2">
        <v>214.179</v>
      </c>
      <c r="T182">
        <v>6</v>
      </c>
      <c r="U182" t="str">
        <f t="shared" si="8"/>
        <v>Abril</v>
      </c>
    </row>
    <row r="183" spans="1:21">
      <c r="A183">
        <v>182</v>
      </c>
      <c r="B183" s="1">
        <v>43931</v>
      </c>
      <c r="C183" s="1" t="str">
        <f t="shared" si="6"/>
        <v>abril</v>
      </c>
      <c r="D183">
        <v>22</v>
      </c>
      <c r="E183" t="s">
        <v>51</v>
      </c>
      <c r="F183" t="s">
        <v>31</v>
      </c>
      <c r="G183" s="8">
        <v>12</v>
      </c>
      <c r="H183" s="2">
        <v>98</v>
      </c>
      <c r="I183" s="2">
        <v>1176</v>
      </c>
      <c r="J183" s="4">
        <v>0.02</v>
      </c>
      <c r="K183" s="2">
        <v>1152.48</v>
      </c>
      <c r="L183" s="2">
        <f t="shared" si="7"/>
        <v>23.519999999999982</v>
      </c>
      <c r="M183" s="1">
        <v>43960</v>
      </c>
      <c r="N183" s="1">
        <v>43960</v>
      </c>
      <c r="O183">
        <v>182</v>
      </c>
      <c r="P183">
        <v>7</v>
      </c>
      <c r="Q183" t="s">
        <v>52</v>
      </c>
      <c r="R183" s="3">
        <v>0.09</v>
      </c>
      <c r="S183" s="2">
        <v>103.72319999999999</v>
      </c>
      <c r="T183">
        <v>7</v>
      </c>
      <c r="U183" t="str">
        <f t="shared" si="8"/>
        <v>Abril</v>
      </c>
    </row>
    <row r="184" spans="1:21">
      <c r="A184">
        <v>183</v>
      </c>
      <c r="B184" s="1">
        <v>43931</v>
      </c>
      <c r="C184" s="1" t="str">
        <f t="shared" si="6"/>
        <v>abril</v>
      </c>
      <c r="D184">
        <v>82</v>
      </c>
      <c r="E184" t="s">
        <v>67</v>
      </c>
      <c r="F184" t="s">
        <v>24</v>
      </c>
      <c r="G184" s="8">
        <v>27</v>
      </c>
      <c r="H184" s="2">
        <v>98</v>
      </c>
      <c r="I184" s="2">
        <v>2646</v>
      </c>
      <c r="J184" s="4">
        <v>0.04</v>
      </c>
      <c r="K184" s="2">
        <v>2540.16</v>
      </c>
      <c r="L184" s="2">
        <f t="shared" si="7"/>
        <v>105.84000000000015</v>
      </c>
      <c r="M184" s="1">
        <v>43957</v>
      </c>
      <c r="N184" s="1">
        <v>43957</v>
      </c>
      <c r="O184">
        <v>183</v>
      </c>
      <c r="P184">
        <v>3</v>
      </c>
      <c r="Q184" t="s">
        <v>32</v>
      </c>
      <c r="R184" s="3">
        <v>0.06</v>
      </c>
      <c r="S184" s="2">
        <v>152.40959999999998</v>
      </c>
      <c r="T184">
        <v>1</v>
      </c>
      <c r="U184" t="str">
        <f t="shared" si="8"/>
        <v>Abril</v>
      </c>
    </row>
    <row r="185" spans="1:21">
      <c r="A185">
        <v>184</v>
      </c>
      <c r="B185" s="1">
        <v>43932</v>
      </c>
      <c r="C185" s="1" t="str">
        <f t="shared" si="6"/>
        <v>abril</v>
      </c>
      <c r="D185">
        <v>43</v>
      </c>
      <c r="E185" t="s">
        <v>99</v>
      </c>
      <c r="F185" t="s">
        <v>28</v>
      </c>
      <c r="G185" s="8">
        <v>26</v>
      </c>
      <c r="H185" s="2">
        <v>96</v>
      </c>
      <c r="I185" s="2">
        <v>2496</v>
      </c>
      <c r="J185" s="4">
        <v>0.05</v>
      </c>
      <c r="K185" s="2">
        <v>2371.1999999999998</v>
      </c>
      <c r="L185" s="2">
        <f t="shared" si="7"/>
        <v>124.80000000000018</v>
      </c>
      <c r="M185" s="1">
        <v>43941</v>
      </c>
      <c r="N185" s="1">
        <v>43941</v>
      </c>
      <c r="O185">
        <v>184</v>
      </c>
      <c r="P185">
        <v>5</v>
      </c>
      <c r="Q185" t="s">
        <v>52</v>
      </c>
      <c r="R185" s="3">
        <v>0.09</v>
      </c>
      <c r="S185" s="2">
        <v>213.40799999999999</v>
      </c>
      <c r="T185">
        <v>2</v>
      </c>
      <c r="U185" t="str">
        <f t="shared" si="8"/>
        <v>Abril</v>
      </c>
    </row>
    <row r="186" spans="1:21">
      <c r="A186">
        <v>185</v>
      </c>
      <c r="B186" s="1">
        <v>43932</v>
      </c>
      <c r="C186" s="1" t="str">
        <f t="shared" si="6"/>
        <v>abril</v>
      </c>
      <c r="D186">
        <v>56</v>
      </c>
      <c r="E186" t="s">
        <v>67</v>
      </c>
      <c r="F186" t="s">
        <v>31</v>
      </c>
      <c r="G186" s="8">
        <v>21</v>
      </c>
      <c r="H186" s="2">
        <v>105</v>
      </c>
      <c r="I186" s="2">
        <v>2205</v>
      </c>
      <c r="J186" s="4">
        <v>0.04</v>
      </c>
      <c r="K186" s="2">
        <v>2116.8000000000002</v>
      </c>
      <c r="L186" s="2">
        <f t="shared" si="7"/>
        <v>88.199999999999818</v>
      </c>
      <c r="M186" s="1">
        <v>43960</v>
      </c>
      <c r="N186" s="1">
        <v>43960</v>
      </c>
      <c r="O186">
        <v>185</v>
      </c>
      <c r="P186">
        <v>2</v>
      </c>
      <c r="Q186" t="s">
        <v>34</v>
      </c>
      <c r="R186" s="3">
        <v>0.09</v>
      </c>
      <c r="S186" s="2">
        <v>190.512</v>
      </c>
      <c r="T186">
        <v>3</v>
      </c>
      <c r="U186" t="str">
        <f t="shared" si="8"/>
        <v>Abril</v>
      </c>
    </row>
    <row r="187" spans="1:21">
      <c r="A187">
        <v>186</v>
      </c>
      <c r="B187" s="1">
        <v>43933</v>
      </c>
      <c r="C187" s="1" t="str">
        <f t="shared" si="6"/>
        <v>abril</v>
      </c>
      <c r="D187">
        <v>70</v>
      </c>
      <c r="E187" t="s">
        <v>67</v>
      </c>
      <c r="F187" t="s">
        <v>59</v>
      </c>
      <c r="G187" s="8">
        <v>28</v>
      </c>
      <c r="H187" s="2">
        <v>105</v>
      </c>
      <c r="I187" s="2">
        <v>2940</v>
      </c>
      <c r="J187" s="4">
        <v>0.05</v>
      </c>
      <c r="K187" s="2">
        <v>2793</v>
      </c>
      <c r="L187" s="2">
        <f t="shared" si="7"/>
        <v>147</v>
      </c>
      <c r="M187" s="1">
        <v>43960</v>
      </c>
      <c r="N187" s="1">
        <v>43960</v>
      </c>
      <c r="O187">
        <v>186</v>
      </c>
      <c r="P187">
        <v>1</v>
      </c>
      <c r="Q187" t="s">
        <v>52</v>
      </c>
      <c r="R187" s="3">
        <v>7.0000000000000007E-2</v>
      </c>
      <c r="S187" s="2">
        <v>195.51000000000002</v>
      </c>
      <c r="T187">
        <v>4</v>
      </c>
      <c r="U187" t="str">
        <f t="shared" si="8"/>
        <v>Abril</v>
      </c>
    </row>
    <row r="188" spans="1:21">
      <c r="A188">
        <v>187</v>
      </c>
      <c r="B188" s="1">
        <v>43934</v>
      </c>
      <c r="C188" s="1" t="str">
        <f t="shared" si="6"/>
        <v>abril</v>
      </c>
      <c r="D188">
        <v>44</v>
      </c>
      <c r="E188" t="s">
        <v>71</v>
      </c>
      <c r="F188" t="s">
        <v>54</v>
      </c>
      <c r="G188" s="8">
        <v>29</v>
      </c>
      <c r="H188" s="2">
        <v>97</v>
      </c>
      <c r="I188" s="2">
        <v>2813</v>
      </c>
      <c r="J188" s="4">
        <v>0.02</v>
      </c>
      <c r="K188" s="2">
        <v>2756.74</v>
      </c>
      <c r="L188" s="2">
        <f t="shared" si="7"/>
        <v>56.260000000000218</v>
      </c>
      <c r="M188" s="1">
        <v>43963</v>
      </c>
      <c r="N188" s="1">
        <v>43963</v>
      </c>
      <c r="O188">
        <v>187</v>
      </c>
      <c r="P188">
        <v>5</v>
      </c>
      <c r="Q188" t="s">
        <v>52</v>
      </c>
      <c r="R188" s="3">
        <v>0.09</v>
      </c>
      <c r="S188" s="2">
        <v>248.10659999999996</v>
      </c>
      <c r="T188">
        <v>5</v>
      </c>
      <c r="U188" t="str">
        <f t="shared" si="8"/>
        <v>Abril</v>
      </c>
    </row>
    <row r="189" spans="1:21">
      <c r="A189">
        <v>188</v>
      </c>
      <c r="B189" s="1">
        <v>43934</v>
      </c>
      <c r="C189" s="1" t="str">
        <f t="shared" si="6"/>
        <v>abril</v>
      </c>
      <c r="D189">
        <v>83</v>
      </c>
      <c r="E189" t="s">
        <v>100</v>
      </c>
      <c r="F189" t="s">
        <v>50</v>
      </c>
      <c r="G189" s="8">
        <v>16</v>
      </c>
      <c r="H189" s="2">
        <v>110</v>
      </c>
      <c r="I189" s="2">
        <v>1760</v>
      </c>
      <c r="J189" s="4">
        <v>0.05</v>
      </c>
      <c r="K189" s="2">
        <v>1672</v>
      </c>
      <c r="L189" s="2">
        <f t="shared" si="7"/>
        <v>88</v>
      </c>
      <c r="M189" s="1">
        <v>43955</v>
      </c>
      <c r="N189" s="1">
        <v>43955</v>
      </c>
      <c r="O189">
        <v>188</v>
      </c>
      <c r="P189">
        <v>4</v>
      </c>
      <c r="Q189" t="s">
        <v>43</v>
      </c>
      <c r="R189" s="3">
        <v>0.06</v>
      </c>
      <c r="S189" s="2">
        <v>100.32</v>
      </c>
      <c r="T189">
        <v>6</v>
      </c>
      <c r="U189" t="str">
        <f t="shared" si="8"/>
        <v>Abril</v>
      </c>
    </row>
    <row r="190" spans="1:21">
      <c r="A190">
        <v>189</v>
      </c>
      <c r="B190" s="1">
        <v>43935</v>
      </c>
      <c r="C190" s="1" t="str">
        <f t="shared" si="6"/>
        <v>abril</v>
      </c>
      <c r="D190">
        <v>48</v>
      </c>
      <c r="E190" t="s">
        <v>61</v>
      </c>
      <c r="F190" t="s">
        <v>59</v>
      </c>
      <c r="G190" s="8">
        <v>47</v>
      </c>
      <c r="H190" s="2">
        <v>117</v>
      </c>
      <c r="I190" s="2">
        <v>5499</v>
      </c>
      <c r="J190" s="4">
        <v>0.11</v>
      </c>
      <c r="K190" s="2">
        <v>4894.1099999999997</v>
      </c>
      <c r="L190" s="2">
        <f t="shared" si="7"/>
        <v>604.89000000000033</v>
      </c>
      <c r="M190" s="1">
        <v>43956</v>
      </c>
      <c r="N190" s="1">
        <v>43956</v>
      </c>
      <c r="O190">
        <v>189</v>
      </c>
      <c r="P190">
        <v>2</v>
      </c>
      <c r="Q190" t="s">
        <v>32</v>
      </c>
      <c r="R190" s="3">
        <v>0.09</v>
      </c>
      <c r="S190" s="2">
        <v>440.46989999999994</v>
      </c>
      <c r="T190">
        <v>7</v>
      </c>
      <c r="U190" t="str">
        <f t="shared" si="8"/>
        <v>Abril</v>
      </c>
    </row>
    <row r="191" spans="1:21">
      <c r="A191">
        <v>190</v>
      </c>
      <c r="B191" s="1">
        <v>43935</v>
      </c>
      <c r="C191" s="1" t="str">
        <f t="shared" si="6"/>
        <v>abril</v>
      </c>
      <c r="D191">
        <v>2</v>
      </c>
      <c r="E191" t="s">
        <v>35</v>
      </c>
      <c r="F191" t="s">
        <v>21</v>
      </c>
      <c r="G191" s="8">
        <v>40</v>
      </c>
      <c r="H191" s="2">
        <v>110</v>
      </c>
      <c r="I191" s="2">
        <v>4400</v>
      </c>
      <c r="J191" s="4">
        <v>0</v>
      </c>
      <c r="K191" s="2">
        <v>4400</v>
      </c>
      <c r="L191" s="2">
        <f t="shared" si="7"/>
        <v>0</v>
      </c>
      <c r="M191" s="1">
        <v>43941</v>
      </c>
      <c r="N191" s="1">
        <v>43941</v>
      </c>
      <c r="O191">
        <v>190</v>
      </c>
      <c r="P191">
        <v>1</v>
      </c>
      <c r="Q191" t="s">
        <v>43</v>
      </c>
      <c r="R191" s="3">
        <v>0.09</v>
      </c>
      <c r="S191" s="2">
        <v>396</v>
      </c>
      <c r="T191">
        <v>1</v>
      </c>
      <c r="U191" t="str">
        <f t="shared" si="8"/>
        <v>Abril</v>
      </c>
    </row>
    <row r="192" spans="1:21">
      <c r="A192">
        <v>191</v>
      </c>
      <c r="B192" s="1">
        <v>43935</v>
      </c>
      <c r="C192" s="1" t="str">
        <f t="shared" si="6"/>
        <v>abril</v>
      </c>
      <c r="D192">
        <v>89</v>
      </c>
      <c r="E192" t="s">
        <v>49</v>
      </c>
      <c r="F192" t="s">
        <v>41</v>
      </c>
      <c r="G192" s="8">
        <v>37</v>
      </c>
      <c r="H192" s="2">
        <v>106</v>
      </c>
      <c r="I192" s="2">
        <v>3922</v>
      </c>
      <c r="J192" s="4">
        <v>0.04</v>
      </c>
      <c r="K192" s="2">
        <v>3765.12</v>
      </c>
      <c r="L192" s="2">
        <f t="shared" si="7"/>
        <v>156.88000000000011</v>
      </c>
      <c r="M192" s="1">
        <v>43961</v>
      </c>
      <c r="N192" s="1">
        <v>43961</v>
      </c>
      <c r="O192">
        <v>191</v>
      </c>
      <c r="P192">
        <v>6</v>
      </c>
      <c r="Q192" t="s">
        <v>29</v>
      </c>
      <c r="R192" s="3">
        <v>0.06</v>
      </c>
      <c r="S192" s="2">
        <v>225.90719999999999</v>
      </c>
      <c r="T192">
        <v>2</v>
      </c>
      <c r="U192" t="str">
        <f t="shared" si="8"/>
        <v>Abril</v>
      </c>
    </row>
    <row r="193" spans="1:21">
      <c r="A193">
        <v>192</v>
      </c>
      <c r="B193" s="1">
        <v>43936</v>
      </c>
      <c r="C193" s="1" t="str">
        <f t="shared" si="6"/>
        <v>abril</v>
      </c>
      <c r="D193">
        <v>35</v>
      </c>
      <c r="E193" t="s">
        <v>38</v>
      </c>
      <c r="F193" t="s">
        <v>46</v>
      </c>
      <c r="G193" s="8">
        <v>44</v>
      </c>
      <c r="H193" s="2">
        <v>115</v>
      </c>
      <c r="I193" s="2">
        <v>5060</v>
      </c>
      <c r="J193" s="4">
        <v>0.13</v>
      </c>
      <c r="K193" s="2">
        <v>4402.2</v>
      </c>
      <c r="L193" s="2">
        <f t="shared" si="7"/>
        <v>657.80000000000018</v>
      </c>
      <c r="M193" s="1">
        <v>43965</v>
      </c>
      <c r="N193" s="1">
        <v>43965</v>
      </c>
      <c r="O193">
        <v>192</v>
      </c>
      <c r="P193">
        <v>2</v>
      </c>
      <c r="Q193" t="s">
        <v>43</v>
      </c>
      <c r="R193" s="3">
        <v>0.1</v>
      </c>
      <c r="S193" s="2">
        <v>440.22</v>
      </c>
      <c r="T193">
        <v>3</v>
      </c>
      <c r="U193" t="str">
        <f t="shared" si="8"/>
        <v>Abril</v>
      </c>
    </row>
    <row r="194" spans="1:21">
      <c r="A194">
        <v>193</v>
      </c>
      <c r="B194" s="1">
        <v>43938</v>
      </c>
      <c r="C194" s="1" t="str">
        <f t="shared" si="6"/>
        <v>abril</v>
      </c>
      <c r="D194">
        <v>62</v>
      </c>
      <c r="E194" t="s">
        <v>38</v>
      </c>
      <c r="F194" t="s">
        <v>59</v>
      </c>
      <c r="G194" s="8">
        <v>26</v>
      </c>
      <c r="H194" s="2">
        <v>110</v>
      </c>
      <c r="I194" s="2">
        <v>2860</v>
      </c>
      <c r="J194" s="4">
        <v>0.15</v>
      </c>
      <c r="K194" s="2">
        <v>2431</v>
      </c>
      <c r="L194" s="2">
        <f t="shared" si="7"/>
        <v>429</v>
      </c>
      <c r="M194" s="1">
        <v>43950</v>
      </c>
      <c r="N194" s="1">
        <v>43950</v>
      </c>
      <c r="O194">
        <v>193</v>
      </c>
      <c r="P194">
        <v>5</v>
      </c>
      <c r="Q194" t="s">
        <v>47</v>
      </c>
      <c r="R194" s="3">
        <v>0.1</v>
      </c>
      <c r="S194" s="2">
        <v>243.10000000000002</v>
      </c>
      <c r="T194">
        <v>4</v>
      </c>
      <c r="U194" t="str">
        <f t="shared" si="8"/>
        <v>Abril</v>
      </c>
    </row>
    <row r="195" spans="1:21">
      <c r="A195">
        <v>194</v>
      </c>
      <c r="B195" s="1">
        <v>43939</v>
      </c>
      <c r="C195" s="1" t="str">
        <f t="shared" ref="C195:C258" si="9">TEXT(B195,"mmmm")</f>
        <v>abril</v>
      </c>
      <c r="D195">
        <v>69</v>
      </c>
      <c r="E195" t="s">
        <v>67</v>
      </c>
      <c r="F195" t="s">
        <v>50</v>
      </c>
      <c r="G195" s="8">
        <v>28</v>
      </c>
      <c r="H195" s="2">
        <v>90</v>
      </c>
      <c r="I195" s="2">
        <v>2520</v>
      </c>
      <c r="J195" s="4">
        <v>0.01</v>
      </c>
      <c r="K195" s="2">
        <v>2494.8000000000002</v>
      </c>
      <c r="L195" s="2">
        <f t="shared" ref="L195:L258" si="10">I195-K195</f>
        <v>25.199999999999818</v>
      </c>
      <c r="M195" s="1">
        <v>43956</v>
      </c>
      <c r="N195" s="1">
        <v>43956</v>
      </c>
      <c r="O195">
        <v>194</v>
      </c>
      <c r="P195">
        <v>6</v>
      </c>
      <c r="Q195" t="s">
        <v>52</v>
      </c>
      <c r="R195" s="3">
        <v>0.08</v>
      </c>
      <c r="S195" s="2">
        <v>199.58400000000003</v>
      </c>
      <c r="T195">
        <v>5</v>
      </c>
      <c r="U195" t="str">
        <f t="shared" ref="U195:U258" si="11">PROPER(TEXT(B195,"mmmm"))</f>
        <v>Abril</v>
      </c>
    </row>
    <row r="196" spans="1:21">
      <c r="A196">
        <v>195</v>
      </c>
      <c r="B196" s="1">
        <v>43939</v>
      </c>
      <c r="C196" s="1" t="str">
        <f t="shared" si="9"/>
        <v>abril</v>
      </c>
      <c r="D196">
        <v>88</v>
      </c>
      <c r="E196" t="s">
        <v>38</v>
      </c>
      <c r="F196" t="s">
        <v>21</v>
      </c>
      <c r="G196" s="8">
        <v>15</v>
      </c>
      <c r="H196" s="2">
        <v>90</v>
      </c>
      <c r="I196" s="2">
        <v>1350</v>
      </c>
      <c r="J196" s="4">
        <v>0.14000000000000001</v>
      </c>
      <c r="K196" s="2">
        <v>1161</v>
      </c>
      <c r="L196" s="2">
        <f t="shared" si="10"/>
        <v>189</v>
      </c>
      <c r="M196" s="1">
        <v>43968</v>
      </c>
      <c r="N196" s="1">
        <v>43968</v>
      </c>
      <c r="O196">
        <v>195</v>
      </c>
      <c r="P196">
        <v>6</v>
      </c>
      <c r="Q196" t="s">
        <v>25</v>
      </c>
      <c r="R196" s="3">
        <v>0.08</v>
      </c>
      <c r="S196" s="2">
        <v>92.88</v>
      </c>
      <c r="T196">
        <v>6</v>
      </c>
      <c r="U196" t="str">
        <f t="shared" si="11"/>
        <v>Abril</v>
      </c>
    </row>
    <row r="197" spans="1:21">
      <c r="A197">
        <v>196</v>
      </c>
      <c r="B197" s="1">
        <v>43940</v>
      </c>
      <c r="C197" s="1" t="str">
        <f t="shared" si="9"/>
        <v>abril</v>
      </c>
      <c r="D197">
        <v>10</v>
      </c>
      <c r="E197" t="s">
        <v>89</v>
      </c>
      <c r="F197" t="s">
        <v>24</v>
      </c>
      <c r="G197" s="8">
        <v>37</v>
      </c>
      <c r="H197" s="2">
        <v>118</v>
      </c>
      <c r="I197" s="2">
        <v>4366</v>
      </c>
      <c r="J197" s="4">
        <v>0.06</v>
      </c>
      <c r="K197" s="2">
        <v>4104.04</v>
      </c>
      <c r="L197" s="2">
        <f t="shared" si="10"/>
        <v>261.96000000000004</v>
      </c>
      <c r="M197" s="1">
        <v>43962</v>
      </c>
      <c r="N197" s="1">
        <v>43962</v>
      </c>
      <c r="O197">
        <v>196</v>
      </c>
      <c r="P197">
        <v>3</v>
      </c>
      <c r="Q197" t="s">
        <v>69</v>
      </c>
      <c r="R197" s="3">
        <v>0.1</v>
      </c>
      <c r="S197" s="2">
        <v>410.404</v>
      </c>
      <c r="T197">
        <v>7</v>
      </c>
      <c r="U197" t="str">
        <f t="shared" si="11"/>
        <v>Abril</v>
      </c>
    </row>
    <row r="198" spans="1:21">
      <c r="A198">
        <v>197</v>
      </c>
      <c r="B198" s="1">
        <v>43940</v>
      </c>
      <c r="C198" s="1" t="str">
        <f t="shared" si="9"/>
        <v>abril</v>
      </c>
      <c r="D198">
        <v>48</v>
      </c>
      <c r="E198" t="s">
        <v>61</v>
      </c>
      <c r="F198" t="s">
        <v>28</v>
      </c>
      <c r="G198" s="8">
        <v>33</v>
      </c>
      <c r="H198" s="2">
        <v>108</v>
      </c>
      <c r="I198" s="2">
        <v>3564</v>
      </c>
      <c r="J198" s="4">
        <v>0.12</v>
      </c>
      <c r="K198" s="2">
        <v>3136.32</v>
      </c>
      <c r="L198" s="2">
        <f t="shared" si="10"/>
        <v>427.67999999999984</v>
      </c>
      <c r="M198" s="1">
        <v>43952</v>
      </c>
      <c r="N198" s="1">
        <v>43952</v>
      </c>
      <c r="O198">
        <v>197</v>
      </c>
      <c r="P198">
        <v>7</v>
      </c>
      <c r="Q198" t="s">
        <v>47</v>
      </c>
      <c r="R198" s="3">
        <v>7.0000000000000007E-2</v>
      </c>
      <c r="S198" s="2">
        <v>219.54240000000004</v>
      </c>
      <c r="T198">
        <v>1</v>
      </c>
      <c r="U198" t="str">
        <f t="shared" si="11"/>
        <v>Abril</v>
      </c>
    </row>
    <row r="199" spans="1:21">
      <c r="A199">
        <v>198</v>
      </c>
      <c r="B199" s="1">
        <v>43942</v>
      </c>
      <c r="C199" s="1" t="str">
        <f t="shared" si="9"/>
        <v>abril</v>
      </c>
      <c r="D199">
        <v>48</v>
      </c>
      <c r="E199" t="s">
        <v>61</v>
      </c>
      <c r="F199" t="s">
        <v>24</v>
      </c>
      <c r="G199" s="8">
        <v>16</v>
      </c>
      <c r="H199" s="2">
        <v>114</v>
      </c>
      <c r="I199" s="2">
        <v>1824</v>
      </c>
      <c r="J199" s="4">
        <v>0.12</v>
      </c>
      <c r="K199" s="2">
        <v>1605.12</v>
      </c>
      <c r="L199" s="2">
        <f t="shared" si="10"/>
        <v>218.88000000000011</v>
      </c>
      <c r="M199" s="1">
        <v>43963</v>
      </c>
      <c r="N199" s="1">
        <v>43963</v>
      </c>
      <c r="O199">
        <v>198</v>
      </c>
      <c r="P199">
        <v>6</v>
      </c>
      <c r="Q199" t="s">
        <v>25</v>
      </c>
      <c r="R199" s="3">
        <v>0.05</v>
      </c>
      <c r="S199" s="2">
        <v>80.256</v>
      </c>
      <c r="T199">
        <v>2</v>
      </c>
      <c r="U199" t="str">
        <f t="shared" si="11"/>
        <v>Abril</v>
      </c>
    </row>
    <row r="200" spans="1:21">
      <c r="A200">
        <v>199</v>
      </c>
      <c r="B200" s="1">
        <v>43942</v>
      </c>
      <c r="C200" s="1" t="str">
        <f t="shared" si="9"/>
        <v>abril</v>
      </c>
      <c r="D200">
        <v>91</v>
      </c>
      <c r="E200" t="s">
        <v>62</v>
      </c>
      <c r="F200" t="s">
        <v>21</v>
      </c>
      <c r="G200" s="8">
        <v>48</v>
      </c>
      <c r="H200" s="2">
        <v>109</v>
      </c>
      <c r="I200" s="2">
        <v>5232</v>
      </c>
      <c r="J200" s="4">
        <v>0.01</v>
      </c>
      <c r="K200" s="2">
        <v>5179.68</v>
      </c>
      <c r="L200" s="2">
        <f t="shared" si="10"/>
        <v>52.319999999999709</v>
      </c>
      <c r="M200" s="1">
        <v>43955</v>
      </c>
      <c r="N200" s="1">
        <v>43955</v>
      </c>
      <c r="O200">
        <v>199</v>
      </c>
      <c r="P200">
        <v>6</v>
      </c>
      <c r="Q200" t="s">
        <v>29</v>
      </c>
      <c r="R200" s="3">
        <v>0.09</v>
      </c>
      <c r="S200" s="2">
        <v>466.1712</v>
      </c>
      <c r="T200">
        <v>3</v>
      </c>
      <c r="U200" t="str">
        <f t="shared" si="11"/>
        <v>Abril</v>
      </c>
    </row>
    <row r="201" spans="1:21">
      <c r="A201">
        <v>200</v>
      </c>
      <c r="B201" s="1">
        <v>43942</v>
      </c>
      <c r="C201" s="1" t="str">
        <f t="shared" si="9"/>
        <v>abril</v>
      </c>
      <c r="D201">
        <v>91</v>
      </c>
      <c r="E201" t="s">
        <v>62</v>
      </c>
      <c r="F201" t="s">
        <v>55</v>
      </c>
      <c r="G201" s="8">
        <v>41</v>
      </c>
      <c r="H201" s="2">
        <v>95</v>
      </c>
      <c r="I201" s="2">
        <v>3895</v>
      </c>
      <c r="J201" s="4">
        <v>0.15</v>
      </c>
      <c r="K201" s="2">
        <v>3310.75</v>
      </c>
      <c r="L201" s="2">
        <f t="shared" si="10"/>
        <v>584.25</v>
      </c>
      <c r="M201" s="1">
        <v>43957</v>
      </c>
      <c r="N201" s="1">
        <v>43957</v>
      </c>
      <c r="O201">
        <v>200</v>
      </c>
      <c r="P201">
        <v>3</v>
      </c>
      <c r="Q201" t="s">
        <v>22</v>
      </c>
      <c r="R201" s="3">
        <v>0.08</v>
      </c>
      <c r="S201" s="2">
        <v>264.86</v>
      </c>
      <c r="T201">
        <v>4</v>
      </c>
      <c r="U201" t="str">
        <f t="shared" si="11"/>
        <v>Abril</v>
      </c>
    </row>
    <row r="202" spans="1:21">
      <c r="A202">
        <v>201</v>
      </c>
      <c r="B202" s="1">
        <v>43943</v>
      </c>
      <c r="C202" s="1" t="str">
        <f t="shared" si="9"/>
        <v>abril</v>
      </c>
      <c r="D202">
        <v>65</v>
      </c>
      <c r="E202" t="s">
        <v>64</v>
      </c>
      <c r="F202" t="s">
        <v>31</v>
      </c>
      <c r="G202" s="8">
        <v>13</v>
      </c>
      <c r="H202" s="2">
        <v>111</v>
      </c>
      <c r="I202" s="2">
        <v>1443</v>
      </c>
      <c r="J202" s="4">
        <v>0.06</v>
      </c>
      <c r="K202" s="2">
        <v>1356.42</v>
      </c>
      <c r="L202" s="2">
        <f t="shared" si="10"/>
        <v>86.579999999999927</v>
      </c>
      <c r="M202" s="1">
        <v>43956</v>
      </c>
      <c r="N202" s="1">
        <v>43956</v>
      </c>
      <c r="O202">
        <v>201</v>
      </c>
      <c r="P202">
        <v>5</v>
      </c>
      <c r="Q202" t="s">
        <v>25</v>
      </c>
      <c r="R202" s="3">
        <v>7.0000000000000007E-2</v>
      </c>
      <c r="S202" s="2">
        <v>94.949400000000011</v>
      </c>
      <c r="T202">
        <v>5</v>
      </c>
      <c r="U202" t="str">
        <f t="shared" si="11"/>
        <v>Abril</v>
      </c>
    </row>
    <row r="203" spans="1:21">
      <c r="A203">
        <v>202</v>
      </c>
      <c r="B203" s="1">
        <v>43943</v>
      </c>
      <c r="C203" s="1" t="str">
        <f t="shared" si="9"/>
        <v>abril</v>
      </c>
      <c r="D203">
        <v>100</v>
      </c>
      <c r="E203" t="s">
        <v>38</v>
      </c>
      <c r="F203" t="s">
        <v>54</v>
      </c>
      <c r="G203" s="8">
        <v>35</v>
      </c>
      <c r="H203" s="2">
        <v>92</v>
      </c>
      <c r="I203" s="2">
        <v>3220</v>
      </c>
      <c r="J203" s="4">
        <v>0.02</v>
      </c>
      <c r="K203" s="2">
        <v>3155.6</v>
      </c>
      <c r="L203" s="2">
        <f t="shared" si="10"/>
        <v>64.400000000000091</v>
      </c>
      <c r="M203" s="1">
        <v>43966</v>
      </c>
      <c r="N203" s="1">
        <v>43966</v>
      </c>
      <c r="O203">
        <v>202</v>
      </c>
      <c r="P203">
        <v>6</v>
      </c>
      <c r="Q203" t="s">
        <v>52</v>
      </c>
      <c r="R203" s="3">
        <v>7.0000000000000007E-2</v>
      </c>
      <c r="S203" s="2">
        <v>220.89200000000002</v>
      </c>
      <c r="T203">
        <v>6</v>
      </c>
      <c r="U203" t="str">
        <f t="shared" si="11"/>
        <v>Abril</v>
      </c>
    </row>
    <row r="204" spans="1:21">
      <c r="A204">
        <v>203</v>
      </c>
      <c r="B204" s="1">
        <v>43945</v>
      </c>
      <c r="C204" s="1" t="str">
        <f t="shared" si="9"/>
        <v>abril</v>
      </c>
      <c r="D204">
        <v>93</v>
      </c>
      <c r="E204" t="s">
        <v>33</v>
      </c>
      <c r="F204" t="s">
        <v>50</v>
      </c>
      <c r="G204" s="8">
        <v>20</v>
      </c>
      <c r="H204" s="2">
        <v>111</v>
      </c>
      <c r="I204" s="2">
        <v>2220</v>
      </c>
      <c r="J204" s="4">
        <v>0.14000000000000001</v>
      </c>
      <c r="K204" s="2">
        <v>1909.2</v>
      </c>
      <c r="L204" s="2">
        <f t="shared" si="10"/>
        <v>310.79999999999995</v>
      </c>
      <c r="M204" s="1">
        <v>43975</v>
      </c>
      <c r="N204" s="1">
        <v>43975</v>
      </c>
      <c r="O204">
        <v>203</v>
      </c>
      <c r="P204">
        <v>3</v>
      </c>
      <c r="Q204" t="s">
        <v>69</v>
      </c>
      <c r="R204" s="3">
        <v>7.0000000000000007E-2</v>
      </c>
      <c r="S204" s="2">
        <v>133.64400000000001</v>
      </c>
      <c r="T204">
        <v>7</v>
      </c>
      <c r="U204" t="str">
        <f t="shared" si="11"/>
        <v>Abril</v>
      </c>
    </row>
    <row r="205" spans="1:21">
      <c r="A205">
        <v>204</v>
      </c>
      <c r="B205" s="1">
        <v>43948</v>
      </c>
      <c r="C205" s="1" t="str">
        <f t="shared" si="9"/>
        <v>abril</v>
      </c>
      <c r="D205">
        <v>37</v>
      </c>
      <c r="E205" t="s">
        <v>48</v>
      </c>
      <c r="F205" t="s">
        <v>55</v>
      </c>
      <c r="G205" s="8">
        <v>14</v>
      </c>
      <c r="H205" s="2">
        <v>114</v>
      </c>
      <c r="I205" s="2">
        <v>1596</v>
      </c>
      <c r="J205" s="4">
        <v>0.05</v>
      </c>
      <c r="K205" s="2">
        <v>1516.2</v>
      </c>
      <c r="L205" s="2">
        <f t="shared" si="10"/>
        <v>79.799999999999955</v>
      </c>
      <c r="M205" s="1">
        <v>43958</v>
      </c>
      <c r="N205" s="1">
        <v>43958</v>
      </c>
      <c r="O205">
        <v>204</v>
      </c>
      <c r="P205">
        <v>6</v>
      </c>
      <c r="Q205" t="s">
        <v>47</v>
      </c>
      <c r="R205" s="3">
        <v>7.0000000000000007E-2</v>
      </c>
      <c r="S205" s="2">
        <v>106.13400000000001</v>
      </c>
      <c r="T205">
        <v>1</v>
      </c>
      <c r="U205" t="str">
        <f t="shared" si="11"/>
        <v>Abril</v>
      </c>
    </row>
    <row r="206" spans="1:21">
      <c r="A206">
        <v>205</v>
      </c>
      <c r="B206" s="1">
        <v>43948</v>
      </c>
      <c r="C206" s="1" t="str">
        <f t="shared" si="9"/>
        <v>abril</v>
      </c>
      <c r="D206">
        <v>72</v>
      </c>
      <c r="E206" t="s">
        <v>38</v>
      </c>
      <c r="F206" t="s">
        <v>46</v>
      </c>
      <c r="G206" s="8">
        <v>13</v>
      </c>
      <c r="H206" s="2">
        <v>91</v>
      </c>
      <c r="I206" s="2">
        <v>1183</v>
      </c>
      <c r="J206" s="4">
        <v>0.06</v>
      </c>
      <c r="K206" s="2">
        <v>1112.02</v>
      </c>
      <c r="L206" s="2">
        <f t="shared" si="10"/>
        <v>70.980000000000018</v>
      </c>
      <c r="M206" s="1">
        <v>43977</v>
      </c>
      <c r="N206" s="1">
        <v>43977</v>
      </c>
      <c r="O206">
        <v>205</v>
      </c>
      <c r="P206">
        <v>1</v>
      </c>
      <c r="Q206" t="s">
        <v>43</v>
      </c>
      <c r="R206" s="3">
        <v>0.09</v>
      </c>
      <c r="S206" s="2">
        <v>100.0818</v>
      </c>
      <c r="T206">
        <v>2</v>
      </c>
      <c r="U206" t="str">
        <f t="shared" si="11"/>
        <v>Abril</v>
      </c>
    </row>
    <row r="207" spans="1:21">
      <c r="A207">
        <v>206</v>
      </c>
      <c r="B207" s="1">
        <v>43949</v>
      </c>
      <c r="C207" s="1" t="str">
        <f t="shared" si="9"/>
        <v>abril</v>
      </c>
      <c r="D207">
        <v>16</v>
      </c>
      <c r="E207" t="s">
        <v>27</v>
      </c>
      <c r="F207" t="s">
        <v>41</v>
      </c>
      <c r="G207" s="8">
        <v>34</v>
      </c>
      <c r="H207" s="2">
        <v>113</v>
      </c>
      <c r="I207" s="2">
        <v>3842</v>
      </c>
      <c r="J207" s="4">
        <v>0.09</v>
      </c>
      <c r="K207" s="2">
        <v>3496.2200000000003</v>
      </c>
      <c r="L207" s="2">
        <f t="shared" si="10"/>
        <v>345.77999999999975</v>
      </c>
      <c r="M207" s="1">
        <v>43966</v>
      </c>
      <c r="N207" s="1">
        <v>43966</v>
      </c>
      <c r="O207">
        <v>206</v>
      </c>
      <c r="P207">
        <v>5</v>
      </c>
      <c r="Q207" t="s">
        <v>52</v>
      </c>
      <c r="R207" s="3">
        <v>0.08</v>
      </c>
      <c r="S207" s="2">
        <v>279.69760000000002</v>
      </c>
      <c r="T207">
        <v>3</v>
      </c>
      <c r="U207" t="str">
        <f t="shared" si="11"/>
        <v>Abril</v>
      </c>
    </row>
    <row r="208" spans="1:21">
      <c r="A208">
        <v>207</v>
      </c>
      <c r="B208" s="1">
        <v>43949</v>
      </c>
      <c r="C208" s="1" t="str">
        <f t="shared" si="9"/>
        <v>abril</v>
      </c>
      <c r="D208">
        <v>57</v>
      </c>
      <c r="E208" t="s">
        <v>89</v>
      </c>
      <c r="F208" t="s">
        <v>46</v>
      </c>
      <c r="G208" s="8">
        <v>26</v>
      </c>
      <c r="H208" s="2">
        <v>103</v>
      </c>
      <c r="I208" s="2">
        <v>2678</v>
      </c>
      <c r="J208" s="4">
        <v>0.05</v>
      </c>
      <c r="K208" s="2">
        <v>2544.1</v>
      </c>
      <c r="L208" s="2">
        <f t="shared" si="10"/>
        <v>133.90000000000009</v>
      </c>
      <c r="M208" s="1">
        <v>43971</v>
      </c>
      <c r="N208" s="1">
        <v>43971</v>
      </c>
      <c r="O208">
        <v>207</v>
      </c>
      <c r="P208">
        <v>3</v>
      </c>
      <c r="Q208" t="s">
        <v>69</v>
      </c>
      <c r="R208" s="3">
        <v>0.06</v>
      </c>
      <c r="S208" s="2">
        <v>152.64599999999999</v>
      </c>
      <c r="T208">
        <v>4</v>
      </c>
      <c r="U208" t="str">
        <f t="shared" si="11"/>
        <v>Abril</v>
      </c>
    </row>
    <row r="209" spans="1:21">
      <c r="A209">
        <v>208</v>
      </c>
      <c r="B209" s="1">
        <v>43950</v>
      </c>
      <c r="C209" s="1" t="str">
        <f t="shared" si="9"/>
        <v>abril</v>
      </c>
      <c r="D209">
        <v>13</v>
      </c>
      <c r="E209" t="s">
        <v>75</v>
      </c>
      <c r="F209" t="s">
        <v>21</v>
      </c>
      <c r="G209" s="8">
        <v>26</v>
      </c>
      <c r="H209" s="2">
        <v>112</v>
      </c>
      <c r="I209" s="2">
        <v>2912</v>
      </c>
      <c r="J209" s="4">
        <v>0.08</v>
      </c>
      <c r="K209" s="2">
        <v>2679.04</v>
      </c>
      <c r="L209" s="2">
        <f t="shared" si="10"/>
        <v>232.96000000000004</v>
      </c>
      <c r="M209" s="1">
        <v>43978</v>
      </c>
      <c r="N209" s="1">
        <v>43978</v>
      </c>
      <c r="O209">
        <v>208</v>
      </c>
      <c r="P209">
        <v>6</v>
      </c>
      <c r="Q209" t="s">
        <v>29</v>
      </c>
      <c r="R209" s="3">
        <v>7.0000000000000007E-2</v>
      </c>
      <c r="S209" s="2">
        <v>187.53280000000001</v>
      </c>
      <c r="T209">
        <v>5</v>
      </c>
      <c r="U209" t="str">
        <f t="shared" si="11"/>
        <v>Abril</v>
      </c>
    </row>
    <row r="210" spans="1:21">
      <c r="A210">
        <v>209</v>
      </c>
      <c r="B210" s="1">
        <v>43950</v>
      </c>
      <c r="C210" s="1" t="str">
        <f t="shared" si="9"/>
        <v>abril</v>
      </c>
      <c r="D210">
        <v>4</v>
      </c>
      <c r="E210" t="s">
        <v>86</v>
      </c>
      <c r="F210" t="s">
        <v>24</v>
      </c>
      <c r="G210" s="8">
        <v>13</v>
      </c>
      <c r="H210" s="2">
        <v>90</v>
      </c>
      <c r="I210" s="2">
        <v>1170</v>
      </c>
      <c r="J210" s="4">
        <v>7.0000000000000007E-2</v>
      </c>
      <c r="K210" s="2">
        <v>1088.0999999999999</v>
      </c>
      <c r="L210" s="2">
        <f t="shared" si="10"/>
        <v>81.900000000000091</v>
      </c>
      <c r="M210" s="1">
        <v>43954</v>
      </c>
      <c r="N210" s="1">
        <v>43954</v>
      </c>
      <c r="O210">
        <v>209</v>
      </c>
      <c r="P210">
        <v>1</v>
      </c>
      <c r="Q210" t="s">
        <v>43</v>
      </c>
      <c r="R210" s="3">
        <v>7.0000000000000007E-2</v>
      </c>
      <c r="S210" s="2">
        <v>76.167000000000002</v>
      </c>
      <c r="T210">
        <v>6</v>
      </c>
      <c r="U210" t="str">
        <f t="shared" si="11"/>
        <v>Abril</v>
      </c>
    </row>
    <row r="211" spans="1:21">
      <c r="A211">
        <v>210</v>
      </c>
      <c r="B211" s="1">
        <v>43951</v>
      </c>
      <c r="C211" s="1" t="str">
        <f t="shared" si="9"/>
        <v>abril</v>
      </c>
      <c r="D211">
        <v>51</v>
      </c>
      <c r="E211" t="s">
        <v>53</v>
      </c>
      <c r="F211" t="s">
        <v>24</v>
      </c>
      <c r="G211" s="8">
        <v>44</v>
      </c>
      <c r="H211" s="2">
        <v>113</v>
      </c>
      <c r="I211" s="2">
        <v>4972</v>
      </c>
      <c r="J211" s="4">
        <v>0.15</v>
      </c>
      <c r="K211" s="2">
        <v>4226.2</v>
      </c>
      <c r="L211" s="2">
        <f t="shared" si="10"/>
        <v>745.80000000000018</v>
      </c>
      <c r="M211" s="1">
        <v>43958</v>
      </c>
      <c r="N211" s="1">
        <v>43958</v>
      </c>
      <c r="O211">
        <v>210</v>
      </c>
      <c r="P211">
        <v>5</v>
      </c>
      <c r="Q211" t="s">
        <v>69</v>
      </c>
      <c r="R211" s="3">
        <v>7.0000000000000007E-2</v>
      </c>
      <c r="S211" s="2">
        <v>295.834</v>
      </c>
      <c r="T211">
        <v>7</v>
      </c>
      <c r="U211" t="str">
        <f t="shared" si="11"/>
        <v>Abril</v>
      </c>
    </row>
    <row r="212" spans="1:21">
      <c r="A212">
        <v>211</v>
      </c>
      <c r="B212" s="1">
        <v>43952</v>
      </c>
      <c r="C212" s="1" t="str">
        <f t="shared" si="9"/>
        <v>maio</v>
      </c>
      <c r="D212">
        <v>22</v>
      </c>
      <c r="E212" t="s">
        <v>51</v>
      </c>
      <c r="F212" t="s">
        <v>54</v>
      </c>
      <c r="G212" s="8">
        <v>21</v>
      </c>
      <c r="H212" s="2">
        <v>113</v>
      </c>
      <c r="I212" s="2">
        <v>2373</v>
      </c>
      <c r="J212" s="4">
        <v>0.06</v>
      </c>
      <c r="K212" s="2">
        <v>2230.62</v>
      </c>
      <c r="L212" s="2">
        <f t="shared" si="10"/>
        <v>142.38000000000011</v>
      </c>
      <c r="M212" s="1">
        <v>43972</v>
      </c>
      <c r="N212" s="1">
        <v>43972</v>
      </c>
      <c r="O212">
        <v>211</v>
      </c>
      <c r="P212">
        <v>5</v>
      </c>
      <c r="Q212" t="s">
        <v>37</v>
      </c>
      <c r="R212" s="3">
        <v>0.09</v>
      </c>
      <c r="S212" s="2">
        <v>200.75579999999999</v>
      </c>
      <c r="T212">
        <v>1</v>
      </c>
      <c r="U212" t="str">
        <f t="shared" si="11"/>
        <v>Maio</v>
      </c>
    </row>
    <row r="213" spans="1:21">
      <c r="A213">
        <v>212</v>
      </c>
      <c r="B213" s="1">
        <v>43952</v>
      </c>
      <c r="C213" s="1" t="str">
        <f t="shared" si="9"/>
        <v>maio</v>
      </c>
      <c r="D213">
        <v>27</v>
      </c>
      <c r="E213" t="s">
        <v>101</v>
      </c>
      <c r="F213" t="s">
        <v>21</v>
      </c>
      <c r="G213" s="8">
        <v>17</v>
      </c>
      <c r="H213" s="2">
        <v>90</v>
      </c>
      <c r="I213" s="2">
        <v>1530</v>
      </c>
      <c r="J213" s="4">
        <v>0.09</v>
      </c>
      <c r="K213" s="2">
        <v>1392.3</v>
      </c>
      <c r="L213" s="2">
        <f t="shared" si="10"/>
        <v>137.70000000000005</v>
      </c>
      <c r="M213" s="1">
        <v>43968</v>
      </c>
      <c r="N213" s="1">
        <v>43968</v>
      </c>
      <c r="O213">
        <v>212</v>
      </c>
      <c r="P213">
        <v>3</v>
      </c>
      <c r="Q213" t="s">
        <v>22</v>
      </c>
      <c r="R213" s="3">
        <v>0.1</v>
      </c>
      <c r="S213" s="2">
        <v>139.22999999999999</v>
      </c>
      <c r="T213">
        <v>2</v>
      </c>
      <c r="U213" t="str">
        <f t="shared" si="11"/>
        <v>Maio</v>
      </c>
    </row>
    <row r="214" spans="1:21">
      <c r="A214">
        <v>213</v>
      </c>
      <c r="B214" s="1">
        <v>43952</v>
      </c>
      <c r="C214" s="1" t="str">
        <f t="shared" si="9"/>
        <v>maio</v>
      </c>
      <c r="D214">
        <v>83</v>
      </c>
      <c r="E214" t="s">
        <v>100</v>
      </c>
      <c r="F214" t="s">
        <v>50</v>
      </c>
      <c r="G214" s="8">
        <v>18</v>
      </c>
      <c r="H214" s="2">
        <v>105</v>
      </c>
      <c r="I214" s="2">
        <v>1890</v>
      </c>
      <c r="J214" s="4">
        <v>0.13</v>
      </c>
      <c r="K214" s="2">
        <v>1644.3</v>
      </c>
      <c r="L214" s="2">
        <f t="shared" si="10"/>
        <v>245.70000000000005</v>
      </c>
      <c r="M214" s="1">
        <v>43964</v>
      </c>
      <c r="N214" s="1">
        <v>43964</v>
      </c>
      <c r="O214">
        <v>213</v>
      </c>
      <c r="P214">
        <v>1</v>
      </c>
      <c r="Q214" t="s">
        <v>32</v>
      </c>
      <c r="R214" s="3">
        <v>0.05</v>
      </c>
      <c r="S214" s="2">
        <v>82.215000000000003</v>
      </c>
      <c r="T214">
        <v>3</v>
      </c>
      <c r="U214" t="str">
        <f t="shared" si="11"/>
        <v>Maio</v>
      </c>
    </row>
    <row r="215" spans="1:21">
      <c r="A215">
        <v>214</v>
      </c>
      <c r="B215" s="1">
        <v>43953</v>
      </c>
      <c r="C215" s="1" t="str">
        <f t="shared" si="9"/>
        <v>maio</v>
      </c>
      <c r="D215">
        <v>38</v>
      </c>
      <c r="E215" t="s">
        <v>73</v>
      </c>
      <c r="F215" t="s">
        <v>41</v>
      </c>
      <c r="G215" s="8">
        <v>40</v>
      </c>
      <c r="H215" s="2">
        <v>98</v>
      </c>
      <c r="I215" s="2">
        <v>3920</v>
      </c>
      <c r="J215" s="4">
        <v>0.1</v>
      </c>
      <c r="K215" s="2">
        <v>3528</v>
      </c>
      <c r="L215" s="2">
        <f t="shared" si="10"/>
        <v>392</v>
      </c>
      <c r="M215" s="1">
        <v>43978</v>
      </c>
      <c r="N215" s="1">
        <v>43978</v>
      </c>
      <c r="O215">
        <v>214</v>
      </c>
      <c r="P215">
        <v>7</v>
      </c>
      <c r="Q215" t="s">
        <v>47</v>
      </c>
      <c r="R215" s="3">
        <v>7.0000000000000007E-2</v>
      </c>
      <c r="S215" s="2">
        <v>246.96000000000004</v>
      </c>
      <c r="T215">
        <v>4</v>
      </c>
      <c r="U215" t="str">
        <f t="shared" si="11"/>
        <v>Maio</v>
      </c>
    </row>
    <row r="216" spans="1:21">
      <c r="A216">
        <v>215</v>
      </c>
      <c r="B216" s="1">
        <v>43955</v>
      </c>
      <c r="C216" s="1" t="str">
        <f t="shared" si="9"/>
        <v>maio</v>
      </c>
      <c r="D216">
        <v>35</v>
      </c>
      <c r="E216" t="s">
        <v>38</v>
      </c>
      <c r="F216" t="s">
        <v>46</v>
      </c>
      <c r="G216" s="8">
        <v>13</v>
      </c>
      <c r="H216" s="2">
        <v>99</v>
      </c>
      <c r="I216" s="2">
        <v>1287</v>
      </c>
      <c r="J216" s="4">
        <v>0.04</v>
      </c>
      <c r="K216" s="2">
        <v>1235.52</v>
      </c>
      <c r="L216" s="2">
        <f t="shared" si="10"/>
        <v>51.480000000000018</v>
      </c>
      <c r="M216" s="1">
        <v>43966</v>
      </c>
      <c r="N216" s="1">
        <v>43966</v>
      </c>
      <c r="O216">
        <v>215</v>
      </c>
      <c r="P216">
        <v>1</v>
      </c>
      <c r="Q216" t="s">
        <v>37</v>
      </c>
      <c r="R216" s="3">
        <v>0.1</v>
      </c>
      <c r="S216" s="2">
        <v>123.55200000000001</v>
      </c>
      <c r="T216">
        <v>5</v>
      </c>
      <c r="U216" t="str">
        <f t="shared" si="11"/>
        <v>Maio</v>
      </c>
    </row>
    <row r="217" spans="1:21">
      <c r="A217">
        <v>216</v>
      </c>
      <c r="B217" s="1">
        <v>43955</v>
      </c>
      <c r="C217" s="1" t="str">
        <f t="shared" si="9"/>
        <v>maio</v>
      </c>
      <c r="D217">
        <v>3</v>
      </c>
      <c r="E217" t="s">
        <v>91</v>
      </c>
      <c r="F217" t="s">
        <v>46</v>
      </c>
      <c r="G217" s="8">
        <v>31</v>
      </c>
      <c r="H217" s="2">
        <v>105</v>
      </c>
      <c r="I217" s="2">
        <v>3255</v>
      </c>
      <c r="J217" s="4">
        <v>0.08</v>
      </c>
      <c r="K217" s="2">
        <v>2994.6</v>
      </c>
      <c r="L217" s="2">
        <f t="shared" si="10"/>
        <v>260.40000000000009</v>
      </c>
      <c r="M217" s="1">
        <v>43973</v>
      </c>
      <c r="N217" s="1">
        <v>43973</v>
      </c>
      <c r="O217">
        <v>216</v>
      </c>
      <c r="P217">
        <v>2</v>
      </c>
      <c r="Q217" t="s">
        <v>32</v>
      </c>
      <c r="R217" s="3">
        <v>0.09</v>
      </c>
      <c r="S217" s="2">
        <v>269.51400000000001</v>
      </c>
      <c r="T217">
        <v>6</v>
      </c>
      <c r="U217" t="str">
        <f t="shared" si="11"/>
        <v>Maio</v>
      </c>
    </row>
    <row r="218" spans="1:21">
      <c r="A218">
        <v>217</v>
      </c>
      <c r="B218" s="1">
        <v>43956</v>
      </c>
      <c r="C218" s="1" t="str">
        <f t="shared" si="9"/>
        <v>maio</v>
      </c>
      <c r="D218">
        <v>25</v>
      </c>
      <c r="E218" t="s">
        <v>63</v>
      </c>
      <c r="F218" t="s">
        <v>31</v>
      </c>
      <c r="G218" s="8">
        <v>48</v>
      </c>
      <c r="H218" s="2">
        <v>108</v>
      </c>
      <c r="I218" s="2">
        <v>5184</v>
      </c>
      <c r="J218" s="4">
        <v>0.13</v>
      </c>
      <c r="K218" s="2">
        <v>4510.08</v>
      </c>
      <c r="L218" s="2">
        <f t="shared" si="10"/>
        <v>673.92000000000007</v>
      </c>
      <c r="M218" s="1">
        <v>43974</v>
      </c>
      <c r="N218" s="1">
        <v>43974</v>
      </c>
      <c r="O218">
        <v>217</v>
      </c>
      <c r="P218">
        <v>7</v>
      </c>
      <c r="Q218" t="s">
        <v>32</v>
      </c>
      <c r="R218" s="3">
        <v>0.1</v>
      </c>
      <c r="S218" s="2">
        <v>451.00800000000004</v>
      </c>
      <c r="T218">
        <v>7</v>
      </c>
      <c r="U218" t="str">
        <f t="shared" si="11"/>
        <v>Maio</v>
      </c>
    </row>
    <row r="219" spans="1:21">
      <c r="A219">
        <v>218</v>
      </c>
      <c r="B219" s="1">
        <v>43956</v>
      </c>
      <c r="C219" s="1" t="str">
        <f t="shared" si="9"/>
        <v>maio</v>
      </c>
      <c r="D219">
        <v>8</v>
      </c>
      <c r="E219" t="s">
        <v>38</v>
      </c>
      <c r="F219" t="s">
        <v>50</v>
      </c>
      <c r="G219" s="8">
        <v>18</v>
      </c>
      <c r="H219" s="2">
        <v>90</v>
      </c>
      <c r="I219" s="2">
        <v>1620</v>
      </c>
      <c r="J219" s="4">
        <v>0.15</v>
      </c>
      <c r="K219" s="2">
        <v>1377</v>
      </c>
      <c r="L219" s="2">
        <f t="shared" si="10"/>
        <v>243</v>
      </c>
      <c r="M219" s="1">
        <v>43959</v>
      </c>
      <c r="N219" s="1">
        <v>43959</v>
      </c>
      <c r="O219">
        <v>218</v>
      </c>
      <c r="P219">
        <v>6</v>
      </c>
      <c r="Q219" t="s">
        <v>69</v>
      </c>
      <c r="R219" s="3">
        <v>0.08</v>
      </c>
      <c r="S219" s="2">
        <v>110.16</v>
      </c>
      <c r="T219">
        <v>1</v>
      </c>
      <c r="U219" t="str">
        <f t="shared" si="11"/>
        <v>Maio</v>
      </c>
    </row>
    <row r="220" spans="1:21">
      <c r="A220">
        <v>219</v>
      </c>
      <c r="B220" s="1">
        <v>43957</v>
      </c>
      <c r="C220" s="1" t="str">
        <f t="shared" si="9"/>
        <v>maio</v>
      </c>
      <c r="D220">
        <v>20</v>
      </c>
      <c r="E220" t="s">
        <v>39</v>
      </c>
      <c r="F220" t="s">
        <v>59</v>
      </c>
      <c r="G220" s="8">
        <v>48</v>
      </c>
      <c r="H220" s="2">
        <v>120</v>
      </c>
      <c r="I220" s="2">
        <v>5760</v>
      </c>
      <c r="J220" s="4">
        <v>0.05</v>
      </c>
      <c r="K220" s="2">
        <v>5472</v>
      </c>
      <c r="L220" s="2">
        <f t="shared" si="10"/>
        <v>288</v>
      </c>
      <c r="M220" s="1">
        <v>43957</v>
      </c>
      <c r="N220" s="1">
        <v>43957</v>
      </c>
      <c r="O220">
        <v>219</v>
      </c>
      <c r="P220">
        <v>5</v>
      </c>
      <c r="Q220" t="s">
        <v>43</v>
      </c>
      <c r="R220" s="3">
        <v>7.0000000000000007E-2</v>
      </c>
      <c r="S220" s="2">
        <v>383.04</v>
      </c>
      <c r="T220">
        <v>2</v>
      </c>
      <c r="U220" t="str">
        <f t="shared" si="11"/>
        <v>Maio</v>
      </c>
    </row>
    <row r="221" spans="1:21">
      <c r="A221">
        <v>220</v>
      </c>
      <c r="B221" s="1">
        <v>43958</v>
      </c>
      <c r="C221" s="1" t="str">
        <f t="shared" si="9"/>
        <v>maio</v>
      </c>
      <c r="D221">
        <v>78</v>
      </c>
      <c r="E221" t="s">
        <v>36</v>
      </c>
      <c r="F221" t="s">
        <v>31</v>
      </c>
      <c r="G221" s="8">
        <v>42</v>
      </c>
      <c r="H221" s="2">
        <v>104</v>
      </c>
      <c r="I221" s="2">
        <v>4368</v>
      </c>
      <c r="J221" s="4">
        <v>0.12</v>
      </c>
      <c r="K221" s="2">
        <v>3843.84</v>
      </c>
      <c r="L221" s="2">
        <f t="shared" si="10"/>
        <v>524.15999999999985</v>
      </c>
      <c r="M221" s="1">
        <v>43965</v>
      </c>
      <c r="N221" s="1">
        <v>43965</v>
      </c>
      <c r="O221">
        <v>220</v>
      </c>
      <c r="P221">
        <v>3</v>
      </c>
      <c r="Q221" t="s">
        <v>25</v>
      </c>
      <c r="R221" s="3">
        <v>0.06</v>
      </c>
      <c r="S221" s="2">
        <v>230.63040000000001</v>
      </c>
      <c r="T221">
        <v>3</v>
      </c>
      <c r="U221" t="str">
        <f t="shared" si="11"/>
        <v>Maio</v>
      </c>
    </row>
    <row r="222" spans="1:21">
      <c r="A222">
        <v>221</v>
      </c>
      <c r="B222" s="1">
        <v>43958</v>
      </c>
      <c r="C222" s="1" t="str">
        <f t="shared" si="9"/>
        <v>maio</v>
      </c>
      <c r="D222">
        <v>99</v>
      </c>
      <c r="E222" t="s">
        <v>84</v>
      </c>
      <c r="F222" t="s">
        <v>54</v>
      </c>
      <c r="G222" s="8">
        <v>38</v>
      </c>
      <c r="H222" s="2">
        <v>113</v>
      </c>
      <c r="I222" s="2">
        <v>4294</v>
      </c>
      <c r="J222" s="4">
        <v>0.1</v>
      </c>
      <c r="K222" s="2">
        <v>3864.6</v>
      </c>
      <c r="L222" s="2">
        <f t="shared" si="10"/>
        <v>429.40000000000009</v>
      </c>
      <c r="M222" s="1">
        <v>43976</v>
      </c>
      <c r="N222" s="1">
        <v>43976</v>
      </c>
      <c r="O222">
        <v>221</v>
      </c>
      <c r="P222">
        <v>7</v>
      </c>
      <c r="Q222" t="s">
        <v>25</v>
      </c>
      <c r="R222" s="3">
        <v>7.0000000000000007E-2</v>
      </c>
      <c r="S222" s="2">
        <v>270.52199999999999</v>
      </c>
      <c r="T222">
        <v>4</v>
      </c>
      <c r="U222" t="str">
        <f t="shared" si="11"/>
        <v>Maio</v>
      </c>
    </row>
    <row r="223" spans="1:21">
      <c r="A223">
        <v>222</v>
      </c>
      <c r="B223" s="1">
        <v>43958</v>
      </c>
      <c r="C223" s="1" t="str">
        <f t="shared" si="9"/>
        <v>maio</v>
      </c>
      <c r="D223">
        <v>98</v>
      </c>
      <c r="E223" t="s">
        <v>26</v>
      </c>
      <c r="F223" t="s">
        <v>59</v>
      </c>
      <c r="G223" s="8">
        <v>17</v>
      </c>
      <c r="H223" s="2">
        <v>120</v>
      </c>
      <c r="I223" s="2">
        <v>2040</v>
      </c>
      <c r="J223" s="4">
        <v>0.08</v>
      </c>
      <c r="K223" s="2">
        <v>1876.8</v>
      </c>
      <c r="L223" s="2">
        <f t="shared" si="10"/>
        <v>163.20000000000005</v>
      </c>
      <c r="M223" s="1">
        <v>43967</v>
      </c>
      <c r="N223" s="1">
        <v>43967</v>
      </c>
      <c r="O223">
        <v>222</v>
      </c>
      <c r="P223">
        <v>2</v>
      </c>
      <c r="Q223" t="s">
        <v>34</v>
      </c>
      <c r="R223" s="3">
        <v>0.08</v>
      </c>
      <c r="S223" s="2">
        <v>150.14400000000001</v>
      </c>
      <c r="T223">
        <v>5</v>
      </c>
      <c r="U223" t="str">
        <f t="shared" si="11"/>
        <v>Maio</v>
      </c>
    </row>
    <row r="224" spans="1:21">
      <c r="A224">
        <v>223</v>
      </c>
      <c r="B224" s="1">
        <v>43958</v>
      </c>
      <c r="C224" s="1" t="str">
        <f t="shared" si="9"/>
        <v>maio</v>
      </c>
      <c r="D224">
        <v>97</v>
      </c>
      <c r="E224" t="s">
        <v>66</v>
      </c>
      <c r="F224" t="s">
        <v>24</v>
      </c>
      <c r="G224" s="8">
        <v>25</v>
      </c>
      <c r="H224" s="2">
        <v>117</v>
      </c>
      <c r="I224" s="2">
        <v>2925</v>
      </c>
      <c r="J224" s="4">
        <v>0.01</v>
      </c>
      <c r="K224" s="2">
        <v>2895.75</v>
      </c>
      <c r="L224" s="2">
        <f t="shared" si="10"/>
        <v>29.25</v>
      </c>
      <c r="M224" s="1">
        <v>43976</v>
      </c>
      <c r="N224" s="1">
        <v>43976</v>
      </c>
      <c r="O224">
        <v>223</v>
      </c>
      <c r="P224">
        <v>5</v>
      </c>
      <c r="Q224" t="s">
        <v>37</v>
      </c>
      <c r="R224" s="3">
        <v>0.1</v>
      </c>
      <c r="S224" s="2">
        <v>289.57499999999999</v>
      </c>
      <c r="T224">
        <v>6</v>
      </c>
      <c r="U224" t="str">
        <f t="shared" si="11"/>
        <v>Maio</v>
      </c>
    </row>
    <row r="225" spans="1:21">
      <c r="A225">
        <v>224</v>
      </c>
      <c r="B225" s="1">
        <v>43959</v>
      </c>
      <c r="C225" s="1" t="str">
        <f t="shared" si="9"/>
        <v>maio</v>
      </c>
      <c r="D225">
        <v>61</v>
      </c>
      <c r="E225" t="s">
        <v>56</v>
      </c>
      <c r="F225" t="s">
        <v>28</v>
      </c>
      <c r="G225" s="8">
        <v>35</v>
      </c>
      <c r="H225" s="2">
        <v>104</v>
      </c>
      <c r="I225" s="2">
        <v>3640</v>
      </c>
      <c r="J225" s="4">
        <v>0.08</v>
      </c>
      <c r="K225" s="2">
        <v>3348.8</v>
      </c>
      <c r="L225" s="2">
        <f t="shared" si="10"/>
        <v>291.19999999999982</v>
      </c>
      <c r="M225" s="1">
        <v>43976</v>
      </c>
      <c r="N225" s="1">
        <v>43976</v>
      </c>
      <c r="O225">
        <v>224</v>
      </c>
      <c r="P225">
        <v>3</v>
      </c>
      <c r="Q225" t="s">
        <v>25</v>
      </c>
      <c r="R225" s="3">
        <v>0.05</v>
      </c>
      <c r="S225" s="2">
        <v>167.44000000000003</v>
      </c>
      <c r="T225">
        <v>7</v>
      </c>
      <c r="U225" t="str">
        <f t="shared" si="11"/>
        <v>Maio</v>
      </c>
    </row>
    <row r="226" spans="1:21">
      <c r="A226">
        <v>225</v>
      </c>
      <c r="B226" s="1">
        <v>43959</v>
      </c>
      <c r="C226" s="1" t="str">
        <f t="shared" si="9"/>
        <v>maio</v>
      </c>
      <c r="D226">
        <v>46</v>
      </c>
      <c r="E226" t="s">
        <v>94</v>
      </c>
      <c r="F226" t="s">
        <v>31</v>
      </c>
      <c r="G226" s="8">
        <v>12</v>
      </c>
      <c r="H226" s="2">
        <v>107</v>
      </c>
      <c r="I226" s="2">
        <v>1284</v>
      </c>
      <c r="J226" s="4">
        <v>0.08</v>
      </c>
      <c r="K226" s="2">
        <v>1181.28</v>
      </c>
      <c r="L226" s="2">
        <f t="shared" si="10"/>
        <v>102.72000000000003</v>
      </c>
      <c r="M226" s="1">
        <v>43974</v>
      </c>
      <c r="N226" s="1">
        <v>43974</v>
      </c>
      <c r="O226">
        <v>225</v>
      </c>
      <c r="P226">
        <v>5</v>
      </c>
      <c r="Q226" t="s">
        <v>34</v>
      </c>
      <c r="R226" s="3">
        <v>0.09</v>
      </c>
      <c r="S226" s="2">
        <v>106.31519999999999</v>
      </c>
      <c r="T226">
        <v>1</v>
      </c>
      <c r="U226" t="str">
        <f t="shared" si="11"/>
        <v>Maio</v>
      </c>
    </row>
    <row r="227" spans="1:21">
      <c r="A227">
        <v>226</v>
      </c>
      <c r="B227" s="1">
        <v>43960</v>
      </c>
      <c r="C227" s="1" t="str">
        <f t="shared" si="9"/>
        <v>maio</v>
      </c>
      <c r="D227">
        <v>8</v>
      </c>
      <c r="E227" t="s">
        <v>38</v>
      </c>
      <c r="F227" t="s">
        <v>24</v>
      </c>
      <c r="G227" s="8">
        <v>33</v>
      </c>
      <c r="H227" s="2">
        <v>107</v>
      </c>
      <c r="I227" s="2">
        <v>3531</v>
      </c>
      <c r="J227" s="4">
        <v>7.0000000000000007E-2</v>
      </c>
      <c r="K227" s="2">
        <v>3283.83</v>
      </c>
      <c r="L227" s="2">
        <f t="shared" si="10"/>
        <v>247.17000000000007</v>
      </c>
      <c r="M227" s="1">
        <v>43972</v>
      </c>
      <c r="N227" s="1">
        <v>43972</v>
      </c>
      <c r="O227">
        <v>226</v>
      </c>
      <c r="P227">
        <v>2</v>
      </c>
      <c r="Q227" t="s">
        <v>69</v>
      </c>
      <c r="R227" s="3">
        <v>0.08</v>
      </c>
      <c r="S227" s="2">
        <v>262.70639999999997</v>
      </c>
      <c r="T227">
        <v>2</v>
      </c>
      <c r="U227" t="str">
        <f t="shared" si="11"/>
        <v>Maio</v>
      </c>
    </row>
    <row r="228" spans="1:21">
      <c r="A228">
        <v>227</v>
      </c>
      <c r="B228" s="1">
        <v>43960</v>
      </c>
      <c r="C228" s="1" t="str">
        <f t="shared" si="9"/>
        <v>maio</v>
      </c>
      <c r="D228">
        <v>93</v>
      </c>
      <c r="E228" t="s">
        <v>33</v>
      </c>
      <c r="F228" t="s">
        <v>55</v>
      </c>
      <c r="G228" s="8">
        <v>16</v>
      </c>
      <c r="H228" s="2">
        <v>92</v>
      </c>
      <c r="I228" s="2">
        <v>1472</v>
      </c>
      <c r="J228" s="4">
        <v>0.01</v>
      </c>
      <c r="K228" s="2">
        <v>1457.28</v>
      </c>
      <c r="L228" s="2">
        <f t="shared" si="10"/>
        <v>14.720000000000027</v>
      </c>
      <c r="M228" s="1">
        <v>43982</v>
      </c>
      <c r="N228" s="1">
        <v>43982</v>
      </c>
      <c r="O228">
        <v>227</v>
      </c>
      <c r="P228">
        <v>1</v>
      </c>
      <c r="Q228" t="s">
        <v>29</v>
      </c>
      <c r="R228" s="3">
        <v>0.05</v>
      </c>
      <c r="S228" s="2">
        <v>72.864000000000004</v>
      </c>
      <c r="T228">
        <v>3</v>
      </c>
      <c r="U228" t="str">
        <f t="shared" si="11"/>
        <v>Maio</v>
      </c>
    </row>
    <row r="229" spans="1:21">
      <c r="A229">
        <v>228</v>
      </c>
      <c r="B229" s="1">
        <v>43961</v>
      </c>
      <c r="C229" s="1" t="str">
        <f t="shared" si="9"/>
        <v>maio</v>
      </c>
      <c r="D229">
        <v>72</v>
      </c>
      <c r="E229" t="s">
        <v>38</v>
      </c>
      <c r="F229" t="s">
        <v>55</v>
      </c>
      <c r="G229" s="8">
        <v>35</v>
      </c>
      <c r="H229" s="2">
        <v>91</v>
      </c>
      <c r="I229" s="2">
        <v>3185</v>
      </c>
      <c r="J229" s="4">
        <v>0.05</v>
      </c>
      <c r="K229" s="2">
        <v>3025.75</v>
      </c>
      <c r="L229" s="2">
        <f t="shared" si="10"/>
        <v>159.25</v>
      </c>
      <c r="M229" s="1">
        <v>43974</v>
      </c>
      <c r="N229" s="1">
        <v>43974</v>
      </c>
      <c r="O229">
        <v>228</v>
      </c>
      <c r="P229">
        <v>3</v>
      </c>
      <c r="Q229" t="s">
        <v>37</v>
      </c>
      <c r="R229" s="3">
        <v>0.1</v>
      </c>
      <c r="S229" s="2">
        <v>302.57499999999999</v>
      </c>
      <c r="T229">
        <v>4</v>
      </c>
      <c r="U229" t="str">
        <f t="shared" si="11"/>
        <v>Maio</v>
      </c>
    </row>
    <row r="230" spans="1:21">
      <c r="A230">
        <v>229</v>
      </c>
      <c r="B230" s="1">
        <v>43961</v>
      </c>
      <c r="C230" s="1" t="str">
        <f t="shared" si="9"/>
        <v>maio</v>
      </c>
      <c r="D230">
        <v>13</v>
      </c>
      <c r="E230" t="s">
        <v>75</v>
      </c>
      <c r="F230" t="s">
        <v>31</v>
      </c>
      <c r="G230" s="8">
        <v>10</v>
      </c>
      <c r="H230" s="2">
        <v>97</v>
      </c>
      <c r="I230" s="2">
        <v>970</v>
      </c>
      <c r="J230" s="4">
        <v>0.11</v>
      </c>
      <c r="K230" s="2">
        <v>863.3</v>
      </c>
      <c r="L230" s="2">
        <f t="shared" si="10"/>
        <v>106.70000000000005</v>
      </c>
      <c r="M230" s="1">
        <v>43983</v>
      </c>
      <c r="N230" s="1">
        <v>43983</v>
      </c>
      <c r="O230">
        <v>229</v>
      </c>
      <c r="P230">
        <v>4</v>
      </c>
      <c r="Q230" t="s">
        <v>43</v>
      </c>
      <c r="R230" s="3">
        <v>0.05</v>
      </c>
      <c r="S230" s="2">
        <v>43.164999999999999</v>
      </c>
      <c r="T230">
        <v>5</v>
      </c>
      <c r="U230" t="str">
        <f t="shared" si="11"/>
        <v>Maio</v>
      </c>
    </row>
    <row r="231" spans="1:21">
      <c r="A231">
        <v>230</v>
      </c>
      <c r="B231" s="1">
        <v>43961</v>
      </c>
      <c r="C231" s="1" t="str">
        <f t="shared" si="9"/>
        <v>maio</v>
      </c>
      <c r="D231">
        <v>39</v>
      </c>
      <c r="E231" t="s">
        <v>38</v>
      </c>
      <c r="F231" t="s">
        <v>24</v>
      </c>
      <c r="G231" s="8">
        <v>50</v>
      </c>
      <c r="H231" s="2">
        <v>114</v>
      </c>
      <c r="I231" s="2">
        <v>5700</v>
      </c>
      <c r="J231" s="4">
        <v>0.08</v>
      </c>
      <c r="K231" s="2">
        <v>5244</v>
      </c>
      <c r="L231" s="2">
        <f t="shared" si="10"/>
        <v>456</v>
      </c>
      <c r="M231" s="1">
        <v>43971</v>
      </c>
      <c r="N231" s="1">
        <v>43971</v>
      </c>
      <c r="O231">
        <v>230</v>
      </c>
      <c r="P231">
        <v>4</v>
      </c>
      <c r="Q231" t="s">
        <v>29</v>
      </c>
      <c r="R231" s="3">
        <v>0.09</v>
      </c>
      <c r="S231" s="2">
        <v>471.96</v>
      </c>
      <c r="T231">
        <v>6</v>
      </c>
      <c r="U231" t="str">
        <f t="shared" si="11"/>
        <v>Maio</v>
      </c>
    </row>
    <row r="232" spans="1:21">
      <c r="A232">
        <v>231</v>
      </c>
      <c r="B232" s="1">
        <v>43961</v>
      </c>
      <c r="C232" s="1" t="str">
        <f t="shared" si="9"/>
        <v>maio</v>
      </c>
      <c r="D232">
        <v>72</v>
      </c>
      <c r="E232" t="s">
        <v>38</v>
      </c>
      <c r="F232" t="s">
        <v>31</v>
      </c>
      <c r="G232" s="8">
        <v>41</v>
      </c>
      <c r="H232" s="2">
        <v>118</v>
      </c>
      <c r="I232" s="2">
        <v>4838</v>
      </c>
      <c r="J232" s="4">
        <v>0.13</v>
      </c>
      <c r="K232" s="2">
        <v>4209.0599999999995</v>
      </c>
      <c r="L232" s="2">
        <f t="shared" si="10"/>
        <v>628.94000000000051</v>
      </c>
      <c r="M232" s="1">
        <v>43981</v>
      </c>
      <c r="N232" s="1">
        <v>43981</v>
      </c>
      <c r="O232">
        <v>231</v>
      </c>
      <c r="P232">
        <v>3</v>
      </c>
      <c r="Q232" t="s">
        <v>29</v>
      </c>
      <c r="R232" s="3">
        <v>0.06</v>
      </c>
      <c r="S232" s="2">
        <v>252.54359999999997</v>
      </c>
      <c r="T232">
        <v>7</v>
      </c>
      <c r="U232" t="str">
        <f t="shared" si="11"/>
        <v>Maio</v>
      </c>
    </row>
    <row r="233" spans="1:21">
      <c r="A233">
        <v>232</v>
      </c>
      <c r="B233" s="1">
        <v>43962</v>
      </c>
      <c r="C233" s="1" t="str">
        <f t="shared" si="9"/>
        <v>maio</v>
      </c>
      <c r="D233">
        <v>3</v>
      </c>
      <c r="E233" t="s">
        <v>91</v>
      </c>
      <c r="F233" t="s">
        <v>59</v>
      </c>
      <c r="G233" s="8">
        <v>35</v>
      </c>
      <c r="H233" s="2">
        <v>91</v>
      </c>
      <c r="I233" s="2">
        <v>3185</v>
      </c>
      <c r="J233" s="4">
        <v>0.09</v>
      </c>
      <c r="K233" s="2">
        <v>2898.35</v>
      </c>
      <c r="L233" s="2">
        <f t="shared" si="10"/>
        <v>286.65000000000009</v>
      </c>
      <c r="M233" s="1">
        <v>43987</v>
      </c>
      <c r="N233" s="1">
        <v>43987</v>
      </c>
      <c r="O233">
        <v>232</v>
      </c>
      <c r="P233">
        <v>1</v>
      </c>
      <c r="Q233" t="s">
        <v>29</v>
      </c>
      <c r="R233" s="3">
        <v>0.06</v>
      </c>
      <c r="S233" s="2">
        <v>173.90099999999998</v>
      </c>
      <c r="T233">
        <v>1</v>
      </c>
      <c r="U233" t="str">
        <f t="shared" si="11"/>
        <v>Maio</v>
      </c>
    </row>
    <row r="234" spans="1:21">
      <c r="A234">
        <v>233</v>
      </c>
      <c r="B234" s="1">
        <v>43962</v>
      </c>
      <c r="C234" s="1" t="str">
        <f t="shared" si="9"/>
        <v>maio</v>
      </c>
      <c r="D234">
        <v>44</v>
      </c>
      <c r="E234" t="s">
        <v>71</v>
      </c>
      <c r="F234" t="s">
        <v>28</v>
      </c>
      <c r="G234" s="8">
        <v>15</v>
      </c>
      <c r="H234" s="2">
        <v>106</v>
      </c>
      <c r="I234" s="2">
        <v>1590</v>
      </c>
      <c r="J234" s="4">
        <v>0.1</v>
      </c>
      <c r="K234" s="2">
        <v>1431</v>
      </c>
      <c r="L234" s="2">
        <f t="shared" si="10"/>
        <v>159</v>
      </c>
      <c r="M234" s="1">
        <v>43977</v>
      </c>
      <c r="N234" s="1">
        <v>43977</v>
      </c>
      <c r="O234">
        <v>233</v>
      </c>
      <c r="P234">
        <v>4</v>
      </c>
      <c r="Q234" t="s">
        <v>43</v>
      </c>
      <c r="R234" s="3">
        <v>0.05</v>
      </c>
      <c r="S234" s="2">
        <v>71.55</v>
      </c>
      <c r="T234">
        <v>2</v>
      </c>
      <c r="U234" t="str">
        <f t="shared" si="11"/>
        <v>Maio</v>
      </c>
    </row>
    <row r="235" spans="1:21">
      <c r="A235">
        <v>234</v>
      </c>
      <c r="B235" s="1">
        <v>43963</v>
      </c>
      <c r="C235" s="1" t="str">
        <f t="shared" si="9"/>
        <v>maio</v>
      </c>
      <c r="D235">
        <v>32</v>
      </c>
      <c r="E235" t="s">
        <v>77</v>
      </c>
      <c r="F235" t="s">
        <v>28</v>
      </c>
      <c r="G235" s="8">
        <v>31</v>
      </c>
      <c r="H235" s="2">
        <v>118</v>
      </c>
      <c r="I235" s="2">
        <v>3658</v>
      </c>
      <c r="J235" s="4">
        <v>7.0000000000000007E-2</v>
      </c>
      <c r="K235" s="2">
        <v>3401.94</v>
      </c>
      <c r="L235" s="2">
        <f t="shared" si="10"/>
        <v>256.05999999999995</v>
      </c>
      <c r="M235" s="1">
        <v>43990</v>
      </c>
      <c r="N235" s="1">
        <v>43990</v>
      </c>
      <c r="O235">
        <v>234</v>
      </c>
      <c r="P235">
        <v>3</v>
      </c>
      <c r="Q235" t="s">
        <v>47</v>
      </c>
      <c r="R235" s="3">
        <v>0.1</v>
      </c>
      <c r="S235" s="2">
        <v>340.19400000000002</v>
      </c>
      <c r="T235">
        <v>3</v>
      </c>
      <c r="U235" t="str">
        <f t="shared" si="11"/>
        <v>Maio</v>
      </c>
    </row>
    <row r="236" spans="1:21">
      <c r="A236">
        <v>235</v>
      </c>
      <c r="B236" s="1">
        <v>43963</v>
      </c>
      <c r="C236" s="1" t="str">
        <f t="shared" si="9"/>
        <v>maio</v>
      </c>
      <c r="D236">
        <v>47</v>
      </c>
      <c r="E236" t="s">
        <v>40</v>
      </c>
      <c r="F236" t="s">
        <v>41</v>
      </c>
      <c r="G236" s="8">
        <v>35</v>
      </c>
      <c r="H236" s="2">
        <v>103</v>
      </c>
      <c r="I236" s="2">
        <v>3605</v>
      </c>
      <c r="J236" s="4">
        <v>7.0000000000000007E-2</v>
      </c>
      <c r="K236" s="2">
        <v>3352.65</v>
      </c>
      <c r="L236" s="2">
        <f t="shared" si="10"/>
        <v>252.34999999999991</v>
      </c>
      <c r="M236" s="1">
        <v>43981</v>
      </c>
      <c r="N236" s="1">
        <v>43981</v>
      </c>
      <c r="O236">
        <v>235</v>
      </c>
      <c r="P236">
        <v>1</v>
      </c>
      <c r="Q236" t="s">
        <v>37</v>
      </c>
      <c r="R236" s="3">
        <v>0.08</v>
      </c>
      <c r="S236" s="2">
        <v>268.21199999999999</v>
      </c>
      <c r="T236">
        <v>4</v>
      </c>
      <c r="U236" t="str">
        <f t="shared" si="11"/>
        <v>Maio</v>
      </c>
    </row>
    <row r="237" spans="1:21">
      <c r="A237">
        <v>236</v>
      </c>
      <c r="B237" s="1">
        <v>43964</v>
      </c>
      <c r="C237" s="1" t="str">
        <f t="shared" si="9"/>
        <v>maio</v>
      </c>
      <c r="D237">
        <v>29</v>
      </c>
      <c r="E237" t="s">
        <v>98</v>
      </c>
      <c r="F237" t="s">
        <v>50</v>
      </c>
      <c r="G237" s="8">
        <v>17</v>
      </c>
      <c r="H237" s="2">
        <v>100</v>
      </c>
      <c r="I237" s="2">
        <v>1700</v>
      </c>
      <c r="J237" s="4">
        <v>0.11</v>
      </c>
      <c r="K237" s="2">
        <v>1513</v>
      </c>
      <c r="L237" s="2">
        <f t="shared" si="10"/>
        <v>187</v>
      </c>
      <c r="M237" s="1">
        <v>43964</v>
      </c>
      <c r="N237" s="1">
        <v>43964</v>
      </c>
      <c r="O237">
        <v>236</v>
      </c>
      <c r="P237">
        <v>1</v>
      </c>
      <c r="Q237" t="s">
        <v>52</v>
      </c>
      <c r="R237" s="3">
        <v>7.0000000000000007E-2</v>
      </c>
      <c r="S237" s="2">
        <v>105.91000000000001</v>
      </c>
      <c r="T237">
        <v>5</v>
      </c>
      <c r="U237" t="str">
        <f t="shared" si="11"/>
        <v>Maio</v>
      </c>
    </row>
    <row r="238" spans="1:21">
      <c r="A238">
        <v>237</v>
      </c>
      <c r="B238" s="1">
        <v>43964</v>
      </c>
      <c r="C238" s="1" t="str">
        <f t="shared" si="9"/>
        <v>maio</v>
      </c>
      <c r="D238">
        <v>11</v>
      </c>
      <c r="E238" t="s">
        <v>60</v>
      </c>
      <c r="F238" t="s">
        <v>28</v>
      </c>
      <c r="G238" s="8">
        <v>40</v>
      </c>
      <c r="H238" s="2">
        <v>116</v>
      </c>
      <c r="I238" s="2">
        <v>4640</v>
      </c>
      <c r="J238" s="4">
        <v>0.02</v>
      </c>
      <c r="K238" s="2">
        <v>4547.2</v>
      </c>
      <c r="L238" s="2">
        <f t="shared" si="10"/>
        <v>92.800000000000182</v>
      </c>
      <c r="M238" s="1">
        <v>43973</v>
      </c>
      <c r="N238" s="1">
        <v>43973</v>
      </c>
      <c r="O238">
        <v>237</v>
      </c>
      <c r="P238">
        <v>6</v>
      </c>
      <c r="Q238" t="s">
        <v>32</v>
      </c>
      <c r="R238" s="3">
        <v>0.05</v>
      </c>
      <c r="S238" s="2">
        <v>227.36</v>
      </c>
      <c r="T238">
        <v>6</v>
      </c>
      <c r="U238" t="str">
        <f t="shared" si="11"/>
        <v>Maio</v>
      </c>
    </row>
    <row r="239" spans="1:21">
      <c r="A239">
        <v>238</v>
      </c>
      <c r="B239" s="1">
        <v>43964</v>
      </c>
      <c r="C239" s="1" t="str">
        <f t="shared" si="9"/>
        <v>maio</v>
      </c>
      <c r="D239">
        <v>66</v>
      </c>
      <c r="E239" t="s">
        <v>30</v>
      </c>
      <c r="F239" t="s">
        <v>24</v>
      </c>
      <c r="G239" s="8">
        <v>46</v>
      </c>
      <c r="H239" s="2">
        <v>113</v>
      </c>
      <c r="I239" s="2">
        <v>5198</v>
      </c>
      <c r="J239" s="4">
        <v>0.01</v>
      </c>
      <c r="K239" s="2">
        <v>5146.0200000000004</v>
      </c>
      <c r="L239" s="2">
        <f t="shared" si="10"/>
        <v>51.979999999999563</v>
      </c>
      <c r="M239" s="1">
        <v>43974</v>
      </c>
      <c r="N239" s="1">
        <v>43974</v>
      </c>
      <c r="O239">
        <v>238</v>
      </c>
      <c r="P239">
        <v>7</v>
      </c>
      <c r="Q239" t="s">
        <v>29</v>
      </c>
      <c r="R239" s="3">
        <v>7.0000000000000007E-2</v>
      </c>
      <c r="S239" s="2">
        <v>360.22140000000007</v>
      </c>
      <c r="T239">
        <v>7</v>
      </c>
      <c r="U239" t="str">
        <f t="shared" si="11"/>
        <v>Maio</v>
      </c>
    </row>
    <row r="240" spans="1:21">
      <c r="A240">
        <v>239</v>
      </c>
      <c r="B240" s="1">
        <v>43965</v>
      </c>
      <c r="C240" s="1" t="str">
        <f t="shared" si="9"/>
        <v>maio</v>
      </c>
      <c r="D240">
        <v>17</v>
      </c>
      <c r="E240" t="s">
        <v>67</v>
      </c>
      <c r="F240" t="s">
        <v>55</v>
      </c>
      <c r="G240" s="8">
        <v>31</v>
      </c>
      <c r="H240" s="2">
        <v>96</v>
      </c>
      <c r="I240" s="2">
        <v>2976</v>
      </c>
      <c r="J240" s="4">
        <v>0.11</v>
      </c>
      <c r="K240" s="2">
        <v>2648.64</v>
      </c>
      <c r="L240" s="2">
        <f t="shared" si="10"/>
        <v>327.36000000000013</v>
      </c>
      <c r="M240" s="1">
        <v>43987</v>
      </c>
      <c r="N240" s="1">
        <v>43987</v>
      </c>
      <c r="O240">
        <v>239</v>
      </c>
      <c r="P240">
        <v>4</v>
      </c>
      <c r="Q240" t="s">
        <v>32</v>
      </c>
      <c r="R240" s="3">
        <v>0.1</v>
      </c>
      <c r="S240" s="2">
        <v>264.86399999999998</v>
      </c>
      <c r="T240">
        <v>1</v>
      </c>
      <c r="U240" t="str">
        <f t="shared" si="11"/>
        <v>Maio</v>
      </c>
    </row>
    <row r="241" spans="1:21">
      <c r="A241">
        <v>240</v>
      </c>
      <c r="B241" s="1">
        <v>43965</v>
      </c>
      <c r="C241" s="1" t="str">
        <f t="shared" si="9"/>
        <v>maio</v>
      </c>
      <c r="D241">
        <v>12</v>
      </c>
      <c r="E241" t="s">
        <v>45</v>
      </c>
      <c r="F241" t="s">
        <v>50</v>
      </c>
      <c r="G241" s="8">
        <v>45</v>
      </c>
      <c r="H241" s="2">
        <v>119</v>
      </c>
      <c r="I241" s="2">
        <v>5355</v>
      </c>
      <c r="J241" s="4">
        <v>0.05</v>
      </c>
      <c r="K241" s="2">
        <v>5087.25</v>
      </c>
      <c r="L241" s="2">
        <f t="shared" si="10"/>
        <v>267.75</v>
      </c>
      <c r="M241" s="1">
        <v>43982</v>
      </c>
      <c r="N241" s="1">
        <v>43982</v>
      </c>
      <c r="O241">
        <v>240</v>
      </c>
      <c r="P241">
        <v>7</v>
      </c>
      <c r="Q241" t="s">
        <v>47</v>
      </c>
      <c r="R241" s="3">
        <v>0.05</v>
      </c>
      <c r="S241" s="2">
        <v>254.36250000000001</v>
      </c>
      <c r="T241">
        <v>2</v>
      </c>
      <c r="U241" t="str">
        <f t="shared" si="11"/>
        <v>Maio</v>
      </c>
    </row>
    <row r="242" spans="1:21">
      <c r="A242">
        <v>241</v>
      </c>
      <c r="B242" s="1">
        <v>43965</v>
      </c>
      <c r="C242" s="1" t="str">
        <f t="shared" si="9"/>
        <v>maio</v>
      </c>
      <c r="D242">
        <v>94</v>
      </c>
      <c r="E242" t="s">
        <v>49</v>
      </c>
      <c r="F242" t="s">
        <v>31</v>
      </c>
      <c r="G242" s="8">
        <v>41</v>
      </c>
      <c r="H242" s="2">
        <v>91</v>
      </c>
      <c r="I242" s="2">
        <v>3731</v>
      </c>
      <c r="J242" s="4">
        <v>0.11</v>
      </c>
      <c r="K242" s="2">
        <v>3320.59</v>
      </c>
      <c r="L242" s="2">
        <f t="shared" si="10"/>
        <v>410.40999999999985</v>
      </c>
      <c r="M242" s="1">
        <v>43983</v>
      </c>
      <c r="N242" s="1">
        <v>43983</v>
      </c>
      <c r="O242">
        <v>241</v>
      </c>
      <c r="P242">
        <v>5</v>
      </c>
      <c r="Q242" t="s">
        <v>29</v>
      </c>
      <c r="R242" s="3">
        <v>0.05</v>
      </c>
      <c r="S242" s="2">
        <v>166.02950000000001</v>
      </c>
      <c r="T242">
        <v>3</v>
      </c>
      <c r="U242" t="str">
        <f t="shared" si="11"/>
        <v>Maio</v>
      </c>
    </row>
    <row r="243" spans="1:21">
      <c r="A243">
        <v>242</v>
      </c>
      <c r="B243" s="1">
        <v>43966</v>
      </c>
      <c r="C243" s="1" t="str">
        <f t="shared" si="9"/>
        <v>maio</v>
      </c>
      <c r="D243">
        <v>60</v>
      </c>
      <c r="E243" t="s">
        <v>82</v>
      </c>
      <c r="F243" t="s">
        <v>54</v>
      </c>
      <c r="G243" s="8">
        <v>21</v>
      </c>
      <c r="H243" s="2">
        <v>107</v>
      </c>
      <c r="I243" s="2">
        <v>2247</v>
      </c>
      <c r="J243" s="4">
        <v>0.09</v>
      </c>
      <c r="K243" s="2">
        <v>2044.77</v>
      </c>
      <c r="L243" s="2">
        <f t="shared" si="10"/>
        <v>202.23000000000002</v>
      </c>
      <c r="M243" s="1">
        <v>43989</v>
      </c>
      <c r="N243" s="1">
        <v>43989</v>
      </c>
      <c r="O243">
        <v>242</v>
      </c>
      <c r="P243">
        <v>7</v>
      </c>
      <c r="Q243" t="s">
        <v>69</v>
      </c>
      <c r="R243" s="3">
        <v>0.1</v>
      </c>
      <c r="S243" s="2">
        <v>204.477</v>
      </c>
      <c r="T243">
        <v>4</v>
      </c>
      <c r="U243" t="str">
        <f t="shared" si="11"/>
        <v>Maio</v>
      </c>
    </row>
    <row r="244" spans="1:21">
      <c r="A244">
        <v>243</v>
      </c>
      <c r="B244" s="1">
        <v>43966</v>
      </c>
      <c r="C244" s="1" t="str">
        <f t="shared" si="9"/>
        <v>maio</v>
      </c>
      <c r="D244">
        <v>70</v>
      </c>
      <c r="E244" t="s">
        <v>67</v>
      </c>
      <c r="F244" t="s">
        <v>54</v>
      </c>
      <c r="G244" s="8">
        <v>50</v>
      </c>
      <c r="H244" s="2">
        <v>98</v>
      </c>
      <c r="I244" s="2">
        <v>4900</v>
      </c>
      <c r="J244" s="4">
        <v>0.13</v>
      </c>
      <c r="K244" s="2">
        <v>4263</v>
      </c>
      <c r="L244" s="2">
        <f t="shared" si="10"/>
        <v>637</v>
      </c>
      <c r="M244" s="1">
        <v>43978</v>
      </c>
      <c r="N244" s="1">
        <v>43978</v>
      </c>
      <c r="O244">
        <v>243</v>
      </c>
      <c r="P244">
        <v>3</v>
      </c>
      <c r="Q244" t="s">
        <v>22</v>
      </c>
      <c r="R244" s="3">
        <v>0.1</v>
      </c>
      <c r="S244" s="2">
        <v>426.3</v>
      </c>
      <c r="T244">
        <v>5</v>
      </c>
      <c r="U244" t="str">
        <f t="shared" si="11"/>
        <v>Maio</v>
      </c>
    </row>
    <row r="245" spans="1:21">
      <c r="A245">
        <v>244</v>
      </c>
      <c r="B245" s="1">
        <v>43966</v>
      </c>
      <c r="C245" s="1" t="str">
        <f t="shared" si="9"/>
        <v>maio</v>
      </c>
      <c r="D245">
        <v>41</v>
      </c>
      <c r="E245" t="s">
        <v>68</v>
      </c>
      <c r="F245" t="s">
        <v>31</v>
      </c>
      <c r="G245" s="8">
        <v>16</v>
      </c>
      <c r="H245" s="2">
        <v>107</v>
      </c>
      <c r="I245" s="2">
        <v>1712</v>
      </c>
      <c r="J245" s="4">
        <v>0.04</v>
      </c>
      <c r="K245" s="2">
        <v>1643.52</v>
      </c>
      <c r="L245" s="2">
        <f t="shared" si="10"/>
        <v>68.480000000000018</v>
      </c>
      <c r="M245" s="1">
        <v>43988</v>
      </c>
      <c r="N245" s="1">
        <v>43988</v>
      </c>
      <c r="O245">
        <v>244</v>
      </c>
      <c r="P245">
        <v>4</v>
      </c>
      <c r="Q245" t="s">
        <v>47</v>
      </c>
      <c r="R245" s="3">
        <v>0.08</v>
      </c>
      <c r="S245" s="2">
        <v>131.48160000000001</v>
      </c>
      <c r="T245">
        <v>6</v>
      </c>
      <c r="U245" t="str">
        <f t="shared" si="11"/>
        <v>Maio</v>
      </c>
    </row>
    <row r="246" spans="1:21">
      <c r="A246">
        <v>245</v>
      </c>
      <c r="B246" s="1">
        <v>43967</v>
      </c>
      <c r="C246" s="1" t="str">
        <f t="shared" si="9"/>
        <v>maio</v>
      </c>
      <c r="D246">
        <v>46</v>
      </c>
      <c r="E246" t="s">
        <v>94</v>
      </c>
      <c r="F246" t="s">
        <v>24</v>
      </c>
      <c r="G246" s="8">
        <v>38</v>
      </c>
      <c r="H246" s="2">
        <v>113</v>
      </c>
      <c r="I246" s="2">
        <v>4294</v>
      </c>
      <c r="J246" s="4">
        <v>0.11</v>
      </c>
      <c r="K246" s="2">
        <v>3821.66</v>
      </c>
      <c r="L246" s="2">
        <f t="shared" si="10"/>
        <v>472.34000000000015</v>
      </c>
      <c r="M246" s="1">
        <v>43970</v>
      </c>
      <c r="N246" s="1">
        <v>43970</v>
      </c>
      <c r="O246">
        <v>245</v>
      </c>
      <c r="P246">
        <v>6</v>
      </c>
      <c r="Q246" t="s">
        <v>32</v>
      </c>
      <c r="R246" s="3">
        <v>0.05</v>
      </c>
      <c r="S246" s="2">
        <v>191.083</v>
      </c>
      <c r="T246">
        <v>7</v>
      </c>
      <c r="U246" t="str">
        <f t="shared" si="11"/>
        <v>Maio</v>
      </c>
    </row>
    <row r="247" spans="1:21">
      <c r="A247">
        <v>246</v>
      </c>
      <c r="B247" s="1">
        <v>43967</v>
      </c>
      <c r="C247" s="1" t="str">
        <f t="shared" si="9"/>
        <v>maio</v>
      </c>
      <c r="D247">
        <v>61</v>
      </c>
      <c r="E247" t="s">
        <v>56</v>
      </c>
      <c r="F247" t="s">
        <v>46</v>
      </c>
      <c r="G247" s="8">
        <v>32</v>
      </c>
      <c r="H247" s="2">
        <v>98</v>
      </c>
      <c r="I247" s="2">
        <v>3136</v>
      </c>
      <c r="J247" s="4">
        <v>0.13</v>
      </c>
      <c r="K247" s="2">
        <v>2728.32</v>
      </c>
      <c r="L247" s="2">
        <f t="shared" si="10"/>
        <v>407.67999999999984</v>
      </c>
      <c r="M247" s="1">
        <v>43976</v>
      </c>
      <c r="N247" s="1">
        <v>43976</v>
      </c>
      <c r="O247">
        <v>246</v>
      </c>
      <c r="P247">
        <v>7</v>
      </c>
      <c r="Q247" t="s">
        <v>25</v>
      </c>
      <c r="R247" s="3">
        <v>7.0000000000000007E-2</v>
      </c>
      <c r="S247" s="2">
        <v>190.98240000000004</v>
      </c>
      <c r="T247">
        <v>1</v>
      </c>
      <c r="U247" t="str">
        <f t="shared" si="11"/>
        <v>Maio</v>
      </c>
    </row>
    <row r="248" spans="1:21">
      <c r="A248">
        <v>247</v>
      </c>
      <c r="B248" s="1">
        <v>43968</v>
      </c>
      <c r="C248" s="1" t="str">
        <f t="shared" si="9"/>
        <v>maio</v>
      </c>
      <c r="D248">
        <v>14</v>
      </c>
      <c r="E248" t="s">
        <v>27</v>
      </c>
      <c r="F248" t="s">
        <v>59</v>
      </c>
      <c r="G248" s="8">
        <v>11</v>
      </c>
      <c r="H248" s="2">
        <v>100</v>
      </c>
      <c r="I248" s="2">
        <v>1100</v>
      </c>
      <c r="J248" s="4">
        <v>0.12</v>
      </c>
      <c r="K248" s="2">
        <v>968</v>
      </c>
      <c r="L248" s="2">
        <f t="shared" si="10"/>
        <v>132</v>
      </c>
      <c r="M248" s="1">
        <v>43991</v>
      </c>
      <c r="N248" s="1">
        <v>43991</v>
      </c>
      <c r="O248">
        <v>247</v>
      </c>
      <c r="P248">
        <v>4</v>
      </c>
      <c r="Q248" t="s">
        <v>25</v>
      </c>
      <c r="R248" s="3">
        <v>0.09</v>
      </c>
      <c r="S248" s="2">
        <v>87.11999999999999</v>
      </c>
      <c r="T248">
        <v>2</v>
      </c>
      <c r="U248" t="str">
        <f t="shared" si="11"/>
        <v>Maio</v>
      </c>
    </row>
    <row r="249" spans="1:21">
      <c r="A249">
        <v>248</v>
      </c>
      <c r="B249" s="1">
        <v>43968</v>
      </c>
      <c r="C249" s="1" t="str">
        <f t="shared" si="9"/>
        <v>maio</v>
      </c>
      <c r="D249">
        <v>77</v>
      </c>
      <c r="E249" t="s">
        <v>65</v>
      </c>
      <c r="F249" t="s">
        <v>54</v>
      </c>
      <c r="G249" s="8">
        <v>33</v>
      </c>
      <c r="H249" s="2">
        <v>117</v>
      </c>
      <c r="I249" s="2">
        <v>3861</v>
      </c>
      <c r="J249" s="4">
        <v>0.04</v>
      </c>
      <c r="K249" s="2">
        <v>3706.56</v>
      </c>
      <c r="L249" s="2">
        <f t="shared" si="10"/>
        <v>154.44000000000005</v>
      </c>
      <c r="M249" s="1">
        <v>43996</v>
      </c>
      <c r="N249" s="1">
        <v>43996</v>
      </c>
      <c r="O249">
        <v>248</v>
      </c>
      <c r="P249">
        <v>7</v>
      </c>
      <c r="Q249" t="s">
        <v>34</v>
      </c>
      <c r="R249" s="3">
        <v>0.05</v>
      </c>
      <c r="S249" s="2">
        <v>185.328</v>
      </c>
      <c r="T249">
        <v>3</v>
      </c>
      <c r="U249" t="str">
        <f t="shared" si="11"/>
        <v>Maio</v>
      </c>
    </row>
    <row r="250" spans="1:21">
      <c r="A250">
        <v>249</v>
      </c>
      <c r="B250" s="1">
        <v>43970</v>
      </c>
      <c r="C250" s="1" t="str">
        <f t="shared" si="9"/>
        <v>maio</v>
      </c>
      <c r="D250">
        <v>69</v>
      </c>
      <c r="E250" t="s">
        <v>67</v>
      </c>
      <c r="F250" t="s">
        <v>31</v>
      </c>
      <c r="G250" s="8">
        <v>37</v>
      </c>
      <c r="H250" s="2">
        <v>102</v>
      </c>
      <c r="I250" s="2">
        <v>3774</v>
      </c>
      <c r="J250" s="4">
        <v>0.13</v>
      </c>
      <c r="K250" s="2">
        <v>3283.38</v>
      </c>
      <c r="L250" s="2">
        <f t="shared" si="10"/>
        <v>490.61999999999989</v>
      </c>
      <c r="M250" s="1">
        <v>43972</v>
      </c>
      <c r="N250" s="1">
        <v>43972</v>
      </c>
      <c r="O250">
        <v>249</v>
      </c>
      <c r="P250">
        <v>1</v>
      </c>
      <c r="Q250" t="s">
        <v>37</v>
      </c>
      <c r="R250" s="3">
        <v>0.05</v>
      </c>
      <c r="S250" s="2">
        <v>164.16900000000001</v>
      </c>
      <c r="T250">
        <v>4</v>
      </c>
      <c r="U250" t="str">
        <f t="shared" si="11"/>
        <v>Maio</v>
      </c>
    </row>
    <row r="251" spans="1:21">
      <c r="A251">
        <v>250</v>
      </c>
      <c r="B251" s="1">
        <v>43970</v>
      </c>
      <c r="C251" s="1" t="str">
        <f t="shared" si="9"/>
        <v>maio</v>
      </c>
      <c r="D251">
        <v>36</v>
      </c>
      <c r="E251" t="s">
        <v>70</v>
      </c>
      <c r="F251" t="s">
        <v>31</v>
      </c>
      <c r="G251" s="8">
        <v>25</v>
      </c>
      <c r="H251" s="2">
        <v>109</v>
      </c>
      <c r="I251" s="2">
        <v>2725</v>
      </c>
      <c r="J251" s="4">
        <v>0.1</v>
      </c>
      <c r="K251" s="2">
        <v>2452.5</v>
      </c>
      <c r="L251" s="2">
        <f t="shared" si="10"/>
        <v>272.5</v>
      </c>
      <c r="M251" s="1">
        <v>43997</v>
      </c>
      <c r="N251" s="1">
        <v>43997</v>
      </c>
      <c r="O251">
        <v>250</v>
      </c>
      <c r="P251">
        <v>7</v>
      </c>
      <c r="Q251" t="s">
        <v>52</v>
      </c>
      <c r="R251" s="3">
        <v>7.0000000000000007E-2</v>
      </c>
      <c r="S251" s="2">
        <v>171.67500000000001</v>
      </c>
      <c r="T251">
        <v>5</v>
      </c>
      <c r="U251" t="str">
        <f t="shared" si="11"/>
        <v>Maio</v>
      </c>
    </row>
    <row r="252" spans="1:21">
      <c r="A252">
        <v>251</v>
      </c>
      <c r="B252" s="1">
        <v>43970</v>
      </c>
      <c r="C252" s="1" t="str">
        <f t="shared" si="9"/>
        <v>maio</v>
      </c>
      <c r="D252">
        <v>61</v>
      </c>
      <c r="E252" t="s">
        <v>56</v>
      </c>
      <c r="F252" t="s">
        <v>28</v>
      </c>
      <c r="G252" s="8">
        <v>25</v>
      </c>
      <c r="H252" s="2">
        <v>114</v>
      </c>
      <c r="I252" s="2">
        <v>2850</v>
      </c>
      <c r="J252" s="4">
        <v>0.12</v>
      </c>
      <c r="K252" s="2">
        <v>2508</v>
      </c>
      <c r="L252" s="2">
        <f t="shared" si="10"/>
        <v>342</v>
      </c>
      <c r="M252" s="1">
        <v>43971</v>
      </c>
      <c r="N252" s="1">
        <v>43971</v>
      </c>
      <c r="O252">
        <v>251</v>
      </c>
      <c r="P252">
        <v>5</v>
      </c>
      <c r="Q252" t="s">
        <v>34</v>
      </c>
      <c r="R252" s="3">
        <v>0.08</v>
      </c>
      <c r="S252" s="2">
        <v>200.64000000000001</v>
      </c>
      <c r="T252">
        <v>6</v>
      </c>
      <c r="U252" t="str">
        <f t="shared" si="11"/>
        <v>Maio</v>
      </c>
    </row>
    <row r="253" spans="1:21">
      <c r="A253">
        <v>252</v>
      </c>
      <c r="B253" s="1">
        <v>43970</v>
      </c>
      <c r="C253" s="1" t="str">
        <f t="shared" si="9"/>
        <v>maio</v>
      </c>
      <c r="D253">
        <v>24</v>
      </c>
      <c r="E253" t="s">
        <v>74</v>
      </c>
      <c r="F253" t="s">
        <v>59</v>
      </c>
      <c r="G253" s="8">
        <v>36</v>
      </c>
      <c r="H253" s="2">
        <v>103</v>
      </c>
      <c r="I253" s="2">
        <v>3708</v>
      </c>
      <c r="J253" s="4">
        <v>0</v>
      </c>
      <c r="K253" s="2">
        <v>3708</v>
      </c>
      <c r="L253" s="2">
        <f t="shared" si="10"/>
        <v>0</v>
      </c>
      <c r="M253" s="1">
        <v>43972</v>
      </c>
      <c r="N253" s="1">
        <v>43972</v>
      </c>
      <c r="O253">
        <v>252</v>
      </c>
      <c r="P253">
        <v>7</v>
      </c>
      <c r="Q253" t="s">
        <v>47</v>
      </c>
      <c r="R253" s="3">
        <v>7.0000000000000007E-2</v>
      </c>
      <c r="S253" s="2">
        <v>259.56</v>
      </c>
      <c r="T253">
        <v>7</v>
      </c>
      <c r="U253" t="str">
        <f t="shared" si="11"/>
        <v>Maio</v>
      </c>
    </row>
    <row r="254" spans="1:21">
      <c r="A254">
        <v>253</v>
      </c>
      <c r="B254" s="1">
        <v>43971</v>
      </c>
      <c r="C254" s="1" t="str">
        <f t="shared" si="9"/>
        <v>maio</v>
      </c>
      <c r="D254">
        <v>72</v>
      </c>
      <c r="E254" t="s">
        <v>38</v>
      </c>
      <c r="F254" t="s">
        <v>41</v>
      </c>
      <c r="G254" s="8">
        <v>35</v>
      </c>
      <c r="H254" s="2">
        <v>120</v>
      </c>
      <c r="I254" s="2">
        <v>4200</v>
      </c>
      <c r="J254" s="4">
        <v>0.15</v>
      </c>
      <c r="K254" s="2">
        <v>3570</v>
      </c>
      <c r="L254" s="2">
        <f t="shared" si="10"/>
        <v>630</v>
      </c>
      <c r="M254" s="1">
        <v>43999</v>
      </c>
      <c r="N254" s="1">
        <v>43999</v>
      </c>
      <c r="O254">
        <v>253</v>
      </c>
      <c r="P254">
        <v>7</v>
      </c>
      <c r="Q254" t="s">
        <v>69</v>
      </c>
      <c r="R254" s="3">
        <v>7.0000000000000007E-2</v>
      </c>
      <c r="S254" s="2">
        <v>249.90000000000003</v>
      </c>
      <c r="T254">
        <v>1</v>
      </c>
      <c r="U254" t="str">
        <f t="shared" si="11"/>
        <v>Maio</v>
      </c>
    </row>
    <row r="255" spans="1:21">
      <c r="A255">
        <v>254</v>
      </c>
      <c r="B255" s="1">
        <v>43971</v>
      </c>
      <c r="C255" s="1" t="str">
        <f t="shared" si="9"/>
        <v>maio</v>
      </c>
      <c r="D255">
        <v>30</v>
      </c>
      <c r="E255" t="s">
        <v>96</v>
      </c>
      <c r="F255" t="s">
        <v>28</v>
      </c>
      <c r="G255" s="8">
        <v>37</v>
      </c>
      <c r="H255" s="2">
        <v>115</v>
      </c>
      <c r="I255" s="2">
        <v>4255</v>
      </c>
      <c r="J255" s="4">
        <v>0.15</v>
      </c>
      <c r="K255" s="2">
        <v>3616.75</v>
      </c>
      <c r="L255" s="2">
        <f t="shared" si="10"/>
        <v>638.25</v>
      </c>
      <c r="M255" s="1">
        <v>43988</v>
      </c>
      <c r="N255" s="1">
        <v>43988</v>
      </c>
      <c r="O255">
        <v>254</v>
      </c>
      <c r="P255">
        <v>1</v>
      </c>
      <c r="Q255" t="s">
        <v>29</v>
      </c>
      <c r="R255" s="3">
        <v>0.1</v>
      </c>
      <c r="S255" s="2">
        <v>361.67500000000001</v>
      </c>
      <c r="T255">
        <v>2</v>
      </c>
      <c r="U255" t="str">
        <f t="shared" si="11"/>
        <v>Maio</v>
      </c>
    </row>
    <row r="256" spans="1:21">
      <c r="A256">
        <v>255</v>
      </c>
      <c r="B256" s="1">
        <v>43972</v>
      </c>
      <c r="C256" s="1" t="str">
        <f t="shared" si="9"/>
        <v>maio</v>
      </c>
      <c r="D256">
        <v>43</v>
      </c>
      <c r="E256" t="s">
        <v>99</v>
      </c>
      <c r="F256" t="s">
        <v>28</v>
      </c>
      <c r="G256" s="8">
        <v>47</v>
      </c>
      <c r="H256" s="2">
        <v>98</v>
      </c>
      <c r="I256" s="2">
        <v>4606</v>
      </c>
      <c r="J256" s="4">
        <v>0.15</v>
      </c>
      <c r="K256" s="2">
        <v>3915.1</v>
      </c>
      <c r="L256" s="2">
        <f t="shared" si="10"/>
        <v>690.90000000000009</v>
      </c>
      <c r="M256" s="1">
        <v>43977</v>
      </c>
      <c r="N256" s="1">
        <v>43977</v>
      </c>
      <c r="O256">
        <v>255</v>
      </c>
      <c r="P256">
        <v>5</v>
      </c>
      <c r="Q256" t="s">
        <v>34</v>
      </c>
      <c r="R256" s="3">
        <v>0.1</v>
      </c>
      <c r="S256" s="2">
        <v>391.51</v>
      </c>
      <c r="T256">
        <v>3</v>
      </c>
      <c r="U256" t="str">
        <f t="shared" si="11"/>
        <v>Maio</v>
      </c>
    </row>
    <row r="257" spans="1:21">
      <c r="A257">
        <v>256</v>
      </c>
      <c r="B257" s="1">
        <v>43972</v>
      </c>
      <c r="C257" s="1" t="str">
        <f t="shared" si="9"/>
        <v>maio</v>
      </c>
      <c r="D257">
        <v>46</v>
      </c>
      <c r="E257" t="s">
        <v>94</v>
      </c>
      <c r="F257" t="s">
        <v>50</v>
      </c>
      <c r="G257" s="8">
        <v>30</v>
      </c>
      <c r="H257" s="2">
        <v>114</v>
      </c>
      <c r="I257" s="2">
        <v>3420</v>
      </c>
      <c r="J257" s="4">
        <v>0.12</v>
      </c>
      <c r="K257" s="2">
        <v>3009.6</v>
      </c>
      <c r="L257" s="2">
        <f t="shared" si="10"/>
        <v>410.40000000000009</v>
      </c>
      <c r="M257" s="1">
        <v>43978</v>
      </c>
      <c r="N257" s="1">
        <v>43978</v>
      </c>
      <c r="O257">
        <v>256</v>
      </c>
      <c r="P257">
        <v>6</v>
      </c>
      <c r="Q257" t="s">
        <v>52</v>
      </c>
      <c r="R257" s="3">
        <v>0.06</v>
      </c>
      <c r="S257" s="2">
        <v>180.57599999999999</v>
      </c>
      <c r="T257">
        <v>4</v>
      </c>
      <c r="U257" t="str">
        <f t="shared" si="11"/>
        <v>Maio</v>
      </c>
    </row>
    <row r="258" spans="1:21">
      <c r="A258">
        <v>257</v>
      </c>
      <c r="B258" s="1">
        <v>43972</v>
      </c>
      <c r="C258" s="1" t="str">
        <f t="shared" si="9"/>
        <v>maio</v>
      </c>
      <c r="D258">
        <v>31</v>
      </c>
      <c r="E258" t="s">
        <v>85</v>
      </c>
      <c r="F258" t="s">
        <v>31</v>
      </c>
      <c r="G258" s="8">
        <v>23</v>
      </c>
      <c r="H258" s="2">
        <v>95</v>
      </c>
      <c r="I258" s="2">
        <v>2185</v>
      </c>
      <c r="J258" s="4">
        <v>0.13</v>
      </c>
      <c r="K258" s="2">
        <v>1900.95</v>
      </c>
      <c r="L258" s="2">
        <f t="shared" si="10"/>
        <v>284.04999999999995</v>
      </c>
      <c r="M258" s="1">
        <v>43982</v>
      </c>
      <c r="N258" s="1">
        <v>43982</v>
      </c>
      <c r="O258">
        <v>257</v>
      </c>
      <c r="P258">
        <v>7</v>
      </c>
      <c r="Q258" t="s">
        <v>25</v>
      </c>
      <c r="R258" s="3">
        <v>0.05</v>
      </c>
      <c r="S258" s="2">
        <v>95.047500000000014</v>
      </c>
      <c r="T258">
        <v>5</v>
      </c>
      <c r="U258" t="str">
        <f t="shared" si="11"/>
        <v>Maio</v>
      </c>
    </row>
    <row r="259" spans="1:21">
      <c r="A259">
        <v>258</v>
      </c>
      <c r="B259" s="1">
        <v>43973</v>
      </c>
      <c r="C259" s="1" t="str">
        <f t="shared" ref="C259:C322" si="12">TEXT(B259,"mmmm")</f>
        <v>maio</v>
      </c>
      <c r="D259">
        <v>53</v>
      </c>
      <c r="E259" t="s">
        <v>88</v>
      </c>
      <c r="F259" t="s">
        <v>50</v>
      </c>
      <c r="G259" s="8">
        <v>11</v>
      </c>
      <c r="H259" s="2">
        <v>92</v>
      </c>
      <c r="I259" s="2">
        <v>1012</v>
      </c>
      <c r="J259" s="4">
        <v>0.02</v>
      </c>
      <c r="K259" s="2">
        <v>991.76</v>
      </c>
      <c r="L259" s="2">
        <f t="shared" ref="L259:L322" si="13">I259-K259</f>
        <v>20.240000000000009</v>
      </c>
      <c r="M259" s="1">
        <v>43978</v>
      </c>
      <c r="N259" s="1">
        <v>43978</v>
      </c>
      <c r="O259">
        <v>258</v>
      </c>
      <c r="P259">
        <v>5</v>
      </c>
      <c r="Q259" t="s">
        <v>37</v>
      </c>
      <c r="R259" s="3">
        <v>0.08</v>
      </c>
      <c r="S259" s="2">
        <v>79.340800000000002</v>
      </c>
      <c r="T259">
        <v>6</v>
      </c>
      <c r="U259" t="str">
        <f t="shared" ref="U259:U322" si="14">PROPER(TEXT(B259,"mmmm"))</f>
        <v>Maio</v>
      </c>
    </row>
    <row r="260" spans="1:21">
      <c r="A260">
        <v>259</v>
      </c>
      <c r="B260" s="1">
        <v>43974</v>
      </c>
      <c r="C260" s="1" t="str">
        <f t="shared" si="12"/>
        <v>maio</v>
      </c>
      <c r="D260">
        <v>75</v>
      </c>
      <c r="E260" t="s">
        <v>38</v>
      </c>
      <c r="F260" t="s">
        <v>31</v>
      </c>
      <c r="G260" s="8">
        <v>30</v>
      </c>
      <c r="H260" s="2">
        <v>108</v>
      </c>
      <c r="I260" s="2">
        <v>3240</v>
      </c>
      <c r="J260" s="4">
        <v>0.15</v>
      </c>
      <c r="K260" s="2">
        <v>2754</v>
      </c>
      <c r="L260" s="2">
        <f t="shared" si="13"/>
        <v>486</v>
      </c>
      <c r="M260" s="1">
        <v>43993</v>
      </c>
      <c r="N260" s="1">
        <v>43993</v>
      </c>
      <c r="O260">
        <v>259</v>
      </c>
      <c r="P260">
        <v>6</v>
      </c>
      <c r="Q260" t="s">
        <v>69</v>
      </c>
      <c r="R260" s="3">
        <v>0.1</v>
      </c>
      <c r="S260" s="2">
        <v>275.40000000000003</v>
      </c>
      <c r="T260">
        <v>7</v>
      </c>
      <c r="U260" t="str">
        <f t="shared" si="14"/>
        <v>Maio</v>
      </c>
    </row>
    <row r="261" spans="1:21">
      <c r="A261">
        <v>260</v>
      </c>
      <c r="B261" s="1">
        <v>43974</v>
      </c>
      <c r="C261" s="1" t="str">
        <f t="shared" si="12"/>
        <v>maio</v>
      </c>
      <c r="D261">
        <v>49</v>
      </c>
      <c r="E261" t="s">
        <v>38</v>
      </c>
      <c r="F261" t="s">
        <v>21</v>
      </c>
      <c r="G261" s="8">
        <v>45</v>
      </c>
      <c r="H261" s="2">
        <v>95</v>
      </c>
      <c r="I261" s="2">
        <v>4275</v>
      </c>
      <c r="J261" s="4">
        <v>0.01</v>
      </c>
      <c r="K261" s="2">
        <v>4232.25</v>
      </c>
      <c r="L261" s="2">
        <f t="shared" si="13"/>
        <v>42.75</v>
      </c>
      <c r="M261" s="1">
        <v>43987</v>
      </c>
      <c r="N261" s="1">
        <v>43987</v>
      </c>
      <c r="O261">
        <v>260</v>
      </c>
      <c r="P261">
        <v>3</v>
      </c>
      <c r="Q261" t="s">
        <v>22</v>
      </c>
      <c r="R261" s="3">
        <v>7.0000000000000007E-2</v>
      </c>
      <c r="S261" s="2">
        <v>296.25750000000005</v>
      </c>
      <c r="T261">
        <v>1</v>
      </c>
      <c r="U261" t="str">
        <f t="shared" si="14"/>
        <v>Maio</v>
      </c>
    </row>
    <row r="262" spans="1:21">
      <c r="A262">
        <v>261</v>
      </c>
      <c r="B262" s="1">
        <v>43974</v>
      </c>
      <c r="C262" s="1" t="str">
        <f t="shared" si="12"/>
        <v>maio</v>
      </c>
      <c r="D262">
        <v>48</v>
      </c>
      <c r="E262" t="s">
        <v>61</v>
      </c>
      <c r="F262" t="s">
        <v>31</v>
      </c>
      <c r="G262" s="8">
        <v>17</v>
      </c>
      <c r="H262" s="2">
        <v>113</v>
      </c>
      <c r="I262" s="2">
        <v>1921</v>
      </c>
      <c r="J262" s="4">
        <v>0.09</v>
      </c>
      <c r="K262" s="2">
        <v>1748.1100000000001</v>
      </c>
      <c r="L262" s="2">
        <f t="shared" si="13"/>
        <v>172.88999999999987</v>
      </c>
      <c r="M262" s="1">
        <v>44000</v>
      </c>
      <c r="N262" s="1">
        <v>44000</v>
      </c>
      <c r="O262">
        <v>261</v>
      </c>
      <c r="P262">
        <v>2</v>
      </c>
      <c r="Q262" t="s">
        <v>69</v>
      </c>
      <c r="R262" s="3">
        <v>7.0000000000000007E-2</v>
      </c>
      <c r="S262" s="2">
        <v>122.36770000000001</v>
      </c>
      <c r="T262">
        <v>2</v>
      </c>
      <c r="U262" t="str">
        <f t="shared" si="14"/>
        <v>Maio</v>
      </c>
    </row>
    <row r="263" spans="1:21">
      <c r="A263">
        <v>262</v>
      </c>
      <c r="B263" s="1">
        <v>43974</v>
      </c>
      <c r="C263" s="1" t="str">
        <f t="shared" si="12"/>
        <v>maio</v>
      </c>
      <c r="D263">
        <v>47</v>
      </c>
      <c r="E263" t="s">
        <v>40</v>
      </c>
      <c r="F263" t="s">
        <v>55</v>
      </c>
      <c r="G263" s="8">
        <v>25</v>
      </c>
      <c r="H263" s="2">
        <v>110</v>
      </c>
      <c r="I263" s="2">
        <v>2750</v>
      </c>
      <c r="J263" s="4">
        <v>0.04</v>
      </c>
      <c r="K263" s="2">
        <v>2640</v>
      </c>
      <c r="L263" s="2">
        <f t="shared" si="13"/>
        <v>110</v>
      </c>
      <c r="M263" s="1">
        <v>43980</v>
      </c>
      <c r="N263" s="1">
        <v>43980</v>
      </c>
      <c r="O263">
        <v>262</v>
      </c>
      <c r="P263">
        <v>5</v>
      </c>
      <c r="Q263" t="s">
        <v>52</v>
      </c>
      <c r="R263" s="3">
        <v>0.09</v>
      </c>
      <c r="S263" s="2">
        <v>237.6</v>
      </c>
      <c r="T263">
        <v>3</v>
      </c>
      <c r="U263" t="str">
        <f t="shared" si="14"/>
        <v>Maio</v>
      </c>
    </row>
    <row r="264" spans="1:21">
      <c r="A264">
        <v>263</v>
      </c>
      <c r="B264" s="1">
        <v>43975</v>
      </c>
      <c r="C264" s="1" t="str">
        <f t="shared" si="12"/>
        <v>maio</v>
      </c>
      <c r="D264">
        <v>6</v>
      </c>
      <c r="E264" t="s">
        <v>88</v>
      </c>
      <c r="F264" t="s">
        <v>28</v>
      </c>
      <c r="G264" s="8">
        <v>21</v>
      </c>
      <c r="H264" s="2">
        <v>111</v>
      </c>
      <c r="I264" s="2">
        <v>2331</v>
      </c>
      <c r="J264" s="4">
        <v>0.06</v>
      </c>
      <c r="K264" s="2">
        <v>2191.14</v>
      </c>
      <c r="L264" s="2">
        <f t="shared" si="13"/>
        <v>139.86000000000013</v>
      </c>
      <c r="M264" s="1">
        <v>43992</v>
      </c>
      <c r="N264" s="1">
        <v>43992</v>
      </c>
      <c r="O264">
        <v>263</v>
      </c>
      <c r="P264">
        <v>1</v>
      </c>
      <c r="Q264" t="s">
        <v>37</v>
      </c>
      <c r="R264" s="3">
        <v>0.06</v>
      </c>
      <c r="S264" s="2">
        <v>131.46839999999997</v>
      </c>
      <c r="T264">
        <v>4</v>
      </c>
      <c r="U264" t="str">
        <f t="shared" si="14"/>
        <v>Maio</v>
      </c>
    </row>
    <row r="265" spans="1:21">
      <c r="A265">
        <v>264</v>
      </c>
      <c r="B265" s="1">
        <v>43975</v>
      </c>
      <c r="C265" s="1" t="str">
        <f t="shared" si="12"/>
        <v>maio</v>
      </c>
      <c r="D265">
        <v>53</v>
      </c>
      <c r="E265" t="s">
        <v>88</v>
      </c>
      <c r="F265" t="s">
        <v>50</v>
      </c>
      <c r="G265" s="8">
        <v>26</v>
      </c>
      <c r="H265" s="2">
        <v>100</v>
      </c>
      <c r="I265" s="2">
        <v>2600</v>
      </c>
      <c r="J265" s="4">
        <v>0.15</v>
      </c>
      <c r="K265" s="2">
        <v>2210</v>
      </c>
      <c r="L265" s="2">
        <f t="shared" si="13"/>
        <v>390</v>
      </c>
      <c r="M265" s="1">
        <v>43985</v>
      </c>
      <c r="N265" s="1">
        <v>43985</v>
      </c>
      <c r="O265">
        <v>264</v>
      </c>
      <c r="P265">
        <v>2</v>
      </c>
      <c r="Q265" t="s">
        <v>32</v>
      </c>
      <c r="R265" s="3">
        <v>7.0000000000000007E-2</v>
      </c>
      <c r="S265" s="2">
        <v>154.70000000000002</v>
      </c>
      <c r="T265">
        <v>5</v>
      </c>
      <c r="U265" t="str">
        <f t="shared" si="14"/>
        <v>Maio</v>
      </c>
    </row>
    <row r="266" spans="1:21">
      <c r="A266">
        <v>265</v>
      </c>
      <c r="B266" s="1">
        <v>43975</v>
      </c>
      <c r="C266" s="1" t="str">
        <f t="shared" si="12"/>
        <v>maio</v>
      </c>
      <c r="D266">
        <v>62</v>
      </c>
      <c r="E266" t="s">
        <v>38</v>
      </c>
      <c r="F266" t="s">
        <v>28</v>
      </c>
      <c r="G266" s="8">
        <v>39</v>
      </c>
      <c r="H266" s="2">
        <v>96</v>
      </c>
      <c r="I266" s="2">
        <v>3744</v>
      </c>
      <c r="J266" s="4">
        <v>0.08</v>
      </c>
      <c r="K266" s="2">
        <v>3444.48</v>
      </c>
      <c r="L266" s="2">
        <f t="shared" si="13"/>
        <v>299.52</v>
      </c>
      <c r="M266" s="1">
        <v>44004</v>
      </c>
      <c r="N266" s="1">
        <v>44004</v>
      </c>
      <c r="O266">
        <v>265</v>
      </c>
      <c r="P266">
        <v>7</v>
      </c>
      <c r="Q266" t="s">
        <v>22</v>
      </c>
      <c r="R266" s="3">
        <v>0.1</v>
      </c>
      <c r="S266" s="2">
        <v>344.44800000000004</v>
      </c>
      <c r="T266">
        <v>6</v>
      </c>
      <c r="U266" t="str">
        <f t="shared" si="14"/>
        <v>Maio</v>
      </c>
    </row>
    <row r="267" spans="1:21">
      <c r="A267">
        <v>266</v>
      </c>
      <c r="B267" s="1">
        <v>43975</v>
      </c>
      <c r="C267" s="1" t="str">
        <f t="shared" si="12"/>
        <v>maio</v>
      </c>
      <c r="D267">
        <v>63</v>
      </c>
      <c r="E267" t="s">
        <v>80</v>
      </c>
      <c r="F267" t="s">
        <v>41</v>
      </c>
      <c r="G267" s="8">
        <v>25</v>
      </c>
      <c r="H267" s="2">
        <v>117</v>
      </c>
      <c r="I267" s="2">
        <v>2925</v>
      </c>
      <c r="J267" s="4">
        <v>0.14000000000000001</v>
      </c>
      <c r="K267" s="2">
        <v>2515.5</v>
      </c>
      <c r="L267" s="2">
        <f t="shared" si="13"/>
        <v>409.5</v>
      </c>
      <c r="M267" s="1">
        <v>43977</v>
      </c>
      <c r="N267" s="1">
        <v>43977</v>
      </c>
      <c r="O267">
        <v>266</v>
      </c>
      <c r="P267">
        <v>1</v>
      </c>
      <c r="Q267" t="s">
        <v>29</v>
      </c>
      <c r="R267" s="3">
        <v>0.09</v>
      </c>
      <c r="S267" s="2">
        <v>226.39499999999998</v>
      </c>
      <c r="T267">
        <v>7</v>
      </c>
      <c r="U267" t="str">
        <f t="shared" si="14"/>
        <v>Maio</v>
      </c>
    </row>
    <row r="268" spans="1:21">
      <c r="A268">
        <v>267</v>
      </c>
      <c r="B268" s="1">
        <v>43975</v>
      </c>
      <c r="C268" s="1" t="str">
        <f t="shared" si="12"/>
        <v>maio</v>
      </c>
      <c r="D268">
        <v>61</v>
      </c>
      <c r="E268" t="s">
        <v>56</v>
      </c>
      <c r="F268" t="s">
        <v>28</v>
      </c>
      <c r="G268" s="8">
        <v>44</v>
      </c>
      <c r="H268" s="2">
        <v>106</v>
      </c>
      <c r="I268" s="2">
        <v>4664</v>
      </c>
      <c r="J268" s="4">
        <v>0.03</v>
      </c>
      <c r="K268" s="2">
        <v>4524.08</v>
      </c>
      <c r="L268" s="2">
        <f t="shared" si="13"/>
        <v>139.92000000000007</v>
      </c>
      <c r="M268" s="1">
        <v>43981</v>
      </c>
      <c r="N268" s="1">
        <v>43981</v>
      </c>
      <c r="O268">
        <v>267</v>
      </c>
      <c r="P268">
        <v>5</v>
      </c>
      <c r="Q268" t="s">
        <v>22</v>
      </c>
      <c r="R268" s="3">
        <v>0.06</v>
      </c>
      <c r="S268" s="2">
        <v>271.44479999999999</v>
      </c>
      <c r="T268">
        <v>1</v>
      </c>
      <c r="U268" t="str">
        <f t="shared" si="14"/>
        <v>Maio</v>
      </c>
    </row>
    <row r="269" spans="1:21">
      <c r="A269">
        <v>268</v>
      </c>
      <c r="B269" s="1">
        <v>43975</v>
      </c>
      <c r="C269" s="1" t="str">
        <f t="shared" si="12"/>
        <v>maio</v>
      </c>
      <c r="D269">
        <v>6</v>
      </c>
      <c r="E269" t="s">
        <v>88</v>
      </c>
      <c r="F269" t="s">
        <v>28</v>
      </c>
      <c r="G269" s="8">
        <v>29</v>
      </c>
      <c r="H269" s="2">
        <v>100</v>
      </c>
      <c r="I269" s="2">
        <v>2900</v>
      </c>
      <c r="J269" s="4">
        <v>0.08</v>
      </c>
      <c r="K269" s="2">
        <v>2668</v>
      </c>
      <c r="L269" s="2">
        <f t="shared" si="13"/>
        <v>232</v>
      </c>
      <c r="M269" s="1">
        <v>43997</v>
      </c>
      <c r="N269" s="1">
        <v>43997</v>
      </c>
      <c r="O269">
        <v>268</v>
      </c>
      <c r="P269">
        <v>2</v>
      </c>
      <c r="Q269" t="s">
        <v>37</v>
      </c>
      <c r="R269" s="3">
        <v>0.1</v>
      </c>
      <c r="S269" s="2">
        <v>266.8</v>
      </c>
      <c r="T269">
        <v>2</v>
      </c>
      <c r="U269" t="str">
        <f t="shared" si="14"/>
        <v>Maio</v>
      </c>
    </row>
    <row r="270" spans="1:21">
      <c r="A270">
        <v>269</v>
      </c>
      <c r="B270" s="1">
        <v>43978</v>
      </c>
      <c r="C270" s="1" t="str">
        <f t="shared" si="12"/>
        <v>maio</v>
      </c>
      <c r="D270">
        <v>28</v>
      </c>
      <c r="E270" t="s">
        <v>86</v>
      </c>
      <c r="F270" t="s">
        <v>59</v>
      </c>
      <c r="G270" s="8">
        <v>17</v>
      </c>
      <c r="H270" s="2">
        <v>93</v>
      </c>
      <c r="I270" s="2">
        <v>1581</v>
      </c>
      <c r="J270" s="4">
        <v>0</v>
      </c>
      <c r="K270" s="2">
        <v>1581</v>
      </c>
      <c r="L270" s="2">
        <f t="shared" si="13"/>
        <v>0</v>
      </c>
      <c r="M270" s="1">
        <v>44000</v>
      </c>
      <c r="N270" s="1">
        <v>44000</v>
      </c>
      <c r="O270">
        <v>269</v>
      </c>
      <c r="P270">
        <v>7</v>
      </c>
      <c r="Q270" t="s">
        <v>34</v>
      </c>
      <c r="R270" s="3">
        <v>0.1</v>
      </c>
      <c r="S270" s="2">
        <v>158.10000000000002</v>
      </c>
      <c r="T270">
        <v>3</v>
      </c>
      <c r="U270" t="str">
        <f t="shared" si="14"/>
        <v>Maio</v>
      </c>
    </row>
    <row r="271" spans="1:21">
      <c r="A271">
        <v>270</v>
      </c>
      <c r="B271" s="1">
        <v>43978</v>
      </c>
      <c r="C271" s="1" t="str">
        <f t="shared" si="12"/>
        <v>maio</v>
      </c>
      <c r="D271">
        <v>35</v>
      </c>
      <c r="E271" t="s">
        <v>38</v>
      </c>
      <c r="F271" t="s">
        <v>50</v>
      </c>
      <c r="G271" s="8">
        <v>23</v>
      </c>
      <c r="H271" s="2">
        <v>96</v>
      </c>
      <c r="I271" s="2">
        <v>2208</v>
      </c>
      <c r="J271" s="4">
        <v>0.13</v>
      </c>
      <c r="K271" s="2">
        <v>1920.96</v>
      </c>
      <c r="L271" s="2">
        <f t="shared" si="13"/>
        <v>287.03999999999996</v>
      </c>
      <c r="M271" s="1">
        <v>44000</v>
      </c>
      <c r="N271" s="1">
        <v>44000</v>
      </c>
      <c r="O271">
        <v>270</v>
      </c>
      <c r="P271">
        <v>7</v>
      </c>
      <c r="Q271" t="s">
        <v>69</v>
      </c>
      <c r="R271" s="3">
        <v>0.09</v>
      </c>
      <c r="S271" s="2">
        <v>172.88640000000001</v>
      </c>
      <c r="T271">
        <v>4</v>
      </c>
      <c r="U271" t="str">
        <f t="shared" si="14"/>
        <v>Maio</v>
      </c>
    </row>
    <row r="272" spans="1:21">
      <c r="A272">
        <v>271</v>
      </c>
      <c r="B272" s="1">
        <v>43978</v>
      </c>
      <c r="C272" s="1" t="str">
        <f t="shared" si="12"/>
        <v>maio</v>
      </c>
      <c r="D272">
        <v>98</v>
      </c>
      <c r="E272" t="s">
        <v>26</v>
      </c>
      <c r="F272" t="s">
        <v>31</v>
      </c>
      <c r="G272" s="8">
        <v>30</v>
      </c>
      <c r="H272" s="2">
        <v>108</v>
      </c>
      <c r="I272" s="2">
        <v>3240</v>
      </c>
      <c r="J272" s="4">
        <v>0.04</v>
      </c>
      <c r="K272" s="2">
        <v>3110.4</v>
      </c>
      <c r="L272" s="2">
        <f t="shared" si="13"/>
        <v>129.59999999999991</v>
      </c>
      <c r="M272" s="1">
        <v>43988</v>
      </c>
      <c r="N272" s="1">
        <v>43988</v>
      </c>
      <c r="O272">
        <v>271</v>
      </c>
      <c r="P272">
        <v>3</v>
      </c>
      <c r="Q272" t="s">
        <v>25</v>
      </c>
      <c r="R272" s="3">
        <v>0.1</v>
      </c>
      <c r="S272" s="2">
        <v>311.04000000000002</v>
      </c>
      <c r="T272">
        <v>5</v>
      </c>
      <c r="U272" t="str">
        <f t="shared" si="14"/>
        <v>Maio</v>
      </c>
    </row>
    <row r="273" spans="1:21">
      <c r="A273">
        <v>272</v>
      </c>
      <c r="B273" s="1">
        <v>43978</v>
      </c>
      <c r="C273" s="1" t="str">
        <f t="shared" si="12"/>
        <v>maio</v>
      </c>
      <c r="D273">
        <v>77</v>
      </c>
      <c r="E273" t="s">
        <v>65</v>
      </c>
      <c r="F273" t="s">
        <v>31</v>
      </c>
      <c r="G273" s="8">
        <v>28</v>
      </c>
      <c r="H273" s="2">
        <v>97</v>
      </c>
      <c r="I273" s="2">
        <v>2716</v>
      </c>
      <c r="J273" s="4">
        <v>0.12</v>
      </c>
      <c r="K273" s="2">
        <v>2390.08</v>
      </c>
      <c r="L273" s="2">
        <f t="shared" si="13"/>
        <v>325.92000000000007</v>
      </c>
      <c r="M273" s="1">
        <v>43979</v>
      </c>
      <c r="N273" s="1">
        <v>43979</v>
      </c>
      <c r="O273">
        <v>272</v>
      </c>
      <c r="P273">
        <v>5</v>
      </c>
      <c r="Q273" t="s">
        <v>43</v>
      </c>
      <c r="R273" s="3">
        <v>0.06</v>
      </c>
      <c r="S273" s="2">
        <v>143.40479999999999</v>
      </c>
      <c r="T273">
        <v>6</v>
      </c>
      <c r="U273" t="str">
        <f t="shared" si="14"/>
        <v>Maio</v>
      </c>
    </row>
    <row r="274" spans="1:21">
      <c r="A274">
        <v>273</v>
      </c>
      <c r="B274" s="1">
        <v>43979</v>
      </c>
      <c r="C274" s="1" t="str">
        <f t="shared" si="12"/>
        <v>maio</v>
      </c>
      <c r="D274">
        <v>73</v>
      </c>
      <c r="E274" t="s">
        <v>38</v>
      </c>
      <c r="F274" t="s">
        <v>21</v>
      </c>
      <c r="G274" s="8">
        <v>24</v>
      </c>
      <c r="H274" s="2">
        <v>102</v>
      </c>
      <c r="I274" s="2">
        <v>2448</v>
      </c>
      <c r="J274" s="4">
        <v>0.09</v>
      </c>
      <c r="K274" s="2">
        <v>2227.6799999999998</v>
      </c>
      <c r="L274" s="2">
        <f t="shared" si="13"/>
        <v>220.32000000000016</v>
      </c>
      <c r="M274" s="1">
        <v>44004</v>
      </c>
      <c r="N274" s="1">
        <v>44004</v>
      </c>
      <c r="O274">
        <v>273</v>
      </c>
      <c r="P274">
        <v>4</v>
      </c>
      <c r="Q274" t="s">
        <v>25</v>
      </c>
      <c r="R274" s="3">
        <v>0.06</v>
      </c>
      <c r="S274" s="2">
        <v>133.66079999999999</v>
      </c>
      <c r="T274">
        <v>7</v>
      </c>
      <c r="U274" t="str">
        <f t="shared" si="14"/>
        <v>Maio</v>
      </c>
    </row>
    <row r="275" spans="1:21">
      <c r="A275">
        <v>274</v>
      </c>
      <c r="B275" s="1">
        <v>43980</v>
      </c>
      <c r="C275" s="1" t="str">
        <f t="shared" si="12"/>
        <v>maio</v>
      </c>
      <c r="D275">
        <v>94</v>
      </c>
      <c r="E275" t="s">
        <v>49</v>
      </c>
      <c r="F275" t="s">
        <v>31</v>
      </c>
      <c r="G275" s="8">
        <v>47</v>
      </c>
      <c r="H275" s="2">
        <v>110</v>
      </c>
      <c r="I275" s="2">
        <v>5170</v>
      </c>
      <c r="J275" s="4">
        <v>0.06</v>
      </c>
      <c r="K275" s="2">
        <v>4859.8</v>
      </c>
      <c r="L275" s="2">
        <f t="shared" si="13"/>
        <v>310.19999999999982</v>
      </c>
      <c r="M275" s="1">
        <v>43988</v>
      </c>
      <c r="N275" s="1">
        <v>43988</v>
      </c>
      <c r="O275">
        <v>274</v>
      </c>
      <c r="P275">
        <v>4</v>
      </c>
      <c r="Q275" t="s">
        <v>37</v>
      </c>
      <c r="R275" s="3">
        <v>7.0000000000000007E-2</v>
      </c>
      <c r="S275" s="2">
        <v>340.18600000000004</v>
      </c>
      <c r="T275">
        <v>1</v>
      </c>
      <c r="U275" t="str">
        <f t="shared" si="14"/>
        <v>Maio</v>
      </c>
    </row>
    <row r="276" spans="1:21">
      <c r="A276">
        <v>275</v>
      </c>
      <c r="B276" s="1">
        <v>43980</v>
      </c>
      <c r="C276" s="1" t="str">
        <f t="shared" si="12"/>
        <v>maio</v>
      </c>
      <c r="D276">
        <v>42</v>
      </c>
      <c r="E276" t="s">
        <v>92</v>
      </c>
      <c r="F276" t="s">
        <v>46</v>
      </c>
      <c r="G276" s="8">
        <v>22</v>
      </c>
      <c r="H276" s="2">
        <v>119</v>
      </c>
      <c r="I276" s="2">
        <v>2618</v>
      </c>
      <c r="J276" s="4">
        <v>0.05</v>
      </c>
      <c r="K276" s="2">
        <v>2487.1</v>
      </c>
      <c r="L276" s="2">
        <f t="shared" si="13"/>
        <v>130.90000000000009</v>
      </c>
      <c r="M276" s="1">
        <v>44003</v>
      </c>
      <c r="N276" s="1">
        <v>44003</v>
      </c>
      <c r="O276">
        <v>275</v>
      </c>
      <c r="P276">
        <v>3</v>
      </c>
      <c r="Q276" t="s">
        <v>22</v>
      </c>
      <c r="R276" s="3">
        <v>0.09</v>
      </c>
      <c r="S276" s="2">
        <v>223.83899999999997</v>
      </c>
      <c r="T276">
        <v>2</v>
      </c>
      <c r="U276" t="str">
        <f t="shared" si="14"/>
        <v>Maio</v>
      </c>
    </row>
    <row r="277" spans="1:21">
      <c r="A277">
        <v>276</v>
      </c>
      <c r="B277" s="1">
        <v>43980</v>
      </c>
      <c r="C277" s="1" t="str">
        <f t="shared" si="12"/>
        <v>maio</v>
      </c>
      <c r="D277">
        <v>1</v>
      </c>
      <c r="E277" t="s">
        <v>93</v>
      </c>
      <c r="F277" t="s">
        <v>54</v>
      </c>
      <c r="G277" s="8">
        <v>47</v>
      </c>
      <c r="H277" s="2">
        <v>99</v>
      </c>
      <c r="I277" s="2">
        <v>4653</v>
      </c>
      <c r="J277" s="4">
        <v>0.12</v>
      </c>
      <c r="K277" s="2">
        <v>4094.64</v>
      </c>
      <c r="L277" s="2">
        <f t="shared" si="13"/>
        <v>558.36000000000013</v>
      </c>
      <c r="M277" s="1">
        <v>43989</v>
      </c>
      <c r="N277" s="1">
        <v>43989</v>
      </c>
      <c r="O277">
        <v>276</v>
      </c>
      <c r="P277">
        <v>1</v>
      </c>
      <c r="Q277" t="s">
        <v>43</v>
      </c>
      <c r="R277" s="3">
        <v>0.06</v>
      </c>
      <c r="S277" s="2">
        <v>245.67839999999998</v>
      </c>
      <c r="T277">
        <v>3</v>
      </c>
      <c r="U277" t="str">
        <f t="shared" si="14"/>
        <v>Maio</v>
      </c>
    </row>
    <row r="278" spans="1:21">
      <c r="A278">
        <v>277</v>
      </c>
      <c r="B278" s="1">
        <v>43981</v>
      </c>
      <c r="C278" s="1" t="str">
        <f t="shared" si="12"/>
        <v>maio</v>
      </c>
      <c r="D278">
        <v>63</v>
      </c>
      <c r="E278" t="s">
        <v>80</v>
      </c>
      <c r="F278" t="s">
        <v>24</v>
      </c>
      <c r="G278" s="8">
        <v>16</v>
      </c>
      <c r="H278" s="2">
        <v>92</v>
      </c>
      <c r="I278" s="2">
        <v>1472</v>
      </c>
      <c r="J278" s="4">
        <v>0.03</v>
      </c>
      <c r="K278" s="2">
        <v>1427.84</v>
      </c>
      <c r="L278" s="2">
        <f t="shared" si="13"/>
        <v>44.160000000000082</v>
      </c>
      <c r="M278" s="1">
        <v>44010</v>
      </c>
      <c r="N278" s="1">
        <v>44010</v>
      </c>
      <c r="O278">
        <v>277</v>
      </c>
      <c r="P278">
        <v>5</v>
      </c>
      <c r="Q278" t="s">
        <v>37</v>
      </c>
      <c r="R278" s="3">
        <v>0.1</v>
      </c>
      <c r="S278" s="2">
        <v>142.78399999999999</v>
      </c>
      <c r="T278">
        <v>4</v>
      </c>
      <c r="U278" t="str">
        <f t="shared" si="14"/>
        <v>Maio</v>
      </c>
    </row>
    <row r="279" spans="1:21">
      <c r="A279">
        <v>278</v>
      </c>
      <c r="B279" s="1">
        <v>43981</v>
      </c>
      <c r="C279" s="1" t="str">
        <f t="shared" si="12"/>
        <v>maio</v>
      </c>
      <c r="D279">
        <v>37</v>
      </c>
      <c r="E279" t="s">
        <v>48</v>
      </c>
      <c r="F279" t="s">
        <v>24</v>
      </c>
      <c r="G279" s="8">
        <v>40</v>
      </c>
      <c r="H279" s="2">
        <v>97</v>
      </c>
      <c r="I279" s="2">
        <v>3880</v>
      </c>
      <c r="J279" s="4">
        <v>0.04</v>
      </c>
      <c r="K279" s="2">
        <v>3724.8</v>
      </c>
      <c r="L279" s="2">
        <f t="shared" si="13"/>
        <v>155.19999999999982</v>
      </c>
      <c r="M279" s="1">
        <v>43988</v>
      </c>
      <c r="N279" s="1">
        <v>43988</v>
      </c>
      <c r="O279">
        <v>278</v>
      </c>
      <c r="P279">
        <v>2</v>
      </c>
      <c r="Q279" t="s">
        <v>32</v>
      </c>
      <c r="R279" s="3">
        <v>0.05</v>
      </c>
      <c r="S279" s="2">
        <v>186.24</v>
      </c>
      <c r="T279">
        <v>5</v>
      </c>
      <c r="U279" t="str">
        <f t="shared" si="14"/>
        <v>Maio</v>
      </c>
    </row>
    <row r="280" spans="1:21">
      <c r="A280">
        <v>279</v>
      </c>
      <c r="B280" s="1">
        <v>43981</v>
      </c>
      <c r="C280" s="1" t="str">
        <f t="shared" si="12"/>
        <v>maio</v>
      </c>
      <c r="D280">
        <v>10</v>
      </c>
      <c r="E280" t="s">
        <v>89</v>
      </c>
      <c r="F280" t="s">
        <v>59</v>
      </c>
      <c r="G280" s="8">
        <v>17</v>
      </c>
      <c r="H280" s="2">
        <v>118</v>
      </c>
      <c r="I280" s="2">
        <v>2006</v>
      </c>
      <c r="J280" s="4">
        <v>0.15</v>
      </c>
      <c r="K280" s="2">
        <v>1705.1</v>
      </c>
      <c r="L280" s="2">
        <f t="shared" si="13"/>
        <v>300.90000000000009</v>
      </c>
      <c r="M280" s="1">
        <v>43985</v>
      </c>
      <c r="N280" s="1">
        <v>43985</v>
      </c>
      <c r="O280">
        <v>279</v>
      </c>
      <c r="P280">
        <v>3</v>
      </c>
      <c r="Q280" t="s">
        <v>52</v>
      </c>
      <c r="R280" s="3">
        <v>0.09</v>
      </c>
      <c r="S280" s="2">
        <v>153.45899999999997</v>
      </c>
      <c r="T280">
        <v>6</v>
      </c>
      <c r="U280" t="str">
        <f t="shared" si="14"/>
        <v>Maio</v>
      </c>
    </row>
    <row r="281" spans="1:21">
      <c r="A281">
        <v>280</v>
      </c>
      <c r="B281" s="1">
        <v>43982</v>
      </c>
      <c r="C281" s="1" t="str">
        <f t="shared" si="12"/>
        <v>maio</v>
      </c>
      <c r="D281">
        <v>4</v>
      </c>
      <c r="E281" t="s">
        <v>86</v>
      </c>
      <c r="F281" t="s">
        <v>31</v>
      </c>
      <c r="G281" s="8">
        <v>18</v>
      </c>
      <c r="H281" s="2">
        <v>104</v>
      </c>
      <c r="I281" s="2">
        <v>1872</v>
      </c>
      <c r="J281" s="4">
        <v>0.13</v>
      </c>
      <c r="K281" s="2">
        <v>1628.6399999999999</v>
      </c>
      <c r="L281" s="2">
        <f t="shared" si="13"/>
        <v>243.36000000000013</v>
      </c>
      <c r="M281" s="1">
        <v>44008</v>
      </c>
      <c r="N281" s="1">
        <v>44008</v>
      </c>
      <c r="O281">
        <v>280</v>
      </c>
      <c r="P281">
        <v>5</v>
      </c>
      <c r="Q281" t="s">
        <v>43</v>
      </c>
      <c r="R281" s="3">
        <v>0.05</v>
      </c>
      <c r="S281" s="2">
        <v>81.432000000000002</v>
      </c>
      <c r="T281">
        <v>7</v>
      </c>
      <c r="U281" t="str">
        <f t="shared" si="14"/>
        <v>Maio</v>
      </c>
    </row>
    <row r="282" spans="1:21">
      <c r="A282">
        <v>281</v>
      </c>
      <c r="B282" s="1">
        <v>43982</v>
      </c>
      <c r="C282" s="1" t="str">
        <f t="shared" si="12"/>
        <v>maio</v>
      </c>
      <c r="D282">
        <v>59</v>
      </c>
      <c r="E282" t="s">
        <v>97</v>
      </c>
      <c r="F282" t="s">
        <v>31</v>
      </c>
      <c r="G282" s="8">
        <v>38</v>
      </c>
      <c r="H282" s="2">
        <v>110</v>
      </c>
      <c r="I282" s="2">
        <v>4180</v>
      </c>
      <c r="J282" s="4">
        <v>0.13</v>
      </c>
      <c r="K282" s="2">
        <v>3636.6</v>
      </c>
      <c r="L282" s="2">
        <f t="shared" si="13"/>
        <v>543.40000000000009</v>
      </c>
      <c r="M282" s="1">
        <v>43993</v>
      </c>
      <c r="N282" s="1">
        <v>43993</v>
      </c>
      <c r="O282">
        <v>281</v>
      </c>
      <c r="P282">
        <v>7</v>
      </c>
      <c r="Q282" t="s">
        <v>69</v>
      </c>
      <c r="R282" s="3">
        <v>0.08</v>
      </c>
      <c r="S282" s="2">
        <v>290.928</v>
      </c>
      <c r="T282">
        <v>1</v>
      </c>
      <c r="U282" t="str">
        <f t="shared" si="14"/>
        <v>Maio</v>
      </c>
    </row>
    <row r="283" spans="1:21">
      <c r="A283">
        <v>282</v>
      </c>
      <c r="B283" s="1">
        <v>43983</v>
      </c>
      <c r="C283" s="1" t="str">
        <f t="shared" si="12"/>
        <v>junho</v>
      </c>
      <c r="D283">
        <v>55</v>
      </c>
      <c r="E283" t="s">
        <v>44</v>
      </c>
      <c r="F283" t="s">
        <v>55</v>
      </c>
      <c r="G283" s="8">
        <v>30</v>
      </c>
      <c r="H283" s="2">
        <v>108</v>
      </c>
      <c r="I283" s="2">
        <v>3240</v>
      </c>
      <c r="J283" s="4">
        <v>0</v>
      </c>
      <c r="K283" s="2">
        <v>3240</v>
      </c>
      <c r="L283" s="2">
        <f t="shared" si="13"/>
        <v>0</v>
      </c>
      <c r="M283" s="1">
        <v>43997</v>
      </c>
      <c r="N283" s="1">
        <v>43997</v>
      </c>
      <c r="O283">
        <v>282</v>
      </c>
      <c r="P283">
        <v>3</v>
      </c>
      <c r="Q283" t="s">
        <v>37</v>
      </c>
      <c r="R283" s="3">
        <v>0.05</v>
      </c>
      <c r="S283" s="2">
        <v>162</v>
      </c>
      <c r="T283">
        <v>2</v>
      </c>
      <c r="U283" t="str">
        <f t="shared" si="14"/>
        <v>Junho</v>
      </c>
    </row>
    <row r="284" spans="1:21">
      <c r="A284">
        <v>283</v>
      </c>
      <c r="B284" s="1">
        <v>43983</v>
      </c>
      <c r="C284" s="1" t="str">
        <f t="shared" si="12"/>
        <v>junho</v>
      </c>
      <c r="D284">
        <v>18</v>
      </c>
      <c r="E284" t="s">
        <v>83</v>
      </c>
      <c r="F284" t="s">
        <v>28</v>
      </c>
      <c r="G284" s="8">
        <v>35</v>
      </c>
      <c r="H284" s="2">
        <v>102</v>
      </c>
      <c r="I284" s="2">
        <v>3570</v>
      </c>
      <c r="J284" s="4">
        <v>0.03</v>
      </c>
      <c r="K284" s="2">
        <v>3462.9</v>
      </c>
      <c r="L284" s="2">
        <f t="shared" si="13"/>
        <v>107.09999999999991</v>
      </c>
      <c r="M284" s="1">
        <v>44004</v>
      </c>
      <c r="N284" s="1">
        <v>44004</v>
      </c>
      <c r="O284">
        <v>283</v>
      </c>
      <c r="P284">
        <v>7</v>
      </c>
      <c r="Q284" t="s">
        <v>69</v>
      </c>
      <c r="R284" s="3">
        <v>0.08</v>
      </c>
      <c r="S284" s="2">
        <v>277.03200000000004</v>
      </c>
      <c r="T284">
        <v>3</v>
      </c>
      <c r="U284" t="str">
        <f t="shared" si="14"/>
        <v>Junho</v>
      </c>
    </row>
    <row r="285" spans="1:21">
      <c r="A285">
        <v>284</v>
      </c>
      <c r="B285" s="1">
        <v>43983</v>
      </c>
      <c r="C285" s="1" t="str">
        <f t="shared" si="12"/>
        <v>junho</v>
      </c>
      <c r="D285">
        <v>98</v>
      </c>
      <c r="E285" t="s">
        <v>26</v>
      </c>
      <c r="F285" t="s">
        <v>46</v>
      </c>
      <c r="G285" s="8">
        <v>18</v>
      </c>
      <c r="H285" s="2">
        <v>94</v>
      </c>
      <c r="I285" s="2">
        <v>1692</v>
      </c>
      <c r="J285" s="4">
        <v>0.05</v>
      </c>
      <c r="K285" s="2">
        <v>1607.4</v>
      </c>
      <c r="L285" s="2">
        <f t="shared" si="13"/>
        <v>84.599999999999909</v>
      </c>
      <c r="M285" s="1">
        <v>43996</v>
      </c>
      <c r="N285" s="1">
        <v>43996</v>
      </c>
      <c r="O285">
        <v>284</v>
      </c>
      <c r="P285">
        <v>3</v>
      </c>
      <c r="Q285" t="s">
        <v>29</v>
      </c>
      <c r="R285" s="3">
        <v>0.1</v>
      </c>
      <c r="S285" s="2">
        <v>160.74</v>
      </c>
      <c r="T285">
        <v>4</v>
      </c>
      <c r="U285" t="str">
        <f t="shared" si="14"/>
        <v>Junho</v>
      </c>
    </row>
    <row r="286" spans="1:21">
      <c r="A286">
        <v>285</v>
      </c>
      <c r="B286" s="1">
        <v>43984</v>
      </c>
      <c r="C286" s="1" t="str">
        <f t="shared" si="12"/>
        <v>junho</v>
      </c>
      <c r="D286">
        <v>83</v>
      </c>
      <c r="E286" t="s">
        <v>100</v>
      </c>
      <c r="F286" t="s">
        <v>28</v>
      </c>
      <c r="G286" s="8">
        <v>19</v>
      </c>
      <c r="H286" s="2">
        <v>117</v>
      </c>
      <c r="I286" s="2">
        <v>2223</v>
      </c>
      <c r="J286" s="4">
        <v>0.13</v>
      </c>
      <c r="K286" s="2">
        <v>1934.01</v>
      </c>
      <c r="L286" s="2">
        <f t="shared" si="13"/>
        <v>288.99</v>
      </c>
      <c r="M286" s="1">
        <v>43997</v>
      </c>
      <c r="N286" s="1">
        <v>43997</v>
      </c>
      <c r="O286">
        <v>285</v>
      </c>
      <c r="P286">
        <v>3</v>
      </c>
      <c r="Q286" t="s">
        <v>22</v>
      </c>
      <c r="R286" s="3">
        <v>0.08</v>
      </c>
      <c r="S286" s="2">
        <v>154.7208</v>
      </c>
      <c r="T286">
        <v>5</v>
      </c>
      <c r="U286" t="str">
        <f t="shared" si="14"/>
        <v>Junho</v>
      </c>
    </row>
    <row r="287" spans="1:21">
      <c r="A287">
        <v>286</v>
      </c>
      <c r="B287" s="1">
        <v>43986</v>
      </c>
      <c r="C287" s="1" t="str">
        <f t="shared" si="12"/>
        <v>junho</v>
      </c>
      <c r="D287">
        <v>75</v>
      </c>
      <c r="E287" t="s">
        <v>38</v>
      </c>
      <c r="F287" t="s">
        <v>24</v>
      </c>
      <c r="G287" s="8">
        <v>17</v>
      </c>
      <c r="H287" s="2">
        <v>118</v>
      </c>
      <c r="I287" s="2">
        <v>2006</v>
      </c>
      <c r="J287" s="4">
        <v>0.04</v>
      </c>
      <c r="K287" s="2">
        <v>1925.76</v>
      </c>
      <c r="L287" s="2">
        <f t="shared" si="13"/>
        <v>80.240000000000009</v>
      </c>
      <c r="M287" s="1">
        <v>44013</v>
      </c>
      <c r="N287" s="1">
        <v>44013</v>
      </c>
      <c r="O287">
        <v>286</v>
      </c>
      <c r="P287">
        <v>7</v>
      </c>
      <c r="Q287" t="s">
        <v>69</v>
      </c>
      <c r="R287" s="3">
        <v>7.0000000000000007E-2</v>
      </c>
      <c r="S287" s="2">
        <v>134.8032</v>
      </c>
      <c r="T287">
        <v>6</v>
      </c>
      <c r="U287" t="str">
        <f t="shared" si="14"/>
        <v>Junho</v>
      </c>
    </row>
    <row r="288" spans="1:21">
      <c r="A288">
        <v>287</v>
      </c>
      <c r="B288" s="1">
        <v>43986</v>
      </c>
      <c r="C288" s="1" t="str">
        <f t="shared" si="12"/>
        <v>junho</v>
      </c>
      <c r="D288">
        <v>70</v>
      </c>
      <c r="E288" t="s">
        <v>67</v>
      </c>
      <c r="F288" t="s">
        <v>21</v>
      </c>
      <c r="G288" s="8">
        <v>22</v>
      </c>
      <c r="H288" s="2">
        <v>115</v>
      </c>
      <c r="I288" s="2">
        <v>2530</v>
      </c>
      <c r="J288" s="4">
        <v>0.06</v>
      </c>
      <c r="K288" s="2">
        <v>2378.1999999999998</v>
      </c>
      <c r="L288" s="2">
        <f t="shared" si="13"/>
        <v>151.80000000000018</v>
      </c>
      <c r="M288" s="1">
        <v>44004</v>
      </c>
      <c r="N288" s="1">
        <v>44004</v>
      </c>
      <c r="O288">
        <v>287</v>
      </c>
      <c r="P288">
        <v>6</v>
      </c>
      <c r="Q288" t="s">
        <v>29</v>
      </c>
      <c r="R288" s="3">
        <v>0.06</v>
      </c>
      <c r="S288" s="2">
        <v>142.69199999999998</v>
      </c>
      <c r="T288">
        <v>7</v>
      </c>
      <c r="U288" t="str">
        <f t="shared" si="14"/>
        <v>Junho</v>
      </c>
    </row>
    <row r="289" spans="1:21">
      <c r="A289">
        <v>288</v>
      </c>
      <c r="B289" s="1">
        <v>43987</v>
      </c>
      <c r="C289" s="1" t="str">
        <f t="shared" si="12"/>
        <v>junho</v>
      </c>
      <c r="D289">
        <v>48</v>
      </c>
      <c r="E289" t="s">
        <v>61</v>
      </c>
      <c r="F289" t="s">
        <v>31</v>
      </c>
      <c r="G289" s="8">
        <v>16</v>
      </c>
      <c r="H289" s="2">
        <v>112</v>
      </c>
      <c r="I289" s="2">
        <v>1792</v>
      </c>
      <c r="J289" s="4">
        <v>0.04</v>
      </c>
      <c r="K289" s="2">
        <v>1720.32</v>
      </c>
      <c r="L289" s="2">
        <f t="shared" si="13"/>
        <v>71.680000000000064</v>
      </c>
      <c r="M289" s="1">
        <v>44009</v>
      </c>
      <c r="N289" s="1">
        <v>44009</v>
      </c>
      <c r="O289">
        <v>288</v>
      </c>
      <c r="P289">
        <v>6</v>
      </c>
      <c r="Q289" t="s">
        <v>37</v>
      </c>
      <c r="R289" s="3">
        <v>0.08</v>
      </c>
      <c r="S289" s="2">
        <v>137.62559999999999</v>
      </c>
      <c r="T289">
        <v>1</v>
      </c>
      <c r="U289" t="str">
        <f t="shared" si="14"/>
        <v>Junho</v>
      </c>
    </row>
    <row r="290" spans="1:21">
      <c r="A290">
        <v>289</v>
      </c>
      <c r="B290" s="1">
        <v>43988</v>
      </c>
      <c r="C290" s="1" t="str">
        <f t="shared" si="12"/>
        <v>junho</v>
      </c>
      <c r="D290">
        <v>25</v>
      </c>
      <c r="E290" t="s">
        <v>63</v>
      </c>
      <c r="F290" t="s">
        <v>59</v>
      </c>
      <c r="G290" s="8">
        <v>37</v>
      </c>
      <c r="H290" s="2">
        <v>99</v>
      </c>
      <c r="I290" s="2">
        <v>3663</v>
      </c>
      <c r="J290" s="4">
        <v>0.03</v>
      </c>
      <c r="K290" s="2">
        <v>3553.11</v>
      </c>
      <c r="L290" s="2">
        <f t="shared" si="13"/>
        <v>109.88999999999987</v>
      </c>
      <c r="M290" s="1">
        <v>44015</v>
      </c>
      <c r="N290" s="1">
        <v>44015</v>
      </c>
      <c r="O290">
        <v>289</v>
      </c>
      <c r="P290">
        <v>6</v>
      </c>
      <c r="Q290" t="s">
        <v>69</v>
      </c>
      <c r="R290" s="3">
        <v>7.0000000000000007E-2</v>
      </c>
      <c r="S290" s="2">
        <v>248.71770000000004</v>
      </c>
      <c r="T290">
        <v>2</v>
      </c>
      <c r="U290" t="str">
        <f t="shared" si="14"/>
        <v>Junho</v>
      </c>
    </row>
    <row r="291" spans="1:21">
      <c r="A291">
        <v>290</v>
      </c>
      <c r="B291" s="1">
        <v>43988</v>
      </c>
      <c r="C291" s="1" t="str">
        <f t="shared" si="12"/>
        <v>junho</v>
      </c>
      <c r="D291">
        <v>62</v>
      </c>
      <c r="E291" t="s">
        <v>38</v>
      </c>
      <c r="F291" t="s">
        <v>21</v>
      </c>
      <c r="G291" s="8">
        <v>29</v>
      </c>
      <c r="H291" s="2">
        <v>120</v>
      </c>
      <c r="I291" s="2">
        <v>3480</v>
      </c>
      <c r="J291" s="4">
        <v>7.0000000000000007E-2</v>
      </c>
      <c r="K291" s="2">
        <v>3236.4</v>
      </c>
      <c r="L291" s="2">
        <f t="shared" si="13"/>
        <v>243.59999999999991</v>
      </c>
      <c r="M291" s="1">
        <v>43995</v>
      </c>
      <c r="N291" s="1">
        <v>43995</v>
      </c>
      <c r="O291">
        <v>290</v>
      </c>
      <c r="P291">
        <v>5</v>
      </c>
      <c r="Q291" t="s">
        <v>34</v>
      </c>
      <c r="R291" s="3">
        <v>0.1</v>
      </c>
      <c r="S291" s="2">
        <v>323.64000000000004</v>
      </c>
      <c r="T291">
        <v>3</v>
      </c>
      <c r="U291" t="str">
        <f t="shared" si="14"/>
        <v>Junho</v>
      </c>
    </row>
    <row r="292" spans="1:21">
      <c r="A292">
        <v>291</v>
      </c>
      <c r="B292" s="1">
        <v>43988</v>
      </c>
      <c r="C292" s="1" t="str">
        <f t="shared" si="12"/>
        <v>junho</v>
      </c>
      <c r="D292">
        <v>89</v>
      </c>
      <c r="E292" t="s">
        <v>49</v>
      </c>
      <c r="F292" t="s">
        <v>55</v>
      </c>
      <c r="G292" s="8">
        <v>26</v>
      </c>
      <c r="H292" s="2">
        <v>105</v>
      </c>
      <c r="I292" s="2">
        <v>2730</v>
      </c>
      <c r="J292" s="4">
        <v>0.05</v>
      </c>
      <c r="K292" s="2">
        <v>2593.5</v>
      </c>
      <c r="L292" s="2">
        <f t="shared" si="13"/>
        <v>136.5</v>
      </c>
      <c r="M292" s="1">
        <v>44018</v>
      </c>
      <c r="O292">
        <v>291</v>
      </c>
      <c r="P292">
        <v>1</v>
      </c>
      <c r="Q292" t="s">
        <v>25</v>
      </c>
      <c r="R292" s="3">
        <v>0.1</v>
      </c>
      <c r="S292" s="2">
        <v>259.35000000000002</v>
      </c>
      <c r="T292">
        <v>4</v>
      </c>
      <c r="U292" t="str">
        <f t="shared" si="14"/>
        <v>Junho</v>
      </c>
    </row>
    <row r="293" spans="1:21">
      <c r="A293">
        <v>292</v>
      </c>
      <c r="B293" s="1">
        <v>43988</v>
      </c>
      <c r="C293" s="1" t="str">
        <f t="shared" si="12"/>
        <v>junho</v>
      </c>
      <c r="D293">
        <v>16</v>
      </c>
      <c r="E293" t="s">
        <v>27</v>
      </c>
      <c r="F293" t="s">
        <v>28</v>
      </c>
      <c r="G293" s="8">
        <v>36</v>
      </c>
      <c r="H293" s="2">
        <v>119</v>
      </c>
      <c r="I293" s="2">
        <v>4284</v>
      </c>
      <c r="J293" s="4">
        <v>0.02</v>
      </c>
      <c r="K293" s="2">
        <v>4198.32</v>
      </c>
      <c r="L293" s="2">
        <f t="shared" si="13"/>
        <v>85.680000000000291</v>
      </c>
      <c r="M293" s="1">
        <v>44009</v>
      </c>
      <c r="N293" s="1">
        <v>44009</v>
      </c>
      <c r="O293">
        <v>292</v>
      </c>
      <c r="P293">
        <v>6</v>
      </c>
      <c r="Q293" t="s">
        <v>43</v>
      </c>
      <c r="R293" s="3">
        <v>0.05</v>
      </c>
      <c r="S293" s="2">
        <v>209.916</v>
      </c>
      <c r="T293">
        <v>5</v>
      </c>
      <c r="U293" t="str">
        <f t="shared" si="14"/>
        <v>Junho</v>
      </c>
    </row>
    <row r="294" spans="1:21">
      <c r="A294">
        <v>293</v>
      </c>
      <c r="B294" s="1">
        <v>43989</v>
      </c>
      <c r="C294" s="1" t="str">
        <f t="shared" si="12"/>
        <v>junho</v>
      </c>
      <c r="D294">
        <v>85</v>
      </c>
      <c r="E294" t="s">
        <v>57</v>
      </c>
      <c r="F294" t="s">
        <v>50</v>
      </c>
      <c r="G294" s="8">
        <v>46</v>
      </c>
      <c r="H294" s="2">
        <v>117</v>
      </c>
      <c r="I294" s="2">
        <v>5382</v>
      </c>
      <c r="J294" s="4">
        <v>0.14000000000000001</v>
      </c>
      <c r="K294" s="2">
        <v>4628.5200000000004</v>
      </c>
      <c r="L294" s="2">
        <f t="shared" si="13"/>
        <v>753.47999999999956</v>
      </c>
      <c r="M294" s="1">
        <v>44010</v>
      </c>
      <c r="N294" s="1">
        <v>44010</v>
      </c>
      <c r="O294">
        <v>293</v>
      </c>
      <c r="P294">
        <v>1</v>
      </c>
      <c r="Q294" t="s">
        <v>34</v>
      </c>
      <c r="R294" s="3">
        <v>0.05</v>
      </c>
      <c r="S294" s="2">
        <v>231.42600000000004</v>
      </c>
      <c r="T294">
        <v>6</v>
      </c>
      <c r="U294" t="str">
        <f t="shared" si="14"/>
        <v>Junho</v>
      </c>
    </row>
    <row r="295" spans="1:21">
      <c r="A295">
        <v>294</v>
      </c>
      <c r="B295" s="1">
        <v>43989</v>
      </c>
      <c r="C295" s="1" t="str">
        <f t="shared" si="12"/>
        <v>junho</v>
      </c>
      <c r="D295">
        <v>90</v>
      </c>
      <c r="E295" t="s">
        <v>60</v>
      </c>
      <c r="F295" t="s">
        <v>50</v>
      </c>
      <c r="G295" s="8">
        <v>29</v>
      </c>
      <c r="H295" s="2">
        <v>101</v>
      </c>
      <c r="I295" s="2">
        <v>2929</v>
      </c>
      <c r="J295" s="4">
        <v>0.11</v>
      </c>
      <c r="K295" s="2">
        <v>2606.81</v>
      </c>
      <c r="L295" s="2">
        <f t="shared" si="13"/>
        <v>322.19000000000005</v>
      </c>
      <c r="M295" s="1">
        <v>44018</v>
      </c>
      <c r="N295" s="1">
        <v>44018</v>
      </c>
      <c r="O295">
        <v>294</v>
      </c>
      <c r="P295">
        <v>3</v>
      </c>
      <c r="Q295" t="s">
        <v>34</v>
      </c>
      <c r="R295" s="3">
        <v>7.0000000000000007E-2</v>
      </c>
      <c r="S295" s="2">
        <v>182.47670000000002</v>
      </c>
      <c r="T295">
        <v>7</v>
      </c>
      <c r="U295" t="str">
        <f t="shared" si="14"/>
        <v>Junho</v>
      </c>
    </row>
    <row r="296" spans="1:21">
      <c r="A296">
        <v>295</v>
      </c>
      <c r="B296" s="1">
        <v>43991</v>
      </c>
      <c r="C296" s="1" t="str">
        <f t="shared" si="12"/>
        <v>junho</v>
      </c>
      <c r="D296">
        <v>36</v>
      </c>
      <c r="E296" t="s">
        <v>70</v>
      </c>
      <c r="F296" t="s">
        <v>31</v>
      </c>
      <c r="G296" s="8">
        <v>18</v>
      </c>
      <c r="H296" s="2">
        <v>95</v>
      </c>
      <c r="I296" s="2">
        <v>1710</v>
      </c>
      <c r="J296" s="4">
        <v>0.12</v>
      </c>
      <c r="K296" s="2">
        <v>1504.8</v>
      </c>
      <c r="L296" s="2">
        <f t="shared" si="13"/>
        <v>205.20000000000005</v>
      </c>
      <c r="M296" s="1">
        <v>44016</v>
      </c>
      <c r="N296" s="1">
        <v>44016</v>
      </c>
      <c r="O296">
        <v>295</v>
      </c>
      <c r="P296">
        <v>6</v>
      </c>
      <c r="Q296" t="s">
        <v>22</v>
      </c>
      <c r="R296" s="3">
        <v>0.1</v>
      </c>
      <c r="S296" s="2">
        <v>150.47999999999999</v>
      </c>
      <c r="T296">
        <v>1</v>
      </c>
      <c r="U296" t="str">
        <f t="shared" si="14"/>
        <v>Junho</v>
      </c>
    </row>
    <row r="297" spans="1:21">
      <c r="A297">
        <v>296</v>
      </c>
      <c r="B297" s="1">
        <v>43992</v>
      </c>
      <c r="C297" s="1" t="str">
        <f t="shared" si="12"/>
        <v>junho</v>
      </c>
      <c r="D297">
        <v>79</v>
      </c>
      <c r="E297" t="s">
        <v>33</v>
      </c>
      <c r="F297" t="s">
        <v>28</v>
      </c>
      <c r="G297" s="8">
        <v>41</v>
      </c>
      <c r="H297" s="2">
        <v>112</v>
      </c>
      <c r="I297" s="2">
        <v>4592</v>
      </c>
      <c r="J297" s="4">
        <v>0.1</v>
      </c>
      <c r="K297" s="2">
        <v>4132.8</v>
      </c>
      <c r="L297" s="2">
        <f t="shared" si="13"/>
        <v>459.19999999999982</v>
      </c>
      <c r="M297" s="1">
        <v>44019</v>
      </c>
      <c r="N297" s="1">
        <v>44019</v>
      </c>
      <c r="O297">
        <v>296</v>
      </c>
      <c r="P297">
        <v>1</v>
      </c>
      <c r="Q297" t="s">
        <v>22</v>
      </c>
      <c r="R297" s="3">
        <v>0.1</v>
      </c>
      <c r="S297" s="2">
        <v>413.28000000000003</v>
      </c>
      <c r="T297">
        <v>2</v>
      </c>
      <c r="U297" t="str">
        <f t="shared" si="14"/>
        <v>Junho</v>
      </c>
    </row>
    <row r="298" spans="1:21">
      <c r="A298">
        <v>297</v>
      </c>
      <c r="B298" s="1">
        <v>43992</v>
      </c>
      <c r="C298" s="1" t="str">
        <f t="shared" si="12"/>
        <v>junho</v>
      </c>
      <c r="D298">
        <v>95</v>
      </c>
      <c r="E298" t="s">
        <v>38</v>
      </c>
      <c r="F298" t="s">
        <v>41</v>
      </c>
      <c r="G298" s="8">
        <v>37</v>
      </c>
      <c r="H298" s="2">
        <v>96</v>
      </c>
      <c r="I298" s="2">
        <v>3552</v>
      </c>
      <c r="J298" s="4">
        <v>0.1</v>
      </c>
      <c r="K298" s="2">
        <v>3196.8</v>
      </c>
      <c r="L298" s="2">
        <f t="shared" si="13"/>
        <v>355.19999999999982</v>
      </c>
      <c r="M298" s="1">
        <v>44004</v>
      </c>
      <c r="N298" s="1">
        <v>44004</v>
      </c>
      <c r="O298">
        <v>297</v>
      </c>
      <c r="P298">
        <v>7</v>
      </c>
      <c r="Q298" t="s">
        <v>22</v>
      </c>
      <c r="R298" s="3">
        <v>0.06</v>
      </c>
      <c r="S298" s="2">
        <v>191.80799999999999</v>
      </c>
      <c r="T298">
        <v>3</v>
      </c>
      <c r="U298" t="str">
        <f t="shared" si="14"/>
        <v>Junho</v>
      </c>
    </row>
    <row r="299" spans="1:21">
      <c r="A299">
        <v>298</v>
      </c>
      <c r="B299" s="1">
        <v>43992</v>
      </c>
      <c r="C299" s="1" t="str">
        <f t="shared" si="12"/>
        <v>junho</v>
      </c>
      <c r="D299">
        <v>7</v>
      </c>
      <c r="E299" t="s">
        <v>102</v>
      </c>
      <c r="F299" t="s">
        <v>50</v>
      </c>
      <c r="G299" s="8">
        <v>12</v>
      </c>
      <c r="H299" s="2">
        <v>110</v>
      </c>
      <c r="I299" s="2">
        <v>1320</v>
      </c>
      <c r="J299" s="4">
        <v>0.1</v>
      </c>
      <c r="K299" s="2">
        <v>1188</v>
      </c>
      <c r="L299" s="2">
        <f t="shared" si="13"/>
        <v>132</v>
      </c>
      <c r="M299" s="1">
        <v>43996</v>
      </c>
      <c r="N299" s="1">
        <v>43996</v>
      </c>
      <c r="O299">
        <v>298</v>
      </c>
      <c r="P299">
        <v>6</v>
      </c>
      <c r="Q299" t="s">
        <v>37</v>
      </c>
      <c r="R299" s="3">
        <v>7.0000000000000007E-2</v>
      </c>
      <c r="S299" s="2">
        <v>83.160000000000011</v>
      </c>
      <c r="T299">
        <v>4</v>
      </c>
      <c r="U299" t="str">
        <f t="shared" si="14"/>
        <v>Junho</v>
      </c>
    </row>
    <row r="300" spans="1:21">
      <c r="A300">
        <v>299</v>
      </c>
      <c r="B300" s="1">
        <v>43993</v>
      </c>
      <c r="C300" s="1" t="str">
        <f t="shared" si="12"/>
        <v>junho</v>
      </c>
      <c r="D300">
        <v>30</v>
      </c>
      <c r="E300" t="s">
        <v>96</v>
      </c>
      <c r="F300" t="s">
        <v>24</v>
      </c>
      <c r="G300" s="8">
        <v>17</v>
      </c>
      <c r="H300" s="2">
        <v>104</v>
      </c>
      <c r="I300" s="2">
        <v>1768</v>
      </c>
      <c r="J300" s="4">
        <v>0.09</v>
      </c>
      <c r="K300" s="2">
        <v>1608.88</v>
      </c>
      <c r="L300" s="2">
        <f t="shared" si="13"/>
        <v>159.11999999999989</v>
      </c>
      <c r="M300" s="1">
        <v>44021</v>
      </c>
      <c r="N300" s="1">
        <v>44021</v>
      </c>
      <c r="O300">
        <v>299</v>
      </c>
      <c r="P300">
        <v>5</v>
      </c>
      <c r="Q300" t="s">
        <v>32</v>
      </c>
      <c r="R300" s="3">
        <v>0.05</v>
      </c>
      <c r="S300" s="2">
        <v>80.444000000000017</v>
      </c>
      <c r="T300">
        <v>5</v>
      </c>
      <c r="U300" t="str">
        <f t="shared" si="14"/>
        <v>Junho</v>
      </c>
    </row>
    <row r="301" spans="1:21">
      <c r="A301">
        <v>300</v>
      </c>
      <c r="B301" s="1">
        <v>43993</v>
      </c>
      <c r="C301" s="1" t="str">
        <f t="shared" si="12"/>
        <v>junho</v>
      </c>
      <c r="D301">
        <v>51</v>
      </c>
      <c r="E301" t="s">
        <v>53</v>
      </c>
      <c r="F301" t="s">
        <v>46</v>
      </c>
      <c r="G301" s="8">
        <v>45</v>
      </c>
      <c r="H301" s="2">
        <v>109</v>
      </c>
      <c r="I301" s="2">
        <v>4905</v>
      </c>
      <c r="J301" s="4">
        <v>0.1</v>
      </c>
      <c r="K301" s="2">
        <v>4414.5</v>
      </c>
      <c r="L301" s="2">
        <f t="shared" si="13"/>
        <v>490.5</v>
      </c>
      <c r="M301" s="1">
        <v>44000</v>
      </c>
      <c r="N301" s="1">
        <v>44000</v>
      </c>
      <c r="O301">
        <v>300</v>
      </c>
      <c r="P301">
        <v>2</v>
      </c>
      <c r="Q301" t="s">
        <v>47</v>
      </c>
      <c r="R301" s="3">
        <v>0.06</v>
      </c>
      <c r="S301" s="2">
        <v>264.87</v>
      </c>
      <c r="T301">
        <v>6</v>
      </c>
      <c r="U301" t="str">
        <f t="shared" si="14"/>
        <v>Junho</v>
      </c>
    </row>
    <row r="302" spans="1:21">
      <c r="A302">
        <v>301</v>
      </c>
      <c r="B302" s="1">
        <v>43994</v>
      </c>
      <c r="C302" s="1" t="str">
        <f t="shared" si="12"/>
        <v>junho</v>
      </c>
      <c r="D302">
        <v>78</v>
      </c>
      <c r="E302" t="s">
        <v>36</v>
      </c>
      <c r="F302" t="s">
        <v>41</v>
      </c>
      <c r="G302" s="8">
        <v>37</v>
      </c>
      <c r="H302" s="2">
        <v>101</v>
      </c>
      <c r="I302" s="2">
        <v>3737</v>
      </c>
      <c r="J302" s="4">
        <v>0.14000000000000001</v>
      </c>
      <c r="K302" s="2">
        <v>3213.8199999999997</v>
      </c>
      <c r="L302" s="2">
        <f t="shared" si="13"/>
        <v>523.18000000000029</v>
      </c>
      <c r="M302" s="1">
        <v>44001</v>
      </c>
      <c r="N302" s="1">
        <v>44001</v>
      </c>
      <c r="O302">
        <v>301</v>
      </c>
      <c r="P302">
        <v>1</v>
      </c>
      <c r="Q302" t="s">
        <v>29</v>
      </c>
      <c r="R302" s="3">
        <v>0.09</v>
      </c>
      <c r="S302" s="2">
        <v>289.24379999999996</v>
      </c>
      <c r="T302">
        <v>7</v>
      </c>
      <c r="U302" t="str">
        <f t="shared" si="14"/>
        <v>Junho</v>
      </c>
    </row>
    <row r="303" spans="1:21">
      <c r="A303">
        <v>302</v>
      </c>
      <c r="B303" s="1">
        <v>43994</v>
      </c>
      <c r="C303" s="1" t="str">
        <f t="shared" si="12"/>
        <v>junho</v>
      </c>
      <c r="D303">
        <v>5</v>
      </c>
      <c r="E303" t="s">
        <v>38</v>
      </c>
      <c r="F303" t="s">
        <v>59</v>
      </c>
      <c r="G303" s="8">
        <v>48</v>
      </c>
      <c r="H303" s="2">
        <v>107</v>
      </c>
      <c r="I303" s="2">
        <v>5136</v>
      </c>
      <c r="J303" s="4">
        <v>0.04</v>
      </c>
      <c r="K303" s="2">
        <v>4930.5600000000004</v>
      </c>
      <c r="L303" s="2">
        <f t="shared" si="13"/>
        <v>205.4399999999996</v>
      </c>
      <c r="M303" s="1">
        <v>44000</v>
      </c>
      <c r="O303">
        <v>302</v>
      </c>
      <c r="P303">
        <v>1</v>
      </c>
      <c r="Q303" t="s">
        <v>22</v>
      </c>
      <c r="R303" s="3">
        <v>0.05</v>
      </c>
      <c r="S303" s="2">
        <v>246.52800000000002</v>
      </c>
      <c r="T303">
        <v>1</v>
      </c>
      <c r="U303" t="str">
        <f t="shared" si="14"/>
        <v>Junho</v>
      </c>
    </row>
    <row r="304" spans="1:21">
      <c r="A304">
        <v>303</v>
      </c>
      <c r="B304" s="1">
        <v>43994</v>
      </c>
      <c r="C304" s="1" t="str">
        <f t="shared" si="12"/>
        <v>junho</v>
      </c>
      <c r="D304">
        <v>33</v>
      </c>
      <c r="E304" t="s">
        <v>76</v>
      </c>
      <c r="F304" t="s">
        <v>55</v>
      </c>
      <c r="G304" s="8">
        <v>28</v>
      </c>
      <c r="H304" s="2">
        <v>104</v>
      </c>
      <c r="I304" s="2">
        <v>2912</v>
      </c>
      <c r="J304" s="4">
        <v>0.09</v>
      </c>
      <c r="K304" s="2">
        <v>2649.92</v>
      </c>
      <c r="L304" s="2">
        <f t="shared" si="13"/>
        <v>262.07999999999993</v>
      </c>
      <c r="M304" s="1">
        <v>44009</v>
      </c>
      <c r="N304" s="1">
        <v>44009</v>
      </c>
      <c r="O304">
        <v>303</v>
      </c>
      <c r="P304">
        <v>4</v>
      </c>
      <c r="Q304" t="s">
        <v>34</v>
      </c>
      <c r="R304" s="3">
        <v>0.1</v>
      </c>
      <c r="S304" s="2">
        <v>264.99200000000002</v>
      </c>
      <c r="T304">
        <v>2</v>
      </c>
      <c r="U304" t="str">
        <f t="shared" si="14"/>
        <v>Junho</v>
      </c>
    </row>
    <row r="305" spans="1:21">
      <c r="A305">
        <v>304</v>
      </c>
      <c r="B305" s="1">
        <v>43996</v>
      </c>
      <c r="C305" s="1" t="str">
        <f t="shared" si="12"/>
        <v>junho</v>
      </c>
      <c r="D305">
        <v>6</v>
      </c>
      <c r="E305" t="s">
        <v>88</v>
      </c>
      <c r="F305" t="s">
        <v>54</v>
      </c>
      <c r="G305" s="8">
        <v>45</v>
      </c>
      <c r="H305" s="2">
        <v>107</v>
      </c>
      <c r="I305" s="2">
        <v>4815</v>
      </c>
      <c r="J305" s="4">
        <v>0.06</v>
      </c>
      <c r="K305" s="2">
        <v>4526.1000000000004</v>
      </c>
      <c r="L305" s="2">
        <f t="shared" si="13"/>
        <v>288.89999999999964</v>
      </c>
      <c r="M305" s="1">
        <v>44009</v>
      </c>
      <c r="N305" s="1">
        <v>44009</v>
      </c>
      <c r="O305">
        <v>304</v>
      </c>
      <c r="P305">
        <v>7</v>
      </c>
      <c r="Q305" t="s">
        <v>47</v>
      </c>
      <c r="R305" s="3">
        <v>0.1</v>
      </c>
      <c r="S305" s="2">
        <v>452.61000000000007</v>
      </c>
      <c r="T305">
        <v>3</v>
      </c>
      <c r="U305" t="str">
        <f t="shared" si="14"/>
        <v>Junho</v>
      </c>
    </row>
    <row r="306" spans="1:21">
      <c r="A306">
        <v>305</v>
      </c>
      <c r="B306" s="1">
        <v>43996</v>
      </c>
      <c r="C306" s="1" t="str">
        <f t="shared" si="12"/>
        <v>junho</v>
      </c>
      <c r="D306">
        <v>4</v>
      </c>
      <c r="E306" t="s">
        <v>86</v>
      </c>
      <c r="F306" t="s">
        <v>28</v>
      </c>
      <c r="G306" s="8">
        <v>15</v>
      </c>
      <c r="H306" s="2">
        <v>110</v>
      </c>
      <c r="I306" s="2">
        <v>1650</v>
      </c>
      <c r="J306" s="4">
        <v>0.03</v>
      </c>
      <c r="K306" s="2">
        <v>1600.5</v>
      </c>
      <c r="L306" s="2">
        <f t="shared" si="13"/>
        <v>49.5</v>
      </c>
      <c r="M306" s="1">
        <v>44017</v>
      </c>
      <c r="N306" s="1">
        <v>44017</v>
      </c>
      <c r="O306">
        <v>305</v>
      </c>
      <c r="P306">
        <v>2</v>
      </c>
      <c r="Q306" t="s">
        <v>29</v>
      </c>
      <c r="R306" s="3">
        <v>0.08</v>
      </c>
      <c r="S306" s="2">
        <v>128.04</v>
      </c>
      <c r="T306">
        <v>4</v>
      </c>
      <c r="U306" t="str">
        <f t="shared" si="14"/>
        <v>Junho</v>
      </c>
    </row>
    <row r="307" spans="1:21">
      <c r="A307">
        <v>306</v>
      </c>
      <c r="B307" s="1">
        <v>43996</v>
      </c>
      <c r="C307" s="1" t="str">
        <f t="shared" si="12"/>
        <v>junho</v>
      </c>
      <c r="D307">
        <v>11</v>
      </c>
      <c r="E307" t="s">
        <v>60</v>
      </c>
      <c r="F307" t="s">
        <v>50</v>
      </c>
      <c r="G307" s="8">
        <v>18</v>
      </c>
      <c r="H307" s="2">
        <v>111</v>
      </c>
      <c r="I307" s="2">
        <v>1998</v>
      </c>
      <c r="J307" s="4">
        <v>0.04</v>
      </c>
      <c r="K307" s="2">
        <v>1918.08</v>
      </c>
      <c r="L307" s="2">
        <f t="shared" si="13"/>
        <v>79.920000000000073</v>
      </c>
      <c r="M307" s="1">
        <v>44019</v>
      </c>
      <c r="N307" s="1">
        <v>44019</v>
      </c>
      <c r="O307">
        <v>306</v>
      </c>
      <c r="P307">
        <v>1</v>
      </c>
      <c r="Q307" t="s">
        <v>34</v>
      </c>
      <c r="R307" s="3">
        <v>0.09</v>
      </c>
      <c r="S307" s="2">
        <v>172.62719999999999</v>
      </c>
      <c r="T307">
        <v>5</v>
      </c>
      <c r="U307" t="str">
        <f t="shared" si="14"/>
        <v>Junho</v>
      </c>
    </row>
    <row r="308" spans="1:21">
      <c r="A308">
        <v>307</v>
      </c>
      <c r="B308" s="1">
        <v>43997</v>
      </c>
      <c r="C308" s="1" t="str">
        <f t="shared" si="12"/>
        <v>junho</v>
      </c>
      <c r="D308">
        <v>72</v>
      </c>
      <c r="E308" t="s">
        <v>38</v>
      </c>
      <c r="F308" t="s">
        <v>24</v>
      </c>
      <c r="G308" s="8">
        <v>30</v>
      </c>
      <c r="H308" s="2">
        <v>96</v>
      </c>
      <c r="I308" s="2">
        <v>2880</v>
      </c>
      <c r="J308" s="4">
        <v>0.03</v>
      </c>
      <c r="K308" s="2">
        <v>2793.6</v>
      </c>
      <c r="L308" s="2">
        <f t="shared" si="13"/>
        <v>86.400000000000091</v>
      </c>
      <c r="M308" s="1">
        <v>44022</v>
      </c>
      <c r="N308" s="1">
        <v>44022</v>
      </c>
      <c r="O308">
        <v>307</v>
      </c>
      <c r="P308">
        <v>1</v>
      </c>
      <c r="Q308" t="s">
        <v>25</v>
      </c>
      <c r="R308" s="3">
        <v>0.1</v>
      </c>
      <c r="S308" s="2">
        <v>279.36</v>
      </c>
      <c r="T308">
        <v>6</v>
      </c>
      <c r="U308" t="str">
        <f t="shared" si="14"/>
        <v>Junho</v>
      </c>
    </row>
    <row r="309" spans="1:21">
      <c r="A309">
        <v>308</v>
      </c>
      <c r="B309" s="1">
        <v>43997</v>
      </c>
      <c r="C309" s="1" t="str">
        <f t="shared" si="12"/>
        <v>junho</v>
      </c>
      <c r="D309">
        <v>86</v>
      </c>
      <c r="E309" t="s">
        <v>90</v>
      </c>
      <c r="F309" t="s">
        <v>50</v>
      </c>
      <c r="G309" s="8">
        <v>28</v>
      </c>
      <c r="H309" s="2">
        <v>110</v>
      </c>
      <c r="I309" s="2">
        <v>3080</v>
      </c>
      <c r="J309" s="4">
        <v>7.0000000000000007E-2</v>
      </c>
      <c r="K309" s="2">
        <v>2864.4</v>
      </c>
      <c r="L309" s="2">
        <f t="shared" si="13"/>
        <v>215.59999999999991</v>
      </c>
      <c r="M309" s="1">
        <v>44024</v>
      </c>
      <c r="N309" s="1">
        <v>44024</v>
      </c>
      <c r="O309">
        <v>308</v>
      </c>
      <c r="P309">
        <v>4</v>
      </c>
      <c r="Q309" t="s">
        <v>47</v>
      </c>
      <c r="R309" s="3">
        <v>0.09</v>
      </c>
      <c r="S309" s="2">
        <v>257.79599999999999</v>
      </c>
      <c r="T309">
        <v>7</v>
      </c>
      <c r="U309" t="str">
        <f t="shared" si="14"/>
        <v>Junho</v>
      </c>
    </row>
    <row r="310" spans="1:21">
      <c r="A310">
        <v>309</v>
      </c>
      <c r="B310" s="1">
        <v>43998</v>
      </c>
      <c r="C310" s="1" t="str">
        <f t="shared" si="12"/>
        <v>junho</v>
      </c>
      <c r="D310">
        <v>46</v>
      </c>
      <c r="E310" t="s">
        <v>94</v>
      </c>
      <c r="F310" t="s">
        <v>24</v>
      </c>
      <c r="G310" s="8">
        <v>26</v>
      </c>
      <c r="H310" s="2">
        <v>101</v>
      </c>
      <c r="I310" s="2">
        <v>2626</v>
      </c>
      <c r="J310" s="4">
        <v>7.0000000000000007E-2</v>
      </c>
      <c r="K310" s="2">
        <v>2442.1799999999998</v>
      </c>
      <c r="L310" s="2">
        <f t="shared" si="13"/>
        <v>183.82000000000016</v>
      </c>
      <c r="M310" s="1">
        <v>44016</v>
      </c>
      <c r="N310" s="1">
        <v>44016</v>
      </c>
      <c r="O310">
        <v>309</v>
      </c>
      <c r="P310">
        <v>2</v>
      </c>
      <c r="Q310" t="s">
        <v>47</v>
      </c>
      <c r="R310" s="3">
        <v>0.1</v>
      </c>
      <c r="S310" s="2">
        <v>244.21799999999999</v>
      </c>
      <c r="T310">
        <v>1</v>
      </c>
      <c r="U310" t="str">
        <f t="shared" si="14"/>
        <v>Junho</v>
      </c>
    </row>
    <row r="311" spans="1:21">
      <c r="A311">
        <v>310</v>
      </c>
      <c r="B311" s="1">
        <v>43998</v>
      </c>
      <c r="C311" s="1" t="str">
        <f t="shared" si="12"/>
        <v>junho</v>
      </c>
      <c r="D311">
        <v>52</v>
      </c>
      <c r="E311" t="s">
        <v>23</v>
      </c>
      <c r="F311" t="s">
        <v>21</v>
      </c>
      <c r="G311" s="8">
        <v>41</v>
      </c>
      <c r="H311" s="2">
        <v>98</v>
      </c>
      <c r="I311" s="2">
        <v>4018</v>
      </c>
      <c r="J311" s="4">
        <v>0.14000000000000001</v>
      </c>
      <c r="K311" s="2">
        <v>3455.48</v>
      </c>
      <c r="L311" s="2">
        <f t="shared" si="13"/>
        <v>562.52</v>
      </c>
      <c r="M311" s="1">
        <v>44021</v>
      </c>
      <c r="N311" s="1">
        <v>44021</v>
      </c>
      <c r="O311">
        <v>310</v>
      </c>
      <c r="P311">
        <v>2</v>
      </c>
      <c r="Q311" t="s">
        <v>22</v>
      </c>
      <c r="R311" s="3">
        <v>0.08</v>
      </c>
      <c r="S311" s="2">
        <v>276.4384</v>
      </c>
      <c r="T311">
        <v>2</v>
      </c>
      <c r="U311" t="str">
        <f t="shared" si="14"/>
        <v>Junho</v>
      </c>
    </row>
    <row r="312" spans="1:21">
      <c r="A312">
        <v>311</v>
      </c>
      <c r="B312" s="1">
        <v>43999</v>
      </c>
      <c r="C312" s="1" t="str">
        <f t="shared" si="12"/>
        <v>junho</v>
      </c>
      <c r="D312">
        <v>31</v>
      </c>
      <c r="E312" t="s">
        <v>85</v>
      </c>
      <c r="F312" t="s">
        <v>54</v>
      </c>
      <c r="G312" s="8">
        <v>32</v>
      </c>
      <c r="H312" s="2">
        <v>109</v>
      </c>
      <c r="I312" s="2">
        <v>3488</v>
      </c>
      <c r="J312" s="4">
        <v>0.08</v>
      </c>
      <c r="K312" s="2">
        <v>3208.96</v>
      </c>
      <c r="L312" s="2">
        <f t="shared" si="13"/>
        <v>279.03999999999996</v>
      </c>
      <c r="M312" s="1">
        <v>44004</v>
      </c>
      <c r="N312" s="1">
        <v>44004</v>
      </c>
      <c r="O312">
        <v>311</v>
      </c>
      <c r="P312">
        <v>4</v>
      </c>
      <c r="Q312" t="s">
        <v>22</v>
      </c>
      <c r="R312" s="3">
        <v>7.0000000000000007E-2</v>
      </c>
      <c r="S312" s="2">
        <v>224.62720000000002</v>
      </c>
      <c r="T312">
        <v>3</v>
      </c>
      <c r="U312" t="str">
        <f t="shared" si="14"/>
        <v>Junho</v>
      </c>
    </row>
    <row r="313" spans="1:21">
      <c r="A313">
        <v>312</v>
      </c>
      <c r="B313" s="1">
        <v>43999</v>
      </c>
      <c r="C313" s="1" t="str">
        <f t="shared" si="12"/>
        <v>junho</v>
      </c>
      <c r="D313">
        <v>57</v>
      </c>
      <c r="E313" t="s">
        <v>89</v>
      </c>
      <c r="F313" t="s">
        <v>24</v>
      </c>
      <c r="G313" s="8">
        <v>16</v>
      </c>
      <c r="H313" s="2">
        <v>103</v>
      </c>
      <c r="I313" s="2">
        <v>1648</v>
      </c>
      <c r="J313" s="4">
        <v>0.03</v>
      </c>
      <c r="K313" s="2">
        <v>1598.56</v>
      </c>
      <c r="L313" s="2">
        <f t="shared" si="13"/>
        <v>49.440000000000055</v>
      </c>
      <c r="M313" s="1">
        <v>44000</v>
      </c>
      <c r="N313" s="1">
        <v>44000</v>
      </c>
      <c r="O313">
        <v>312</v>
      </c>
      <c r="P313">
        <v>2</v>
      </c>
      <c r="Q313" t="s">
        <v>22</v>
      </c>
      <c r="R313" s="3">
        <v>7.0000000000000007E-2</v>
      </c>
      <c r="S313" s="2">
        <v>111.89920000000001</v>
      </c>
      <c r="T313">
        <v>4</v>
      </c>
      <c r="U313" t="str">
        <f t="shared" si="14"/>
        <v>Junho</v>
      </c>
    </row>
    <row r="314" spans="1:21">
      <c r="A314">
        <v>313</v>
      </c>
      <c r="B314" s="1">
        <v>43999</v>
      </c>
      <c r="C314" s="1" t="str">
        <f t="shared" si="12"/>
        <v>junho</v>
      </c>
      <c r="D314">
        <v>18</v>
      </c>
      <c r="E314" t="s">
        <v>83</v>
      </c>
      <c r="F314" t="s">
        <v>50</v>
      </c>
      <c r="G314" s="8">
        <v>50</v>
      </c>
      <c r="H314" s="2">
        <v>97</v>
      </c>
      <c r="I314" s="2">
        <v>4850</v>
      </c>
      <c r="J314" s="4">
        <v>0.02</v>
      </c>
      <c r="K314" s="2">
        <v>4753</v>
      </c>
      <c r="L314" s="2">
        <f t="shared" si="13"/>
        <v>97</v>
      </c>
      <c r="M314" s="1">
        <v>44013</v>
      </c>
      <c r="N314" s="1">
        <v>44013</v>
      </c>
      <c r="O314">
        <v>313</v>
      </c>
      <c r="P314">
        <v>7</v>
      </c>
      <c r="Q314" t="s">
        <v>25</v>
      </c>
      <c r="R314" s="3">
        <v>0.08</v>
      </c>
      <c r="S314" s="2">
        <v>380.24</v>
      </c>
      <c r="T314">
        <v>5</v>
      </c>
      <c r="U314" t="str">
        <f t="shared" si="14"/>
        <v>Junho</v>
      </c>
    </row>
    <row r="315" spans="1:21">
      <c r="A315">
        <v>314</v>
      </c>
      <c r="B315" s="1">
        <v>43999</v>
      </c>
      <c r="C315" s="1" t="str">
        <f t="shared" si="12"/>
        <v>junho</v>
      </c>
      <c r="D315">
        <v>18</v>
      </c>
      <c r="E315" t="s">
        <v>83</v>
      </c>
      <c r="F315" t="s">
        <v>59</v>
      </c>
      <c r="G315" s="8">
        <v>18</v>
      </c>
      <c r="H315" s="2">
        <v>100</v>
      </c>
      <c r="I315" s="2">
        <v>1800</v>
      </c>
      <c r="J315" s="4">
        <v>0.14000000000000001</v>
      </c>
      <c r="K315" s="2">
        <v>1548</v>
      </c>
      <c r="L315" s="2">
        <f t="shared" si="13"/>
        <v>252</v>
      </c>
      <c r="M315" s="1">
        <v>44011</v>
      </c>
      <c r="N315" s="1">
        <v>44011</v>
      </c>
      <c r="O315">
        <v>314</v>
      </c>
      <c r="P315">
        <v>2</v>
      </c>
      <c r="Q315" t="s">
        <v>32</v>
      </c>
      <c r="R315" s="3">
        <v>7.0000000000000007E-2</v>
      </c>
      <c r="S315" s="2">
        <v>108.36000000000001</v>
      </c>
      <c r="T315">
        <v>6</v>
      </c>
      <c r="U315" t="str">
        <f t="shared" si="14"/>
        <v>Junho</v>
      </c>
    </row>
    <row r="316" spans="1:21">
      <c r="A316">
        <v>315</v>
      </c>
      <c r="B316" s="1">
        <v>44000</v>
      </c>
      <c r="C316" s="1" t="str">
        <f t="shared" si="12"/>
        <v>junho</v>
      </c>
      <c r="D316">
        <v>6</v>
      </c>
      <c r="E316" t="s">
        <v>88</v>
      </c>
      <c r="F316" t="s">
        <v>59</v>
      </c>
      <c r="G316" s="8">
        <v>47</v>
      </c>
      <c r="H316" s="2">
        <v>108</v>
      </c>
      <c r="I316" s="2">
        <v>5076</v>
      </c>
      <c r="J316" s="4">
        <v>0.05</v>
      </c>
      <c r="K316" s="2">
        <v>4822.2</v>
      </c>
      <c r="L316" s="2">
        <f t="shared" si="13"/>
        <v>253.80000000000018</v>
      </c>
      <c r="M316" s="1">
        <v>44002</v>
      </c>
      <c r="N316" s="1">
        <v>44002</v>
      </c>
      <c r="O316">
        <v>315</v>
      </c>
      <c r="P316">
        <v>5</v>
      </c>
      <c r="Q316" t="s">
        <v>47</v>
      </c>
      <c r="R316" s="3">
        <v>0.05</v>
      </c>
      <c r="S316" s="2">
        <v>241.11</v>
      </c>
      <c r="T316">
        <v>7</v>
      </c>
      <c r="U316" t="str">
        <f t="shared" si="14"/>
        <v>Junho</v>
      </c>
    </row>
    <row r="317" spans="1:21">
      <c r="A317">
        <v>316</v>
      </c>
      <c r="B317" s="1">
        <v>44000</v>
      </c>
      <c r="C317" s="1" t="str">
        <f t="shared" si="12"/>
        <v>junho</v>
      </c>
      <c r="D317">
        <v>74</v>
      </c>
      <c r="E317" t="s">
        <v>38</v>
      </c>
      <c r="F317" t="s">
        <v>21</v>
      </c>
      <c r="G317" s="8">
        <v>34</v>
      </c>
      <c r="H317" s="2">
        <v>98</v>
      </c>
      <c r="I317" s="2">
        <v>3332</v>
      </c>
      <c r="J317" s="4">
        <v>0.02</v>
      </c>
      <c r="K317" s="2">
        <v>3265.36</v>
      </c>
      <c r="L317" s="2">
        <f t="shared" si="13"/>
        <v>66.639999999999873</v>
      </c>
      <c r="M317" s="1">
        <v>44021</v>
      </c>
      <c r="N317" s="1">
        <v>44021</v>
      </c>
      <c r="O317">
        <v>316</v>
      </c>
      <c r="P317">
        <v>2</v>
      </c>
      <c r="Q317" t="s">
        <v>52</v>
      </c>
      <c r="R317" s="3">
        <v>0.1</v>
      </c>
      <c r="S317" s="2">
        <v>326.53600000000006</v>
      </c>
      <c r="T317">
        <v>1</v>
      </c>
      <c r="U317" t="str">
        <f t="shared" si="14"/>
        <v>Junho</v>
      </c>
    </row>
    <row r="318" spans="1:21">
      <c r="A318">
        <v>317</v>
      </c>
      <c r="B318" s="1">
        <v>44000</v>
      </c>
      <c r="C318" s="1" t="str">
        <f t="shared" si="12"/>
        <v>junho</v>
      </c>
      <c r="D318">
        <v>32</v>
      </c>
      <c r="E318" t="s">
        <v>77</v>
      </c>
      <c r="F318" t="s">
        <v>24</v>
      </c>
      <c r="G318" s="8">
        <v>26</v>
      </c>
      <c r="H318" s="2">
        <v>112</v>
      </c>
      <c r="I318" s="2">
        <v>2912</v>
      </c>
      <c r="J318" s="4">
        <v>0.12</v>
      </c>
      <c r="K318" s="2">
        <v>2562.56</v>
      </c>
      <c r="L318" s="2">
        <f t="shared" si="13"/>
        <v>349.44000000000005</v>
      </c>
      <c r="M318" s="1">
        <v>44007</v>
      </c>
      <c r="N318" s="1">
        <v>44007</v>
      </c>
      <c r="O318">
        <v>317</v>
      </c>
      <c r="P318">
        <v>4</v>
      </c>
      <c r="Q318" t="s">
        <v>43</v>
      </c>
      <c r="R318" s="3">
        <v>0.09</v>
      </c>
      <c r="S318" s="2">
        <v>230.63039999999998</v>
      </c>
      <c r="T318">
        <v>2</v>
      </c>
      <c r="U318" t="str">
        <f t="shared" si="14"/>
        <v>Junho</v>
      </c>
    </row>
    <row r="319" spans="1:21">
      <c r="A319">
        <v>318</v>
      </c>
      <c r="B319" s="1">
        <v>44001</v>
      </c>
      <c r="C319" s="1" t="str">
        <f t="shared" si="12"/>
        <v>junho</v>
      </c>
      <c r="D319">
        <v>84</v>
      </c>
      <c r="E319" t="s">
        <v>44</v>
      </c>
      <c r="F319" t="s">
        <v>21</v>
      </c>
      <c r="G319" s="8">
        <v>46</v>
      </c>
      <c r="H319" s="2">
        <v>107</v>
      </c>
      <c r="I319" s="2">
        <v>4922</v>
      </c>
      <c r="J319" s="4">
        <v>0.02</v>
      </c>
      <c r="K319" s="2">
        <v>4823.5600000000004</v>
      </c>
      <c r="L319" s="2">
        <f t="shared" si="13"/>
        <v>98.4399999999996</v>
      </c>
      <c r="M319" s="1">
        <v>44023</v>
      </c>
      <c r="N319" s="1">
        <v>44023</v>
      </c>
      <c r="O319">
        <v>318</v>
      </c>
      <c r="P319">
        <v>3</v>
      </c>
      <c r="Q319" t="s">
        <v>43</v>
      </c>
      <c r="R319" s="3">
        <v>0.05</v>
      </c>
      <c r="S319" s="2">
        <v>241.17800000000003</v>
      </c>
      <c r="T319">
        <v>3</v>
      </c>
      <c r="U319" t="str">
        <f t="shared" si="14"/>
        <v>Junho</v>
      </c>
    </row>
    <row r="320" spans="1:21">
      <c r="A320">
        <v>319</v>
      </c>
      <c r="B320" s="1">
        <v>44001</v>
      </c>
      <c r="C320" s="1" t="str">
        <f t="shared" si="12"/>
        <v>junho</v>
      </c>
      <c r="D320">
        <v>41</v>
      </c>
      <c r="E320" t="s">
        <v>68</v>
      </c>
      <c r="F320" t="s">
        <v>59</v>
      </c>
      <c r="G320" s="8">
        <v>25</v>
      </c>
      <c r="H320" s="2">
        <v>94</v>
      </c>
      <c r="I320" s="2">
        <v>2350</v>
      </c>
      <c r="J320" s="4">
        <v>0.15</v>
      </c>
      <c r="K320" s="2">
        <v>1997.5</v>
      </c>
      <c r="L320" s="2">
        <f t="shared" si="13"/>
        <v>352.5</v>
      </c>
      <c r="M320" s="1">
        <v>44024</v>
      </c>
      <c r="N320" s="1">
        <v>44024</v>
      </c>
      <c r="O320">
        <v>319</v>
      </c>
      <c r="P320">
        <v>4</v>
      </c>
      <c r="Q320" t="s">
        <v>37</v>
      </c>
      <c r="R320" s="3">
        <v>0.05</v>
      </c>
      <c r="S320" s="2">
        <v>99.875</v>
      </c>
      <c r="T320">
        <v>4</v>
      </c>
      <c r="U320" t="str">
        <f t="shared" si="14"/>
        <v>Junho</v>
      </c>
    </row>
    <row r="321" spans="1:21">
      <c r="A321">
        <v>320</v>
      </c>
      <c r="B321" s="1">
        <v>44001</v>
      </c>
      <c r="C321" s="1" t="str">
        <f t="shared" si="12"/>
        <v>junho</v>
      </c>
      <c r="D321">
        <v>7</v>
      </c>
      <c r="E321" t="s">
        <v>102</v>
      </c>
      <c r="F321" t="s">
        <v>55</v>
      </c>
      <c r="G321" s="8">
        <v>34</v>
      </c>
      <c r="H321" s="2">
        <v>114</v>
      </c>
      <c r="I321" s="2">
        <v>3876</v>
      </c>
      <c r="J321" s="4">
        <v>0.06</v>
      </c>
      <c r="K321" s="2">
        <v>3643.44</v>
      </c>
      <c r="L321" s="2">
        <f t="shared" si="13"/>
        <v>232.55999999999995</v>
      </c>
      <c r="M321" s="1">
        <v>44011</v>
      </c>
      <c r="N321" s="1">
        <v>44011</v>
      </c>
      <c r="O321">
        <v>320</v>
      </c>
      <c r="P321">
        <v>5</v>
      </c>
      <c r="Q321" t="s">
        <v>29</v>
      </c>
      <c r="R321" s="3">
        <v>0.08</v>
      </c>
      <c r="S321" s="2">
        <v>291.47520000000003</v>
      </c>
      <c r="T321">
        <v>5</v>
      </c>
      <c r="U321" t="str">
        <f t="shared" si="14"/>
        <v>Junho</v>
      </c>
    </row>
    <row r="322" spans="1:21">
      <c r="A322">
        <v>321</v>
      </c>
      <c r="B322" s="1">
        <v>44001</v>
      </c>
      <c r="C322" s="1" t="str">
        <f t="shared" si="12"/>
        <v>junho</v>
      </c>
      <c r="D322">
        <v>16</v>
      </c>
      <c r="E322" t="s">
        <v>27</v>
      </c>
      <c r="F322" t="s">
        <v>24</v>
      </c>
      <c r="G322" s="8">
        <v>22</v>
      </c>
      <c r="H322" s="2">
        <v>115</v>
      </c>
      <c r="I322" s="2">
        <v>2530</v>
      </c>
      <c r="J322" s="4">
        <v>0.15</v>
      </c>
      <c r="K322" s="2">
        <v>2150.5</v>
      </c>
      <c r="L322" s="2">
        <f t="shared" si="13"/>
        <v>379.5</v>
      </c>
      <c r="M322" s="1">
        <v>44020</v>
      </c>
      <c r="N322" s="1">
        <v>44020</v>
      </c>
      <c r="O322">
        <v>321</v>
      </c>
      <c r="P322">
        <v>2</v>
      </c>
      <c r="Q322" t="s">
        <v>47</v>
      </c>
      <c r="R322" s="3">
        <v>0.05</v>
      </c>
      <c r="S322" s="2">
        <v>107.52500000000001</v>
      </c>
      <c r="T322">
        <v>6</v>
      </c>
      <c r="U322" t="str">
        <f t="shared" si="14"/>
        <v>Junho</v>
      </c>
    </row>
    <row r="323" spans="1:21">
      <c r="A323">
        <v>322</v>
      </c>
      <c r="B323" s="1">
        <v>44002</v>
      </c>
      <c r="C323" s="1" t="str">
        <f t="shared" ref="C323:C386" si="15">TEXT(B323,"mmmm")</f>
        <v>junho</v>
      </c>
      <c r="D323">
        <v>31</v>
      </c>
      <c r="E323" t="s">
        <v>85</v>
      </c>
      <c r="F323" t="s">
        <v>55</v>
      </c>
      <c r="G323" s="8">
        <v>22</v>
      </c>
      <c r="H323" s="2">
        <v>92</v>
      </c>
      <c r="I323" s="2">
        <v>2024</v>
      </c>
      <c r="J323" s="4">
        <v>0.14000000000000001</v>
      </c>
      <c r="K323" s="2">
        <v>1740.6399999999999</v>
      </c>
      <c r="L323" s="2">
        <f t="shared" ref="L323:L386" si="16">I323-K323</f>
        <v>283.36000000000013</v>
      </c>
      <c r="M323" s="1">
        <v>44008</v>
      </c>
      <c r="N323" s="1">
        <v>44008</v>
      </c>
      <c r="O323">
        <v>322</v>
      </c>
      <c r="P323">
        <v>1</v>
      </c>
      <c r="Q323" t="s">
        <v>37</v>
      </c>
      <c r="R323" s="3">
        <v>7.0000000000000007E-2</v>
      </c>
      <c r="S323" s="2">
        <v>121.84480000000001</v>
      </c>
      <c r="T323">
        <v>7</v>
      </c>
      <c r="U323" t="str">
        <f t="shared" ref="U323:U386" si="17">PROPER(TEXT(B323,"mmmm"))</f>
        <v>Junho</v>
      </c>
    </row>
    <row r="324" spans="1:21">
      <c r="A324">
        <v>323</v>
      </c>
      <c r="B324" s="1">
        <v>44002</v>
      </c>
      <c r="C324" s="1" t="str">
        <f t="shared" si="15"/>
        <v>junho</v>
      </c>
      <c r="D324">
        <v>32</v>
      </c>
      <c r="E324" t="s">
        <v>77</v>
      </c>
      <c r="F324" t="s">
        <v>24</v>
      </c>
      <c r="G324" s="8">
        <v>14</v>
      </c>
      <c r="H324" s="2">
        <v>94</v>
      </c>
      <c r="I324" s="2">
        <v>1316</v>
      </c>
      <c r="J324" s="4">
        <v>0.11</v>
      </c>
      <c r="K324" s="2">
        <v>1171.24</v>
      </c>
      <c r="L324" s="2">
        <f t="shared" si="16"/>
        <v>144.76</v>
      </c>
      <c r="M324" s="1">
        <v>44003</v>
      </c>
      <c r="N324" s="1">
        <v>44003</v>
      </c>
      <c r="O324">
        <v>323</v>
      </c>
      <c r="P324">
        <v>7</v>
      </c>
      <c r="Q324" t="s">
        <v>69</v>
      </c>
      <c r="R324" s="3">
        <v>0.08</v>
      </c>
      <c r="S324" s="2">
        <v>93.699200000000005</v>
      </c>
      <c r="T324">
        <v>1</v>
      </c>
      <c r="U324" t="str">
        <f t="shared" si="17"/>
        <v>Junho</v>
      </c>
    </row>
    <row r="325" spans="1:21">
      <c r="A325">
        <v>324</v>
      </c>
      <c r="B325" s="1">
        <v>44003</v>
      </c>
      <c r="C325" s="1" t="str">
        <f t="shared" si="15"/>
        <v>junho</v>
      </c>
      <c r="D325">
        <v>98</v>
      </c>
      <c r="E325" t="s">
        <v>26</v>
      </c>
      <c r="F325" t="s">
        <v>50</v>
      </c>
      <c r="G325" s="8">
        <v>34</v>
      </c>
      <c r="H325" s="2">
        <v>108</v>
      </c>
      <c r="I325" s="2">
        <v>3672</v>
      </c>
      <c r="J325" s="4">
        <v>0.12</v>
      </c>
      <c r="K325" s="2">
        <v>3231.36</v>
      </c>
      <c r="L325" s="2">
        <f t="shared" si="16"/>
        <v>440.63999999999987</v>
      </c>
      <c r="M325" s="1">
        <v>44008</v>
      </c>
      <c r="N325" s="1">
        <v>44008</v>
      </c>
      <c r="O325">
        <v>324</v>
      </c>
      <c r="P325">
        <v>6</v>
      </c>
      <c r="Q325" t="s">
        <v>32</v>
      </c>
      <c r="R325" s="3">
        <v>0.1</v>
      </c>
      <c r="S325" s="2">
        <v>323.13600000000002</v>
      </c>
      <c r="T325">
        <v>2</v>
      </c>
      <c r="U325" t="str">
        <f t="shared" si="17"/>
        <v>Junho</v>
      </c>
    </row>
    <row r="326" spans="1:21">
      <c r="A326">
        <v>325</v>
      </c>
      <c r="B326" s="1">
        <v>44004</v>
      </c>
      <c r="C326" s="1" t="str">
        <f t="shared" si="15"/>
        <v>junho</v>
      </c>
      <c r="D326">
        <v>60</v>
      </c>
      <c r="E326" t="s">
        <v>82</v>
      </c>
      <c r="F326" t="s">
        <v>41</v>
      </c>
      <c r="G326" s="8">
        <v>21</v>
      </c>
      <c r="H326" s="2">
        <v>110</v>
      </c>
      <c r="I326" s="2">
        <v>2310</v>
      </c>
      <c r="J326" s="4">
        <v>0.02</v>
      </c>
      <c r="K326" s="2">
        <v>2263.8000000000002</v>
      </c>
      <c r="L326" s="2">
        <f t="shared" si="16"/>
        <v>46.199999999999818</v>
      </c>
      <c r="M326" s="1">
        <v>44008</v>
      </c>
      <c r="N326" s="1">
        <v>44008</v>
      </c>
      <c r="O326">
        <v>325</v>
      </c>
      <c r="P326">
        <v>5</v>
      </c>
      <c r="Q326" t="s">
        <v>47</v>
      </c>
      <c r="R326" s="3">
        <v>0.1</v>
      </c>
      <c r="S326" s="2">
        <v>226.38000000000002</v>
      </c>
      <c r="T326">
        <v>3</v>
      </c>
      <c r="U326" t="str">
        <f t="shared" si="17"/>
        <v>Junho</v>
      </c>
    </row>
    <row r="327" spans="1:21">
      <c r="A327">
        <v>326</v>
      </c>
      <c r="B327" s="1">
        <v>44004</v>
      </c>
      <c r="C327" s="1" t="str">
        <f t="shared" si="15"/>
        <v>junho</v>
      </c>
      <c r="D327">
        <v>43</v>
      </c>
      <c r="E327" t="s">
        <v>99</v>
      </c>
      <c r="F327" t="s">
        <v>31</v>
      </c>
      <c r="G327" s="8">
        <v>43</v>
      </c>
      <c r="H327" s="2">
        <v>109</v>
      </c>
      <c r="I327" s="2">
        <v>4687</v>
      </c>
      <c r="J327" s="4">
        <v>0.06</v>
      </c>
      <c r="K327" s="2">
        <v>4405.78</v>
      </c>
      <c r="L327" s="2">
        <f t="shared" si="16"/>
        <v>281.22000000000025</v>
      </c>
      <c r="M327" s="1">
        <v>44008</v>
      </c>
      <c r="N327" s="1">
        <v>44008</v>
      </c>
      <c r="O327">
        <v>326</v>
      </c>
      <c r="P327">
        <v>6</v>
      </c>
      <c r="Q327" t="s">
        <v>34</v>
      </c>
      <c r="R327" s="3">
        <v>0.08</v>
      </c>
      <c r="S327" s="2">
        <v>352.4624</v>
      </c>
      <c r="T327">
        <v>4</v>
      </c>
      <c r="U327" t="str">
        <f t="shared" si="17"/>
        <v>Junho</v>
      </c>
    </row>
    <row r="328" spans="1:21">
      <c r="A328">
        <v>327</v>
      </c>
      <c r="B328" s="1">
        <v>44004</v>
      </c>
      <c r="C328" s="1" t="str">
        <f t="shared" si="15"/>
        <v>junho</v>
      </c>
      <c r="D328">
        <v>3</v>
      </c>
      <c r="E328" t="s">
        <v>91</v>
      </c>
      <c r="F328" t="s">
        <v>28</v>
      </c>
      <c r="G328" s="8">
        <v>47</v>
      </c>
      <c r="H328" s="2">
        <v>92</v>
      </c>
      <c r="I328" s="2">
        <v>4324</v>
      </c>
      <c r="J328" s="4">
        <v>0.09</v>
      </c>
      <c r="K328" s="2">
        <v>3934.84</v>
      </c>
      <c r="L328" s="2">
        <f t="shared" si="16"/>
        <v>389.15999999999985</v>
      </c>
      <c r="M328" s="1">
        <v>44018</v>
      </c>
      <c r="N328" s="1">
        <v>44018</v>
      </c>
      <c r="O328">
        <v>327</v>
      </c>
      <c r="P328">
        <v>6</v>
      </c>
      <c r="Q328" t="s">
        <v>22</v>
      </c>
      <c r="R328" s="3">
        <v>0.06</v>
      </c>
      <c r="S328" s="2">
        <v>236.09039999999999</v>
      </c>
      <c r="T328">
        <v>5</v>
      </c>
      <c r="U328" t="str">
        <f t="shared" si="17"/>
        <v>Junho</v>
      </c>
    </row>
    <row r="329" spans="1:21">
      <c r="A329">
        <v>328</v>
      </c>
      <c r="B329" s="1">
        <v>44005</v>
      </c>
      <c r="C329" s="1" t="str">
        <f t="shared" si="15"/>
        <v>junho</v>
      </c>
      <c r="D329">
        <v>77</v>
      </c>
      <c r="E329" t="s">
        <v>65</v>
      </c>
      <c r="F329" t="s">
        <v>50</v>
      </c>
      <c r="G329" s="8">
        <v>48</v>
      </c>
      <c r="H329" s="2">
        <v>99</v>
      </c>
      <c r="I329" s="2">
        <v>4752</v>
      </c>
      <c r="J329" s="4">
        <v>0.12</v>
      </c>
      <c r="K329" s="2">
        <v>4181.76</v>
      </c>
      <c r="L329" s="2">
        <f t="shared" si="16"/>
        <v>570.23999999999978</v>
      </c>
      <c r="M329" s="1">
        <v>44032</v>
      </c>
      <c r="N329" s="1">
        <v>44032</v>
      </c>
      <c r="O329">
        <v>328</v>
      </c>
      <c r="P329">
        <v>6</v>
      </c>
      <c r="Q329" t="s">
        <v>37</v>
      </c>
      <c r="R329" s="3">
        <v>0.09</v>
      </c>
      <c r="S329" s="2">
        <v>376.35840000000002</v>
      </c>
      <c r="T329">
        <v>6</v>
      </c>
      <c r="U329" t="str">
        <f t="shared" si="17"/>
        <v>Junho</v>
      </c>
    </row>
    <row r="330" spans="1:21">
      <c r="A330">
        <v>329</v>
      </c>
      <c r="B330" s="1">
        <v>44005</v>
      </c>
      <c r="C330" s="1" t="str">
        <f t="shared" si="15"/>
        <v>junho</v>
      </c>
      <c r="D330">
        <v>30</v>
      </c>
      <c r="E330" t="s">
        <v>96</v>
      </c>
      <c r="F330" t="s">
        <v>50</v>
      </c>
      <c r="G330" s="8">
        <v>42</v>
      </c>
      <c r="H330" s="2">
        <v>116</v>
      </c>
      <c r="I330" s="2">
        <v>4872</v>
      </c>
      <c r="J330" s="4">
        <v>0.15</v>
      </c>
      <c r="K330" s="2">
        <v>4141.2</v>
      </c>
      <c r="L330" s="2">
        <f t="shared" si="16"/>
        <v>730.80000000000018</v>
      </c>
      <c r="M330" s="1">
        <v>44023</v>
      </c>
      <c r="N330" s="1">
        <v>44023</v>
      </c>
      <c r="O330">
        <v>329</v>
      </c>
      <c r="P330">
        <v>5</v>
      </c>
      <c r="Q330" t="s">
        <v>34</v>
      </c>
      <c r="R330" s="3">
        <v>0.1</v>
      </c>
      <c r="S330" s="2">
        <v>414.12</v>
      </c>
      <c r="T330">
        <v>7</v>
      </c>
      <c r="U330" t="str">
        <f t="shared" si="17"/>
        <v>Junho</v>
      </c>
    </row>
    <row r="331" spans="1:21">
      <c r="A331">
        <v>330</v>
      </c>
      <c r="B331" s="1">
        <v>44006</v>
      </c>
      <c r="C331" s="1" t="str">
        <f t="shared" si="15"/>
        <v>junho</v>
      </c>
      <c r="D331">
        <v>2</v>
      </c>
      <c r="E331" t="s">
        <v>35</v>
      </c>
      <c r="F331" t="s">
        <v>24</v>
      </c>
      <c r="G331" s="8">
        <v>20</v>
      </c>
      <c r="H331" s="2">
        <v>91</v>
      </c>
      <c r="I331" s="2">
        <v>1820</v>
      </c>
      <c r="J331" s="4">
        <v>0.14000000000000001</v>
      </c>
      <c r="K331" s="2">
        <v>1565.2</v>
      </c>
      <c r="L331" s="2">
        <f t="shared" si="16"/>
        <v>254.79999999999995</v>
      </c>
      <c r="M331" s="1">
        <v>44008</v>
      </c>
      <c r="N331" s="1">
        <v>44008</v>
      </c>
      <c r="O331">
        <v>330</v>
      </c>
      <c r="P331">
        <v>3</v>
      </c>
      <c r="Q331" t="s">
        <v>29</v>
      </c>
      <c r="R331" s="3">
        <v>0.08</v>
      </c>
      <c r="S331" s="2">
        <v>125.21600000000001</v>
      </c>
      <c r="T331">
        <v>1</v>
      </c>
      <c r="U331" t="str">
        <f t="shared" si="17"/>
        <v>Junho</v>
      </c>
    </row>
    <row r="332" spans="1:21">
      <c r="A332">
        <v>331</v>
      </c>
      <c r="B332" s="1">
        <v>44006</v>
      </c>
      <c r="C332" s="1" t="str">
        <f t="shared" si="15"/>
        <v>junho</v>
      </c>
      <c r="D332">
        <v>28</v>
      </c>
      <c r="E332" t="s">
        <v>86</v>
      </c>
      <c r="F332" t="s">
        <v>28</v>
      </c>
      <c r="G332" s="8">
        <v>10</v>
      </c>
      <c r="H332" s="2">
        <v>91</v>
      </c>
      <c r="I332" s="2">
        <v>910</v>
      </c>
      <c r="J332" s="4">
        <v>7.0000000000000007E-2</v>
      </c>
      <c r="K332" s="2">
        <v>846.3</v>
      </c>
      <c r="L332" s="2">
        <f t="shared" si="16"/>
        <v>63.700000000000045</v>
      </c>
      <c r="M332" s="1">
        <v>44024</v>
      </c>
      <c r="N332" s="1">
        <v>44024</v>
      </c>
      <c r="O332">
        <v>331</v>
      </c>
      <c r="P332">
        <v>1</v>
      </c>
      <c r="Q332" t="s">
        <v>37</v>
      </c>
      <c r="R332" s="3">
        <v>7.0000000000000007E-2</v>
      </c>
      <c r="S332" s="2">
        <v>59.241</v>
      </c>
      <c r="T332">
        <v>2</v>
      </c>
      <c r="U332" t="str">
        <f t="shared" si="17"/>
        <v>Junho</v>
      </c>
    </row>
    <row r="333" spans="1:21">
      <c r="A333">
        <v>332</v>
      </c>
      <c r="B333" s="1">
        <v>44006</v>
      </c>
      <c r="C333" s="1" t="str">
        <f t="shared" si="15"/>
        <v>junho</v>
      </c>
      <c r="D333">
        <v>69</v>
      </c>
      <c r="E333" t="s">
        <v>67</v>
      </c>
      <c r="F333" t="s">
        <v>41</v>
      </c>
      <c r="G333" s="8">
        <v>13</v>
      </c>
      <c r="H333" s="2">
        <v>107</v>
      </c>
      <c r="I333" s="2">
        <v>1391</v>
      </c>
      <c r="J333" s="4">
        <v>0.04</v>
      </c>
      <c r="K333" s="2">
        <v>1335.36</v>
      </c>
      <c r="L333" s="2">
        <f t="shared" si="16"/>
        <v>55.6400000000001</v>
      </c>
      <c r="M333" s="1">
        <v>44027</v>
      </c>
      <c r="N333" s="1">
        <v>44027</v>
      </c>
      <c r="O333">
        <v>332</v>
      </c>
      <c r="P333">
        <v>1</v>
      </c>
      <c r="Q333" t="s">
        <v>52</v>
      </c>
      <c r="R333" s="3">
        <v>0.05</v>
      </c>
      <c r="S333" s="2">
        <v>66.768000000000001</v>
      </c>
      <c r="T333">
        <v>3</v>
      </c>
      <c r="U333" t="str">
        <f t="shared" si="17"/>
        <v>Junho</v>
      </c>
    </row>
    <row r="334" spans="1:21">
      <c r="A334">
        <v>333</v>
      </c>
      <c r="B334" s="1">
        <v>44006</v>
      </c>
      <c r="C334" s="1" t="str">
        <f t="shared" si="15"/>
        <v>junho</v>
      </c>
      <c r="D334">
        <v>20</v>
      </c>
      <c r="E334" t="s">
        <v>39</v>
      </c>
      <c r="F334" t="s">
        <v>59</v>
      </c>
      <c r="G334" s="8">
        <v>32</v>
      </c>
      <c r="H334" s="2">
        <v>98</v>
      </c>
      <c r="I334" s="2">
        <v>3136</v>
      </c>
      <c r="J334" s="4">
        <v>0</v>
      </c>
      <c r="K334" s="2">
        <v>3136</v>
      </c>
      <c r="L334" s="2">
        <f t="shared" si="16"/>
        <v>0</v>
      </c>
      <c r="M334" s="1">
        <v>44011</v>
      </c>
      <c r="N334" s="1">
        <v>44011</v>
      </c>
      <c r="O334">
        <v>333</v>
      </c>
      <c r="P334">
        <v>6</v>
      </c>
      <c r="Q334" t="s">
        <v>52</v>
      </c>
      <c r="R334" s="3">
        <v>0.08</v>
      </c>
      <c r="S334" s="2">
        <v>250.88</v>
      </c>
      <c r="T334">
        <v>4</v>
      </c>
      <c r="U334" t="str">
        <f t="shared" si="17"/>
        <v>Junho</v>
      </c>
    </row>
    <row r="335" spans="1:21">
      <c r="A335">
        <v>334</v>
      </c>
      <c r="B335" s="1">
        <v>44006</v>
      </c>
      <c r="C335" s="1" t="str">
        <f t="shared" si="15"/>
        <v>junho</v>
      </c>
      <c r="D335">
        <v>13</v>
      </c>
      <c r="E335" t="s">
        <v>75</v>
      </c>
      <c r="F335" t="s">
        <v>55</v>
      </c>
      <c r="G335" s="8">
        <v>16</v>
      </c>
      <c r="H335" s="2">
        <v>98</v>
      </c>
      <c r="I335" s="2">
        <v>1568</v>
      </c>
      <c r="J335" s="4">
        <v>0.02</v>
      </c>
      <c r="K335" s="2">
        <v>1536.64</v>
      </c>
      <c r="L335" s="2">
        <f t="shared" si="16"/>
        <v>31.3599999999999</v>
      </c>
      <c r="M335" s="1">
        <v>44030</v>
      </c>
      <c r="N335" s="1">
        <v>44030</v>
      </c>
      <c r="O335">
        <v>334</v>
      </c>
      <c r="P335">
        <v>6</v>
      </c>
      <c r="Q335" t="s">
        <v>22</v>
      </c>
      <c r="R335" s="3">
        <v>7.0000000000000007E-2</v>
      </c>
      <c r="S335" s="2">
        <v>107.56480000000002</v>
      </c>
      <c r="T335">
        <v>5</v>
      </c>
      <c r="U335" t="str">
        <f t="shared" si="17"/>
        <v>Junho</v>
      </c>
    </row>
    <row r="336" spans="1:21">
      <c r="A336">
        <v>335</v>
      </c>
      <c r="B336" s="1">
        <v>44008</v>
      </c>
      <c r="C336" s="1" t="str">
        <f t="shared" si="15"/>
        <v>junho</v>
      </c>
      <c r="D336">
        <v>22</v>
      </c>
      <c r="E336" t="s">
        <v>51</v>
      </c>
      <c r="F336" t="s">
        <v>50</v>
      </c>
      <c r="G336" s="8">
        <v>45</v>
      </c>
      <c r="H336" s="2">
        <v>94</v>
      </c>
      <c r="I336" s="2">
        <v>4230</v>
      </c>
      <c r="J336" s="4">
        <v>0.15</v>
      </c>
      <c r="K336" s="2">
        <v>3595.5</v>
      </c>
      <c r="L336" s="2">
        <f t="shared" si="16"/>
        <v>634.5</v>
      </c>
      <c r="M336" s="1">
        <v>44034</v>
      </c>
      <c r="N336" s="1">
        <v>44034</v>
      </c>
      <c r="O336">
        <v>335</v>
      </c>
      <c r="P336">
        <v>3</v>
      </c>
      <c r="Q336" t="s">
        <v>32</v>
      </c>
      <c r="R336" s="3">
        <v>7.0000000000000007E-2</v>
      </c>
      <c r="S336" s="2">
        <v>251.68500000000003</v>
      </c>
      <c r="T336">
        <v>6</v>
      </c>
      <c r="U336" t="str">
        <f t="shared" si="17"/>
        <v>Junho</v>
      </c>
    </row>
    <row r="337" spans="1:21">
      <c r="A337">
        <v>336</v>
      </c>
      <c r="B337" s="1">
        <v>44008</v>
      </c>
      <c r="C337" s="1" t="str">
        <f t="shared" si="15"/>
        <v>junho</v>
      </c>
      <c r="D337">
        <v>53</v>
      </c>
      <c r="E337" t="s">
        <v>88</v>
      </c>
      <c r="F337" t="s">
        <v>28</v>
      </c>
      <c r="G337" s="8">
        <v>42</v>
      </c>
      <c r="H337" s="2">
        <v>98</v>
      </c>
      <c r="I337" s="2">
        <v>4116</v>
      </c>
      <c r="J337" s="4">
        <v>0.14000000000000001</v>
      </c>
      <c r="K337" s="2">
        <v>3539.76</v>
      </c>
      <c r="L337" s="2">
        <f t="shared" si="16"/>
        <v>576.23999999999978</v>
      </c>
      <c r="M337" s="1">
        <v>44036</v>
      </c>
      <c r="N337" s="1">
        <v>44036</v>
      </c>
      <c r="O337">
        <v>336</v>
      </c>
      <c r="P337">
        <v>6</v>
      </c>
      <c r="Q337" t="s">
        <v>32</v>
      </c>
      <c r="R337" s="3">
        <v>0.09</v>
      </c>
      <c r="S337" s="2">
        <v>318.57839999999999</v>
      </c>
      <c r="T337">
        <v>7</v>
      </c>
      <c r="U337" t="str">
        <f t="shared" si="17"/>
        <v>Junho</v>
      </c>
    </row>
    <row r="338" spans="1:21">
      <c r="A338">
        <v>337</v>
      </c>
      <c r="B338" s="1">
        <v>44009</v>
      </c>
      <c r="C338" s="1" t="str">
        <f t="shared" si="15"/>
        <v>junho</v>
      </c>
      <c r="D338">
        <v>47</v>
      </c>
      <c r="E338" t="s">
        <v>40</v>
      </c>
      <c r="F338" t="s">
        <v>59</v>
      </c>
      <c r="G338" s="8">
        <v>26</v>
      </c>
      <c r="H338" s="2">
        <v>117</v>
      </c>
      <c r="I338" s="2">
        <v>3042</v>
      </c>
      <c r="J338" s="4">
        <v>0.1</v>
      </c>
      <c r="K338" s="2">
        <v>2737.8</v>
      </c>
      <c r="L338" s="2">
        <f t="shared" si="16"/>
        <v>304.19999999999982</v>
      </c>
      <c r="M338" s="1">
        <v>44032</v>
      </c>
      <c r="N338" s="1">
        <v>44032</v>
      </c>
      <c r="O338">
        <v>337</v>
      </c>
      <c r="P338">
        <v>5</v>
      </c>
      <c r="Q338" t="s">
        <v>47</v>
      </c>
      <c r="R338" s="3">
        <v>7.0000000000000007E-2</v>
      </c>
      <c r="S338" s="2">
        <v>191.64600000000004</v>
      </c>
      <c r="T338">
        <v>1</v>
      </c>
      <c r="U338" t="str">
        <f t="shared" si="17"/>
        <v>Junho</v>
      </c>
    </row>
    <row r="339" spans="1:21">
      <c r="A339">
        <v>338</v>
      </c>
      <c r="B339" s="1">
        <v>44009</v>
      </c>
      <c r="C339" s="1" t="str">
        <f t="shared" si="15"/>
        <v>junho</v>
      </c>
      <c r="D339">
        <v>2</v>
      </c>
      <c r="E339" t="s">
        <v>35</v>
      </c>
      <c r="F339" t="s">
        <v>31</v>
      </c>
      <c r="G339" s="8">
        <v>43</v>
      </c>
      <c r="H339" s="2">
        <v>101</v>
      </c>
      <c r="I339" s="2">
        <v>4343</v>
      </c>
      <c r="J339" s="4">
        <v>0.12</v>
      </c>
      <c r="K339" s="2">
        <v>3821.84</v>
      </c>
      <c r="L339" s="2">
        <f t="shared" si="16"/>
        <v>521.15999999999985</v>
      </c>
      <c r="M339" s="1">
        <v>44027</v>
      </c>
      <c r="N339" s="1">
        <v>44027</v>
      </c>
      <c r="O339">
        <v>338</v>
      </c>
      <c r="P339">
        <v>2</v>
      </c>
      <c r="Q339" t="s">
        <v>43</v>
      </c>
      <c r="R339" s="3">
        <v>0.08</v>
      </c>
      <c r="S339" s="2">
        <v>305.74720000000002</v>
      </c>
      <c r="T339">
        <v>2</v>
      </c>
      <c r="U339" t="str">
        <f t="shared" si="17"/>
        <v>Junho</v>
      </c>
    </row>
    <row r="340" spans="1:21">
      <c r="A340">
        <v>339</v>
      </c>
      <c r="B340" s="1">
        <v>44009</v>
      </c>
      <c r="C340" s="1" t="str">
        <f t="shared" si="15"/>
        <v>junho</v>
      </c>
      <c r="D340">
        <v>80</v>
      </c>
      <c r="E340" t="s">
        <v>38</v>
      </c>
      <c r="F340" t="s">
        <v>21</v>
      </c>
      <c r="G340" s="8">
        <v>37</v>
      </c>
      <c r="H340" s="2">
        <v>92</v>
      </c>
      <c r="I340" s="2">
        <v>3404</v>
      </c>
      <c r="J340" s="4">
        <v>0.09</v>
      </c>
      <c r="K340" s="2">
        <v>3097.64</v>
      </c>
      <c r="L340" s="2">
        <f t="shared" si="16"/>
        <v>306.36000000000013</v>
      </c>
      <c r="M340" s="1">
        <v>44018</v>
      </c>
      <c r="N340" s="1">
        <v>44018</v>
      </c>
      <c r="O340">
        <v>339</v>
      </c>
      <c r="P340">
        <v>2</v>
      </c>
      <c r="Q340" t="s">
        <v>37</v>
      </c>
      <c r="R340" s="3">
        <v>0.06</v>
      </c>
      <c r="S340" s="2">
        <v>185.85839999999999</v>
      </c>
      <c r="T340">
        <v>3</v>
      </c>
      <c r="U340" t="str">
        <f t="shared" si="17"/>
        <v>Junho</v>
      </c>
    </row>
    <row r="341" spans="1:21">
      <c r="A341">
        <v>340</v>
      </c>
      <c r="B341" s="1">
        <v>44010</v>
      </c>
      <c r="C341" s="1" t="str">
        <f t="shared" si="15"/>
        <v>junho</v>
      </c>
      <c r="D341">
        <v>77</v>
      </c>
      <c r="E341" t="s">
        <v>65</v>
      </c>
      <c r="F341" t="s">
        <v>28</v>
      </c>
      <c r="G341" s="8">
        <v>43</v>
      </c>
      <c r="H341" s="2">
        <v>110</v>
      </c>
      <c r="I341" s="2">
        <v>4730</v>
      </c>
      <c r="J341" s="4">
        <v>0.06</v>
      </c>
      <c r="K341" s="2">
        <v>4446.2</v>
      </c>
      <c r="L341" s="2">
        <f t="shared" si="16"/>
        <v>283.80000000000018</v>
      </c>
      <c r="M341" s="1">
        <v>44037</v>
      </c>
      <c r="N341" s="1">
        <v>44037</v>
      </c>
      <c r="O341">
        <v>340</v>
      </c>
      <c r="P341">
        <v>4</v>
      </c>
      <c r="Q341" t="s">
        <v>29</v>
      </c>
      <c r="R341" s="3">
        <v>0.05</v>
      </c>
      <c r="S341" s="2">
        <v>222.31</v>
      </c>
      <c r="T341">
        <v>4</v>
      </c>
      <c r="U341" t="str">
        <f t="shared" si="17"/>
        <v>Junho</v>
      </c>
    </row>
    <row r="342" spans="1:21">
      <c r="A342">
        <v>341</v>
      </c>
      <c r="B342" s="1">
        <v>44010</v>
      </c>
      <c r="C342" s="1" t="str">
        <f t="shared" si="15"/>
        <v>junho</v>
      </c>
      <c r="D342">
        <v>13</v>
      </c>
      <c r="E342" t="s">
        <v>75</v>
      </c>
      <c r="F342" t="s">
        <v>31</v>
      </c>
      <c r="G342" s="8">
        <v>37</v>
      </c>
      <c r="H342" s="2">
        <v>92</v>
      </c>
      <c r="I342" s="2">
        <v>3404</v>
      </c>
      <c r="J342" s="4">
        <v>0.12</v>
      </c>
      <c r="K342" s="2">
        <v>2995.52</v>
      </c>
      <c r="L342" s="2">
        <f t="shared" si="16"/>
        <v>408.48</v>
      </c>
      <c r="M342" s="1">
        <v>44028</v>
      </c>
      <c r="N342" s="1">
        <v>44028</v>
      </c>
      <c r="O342">
        <v>341</v>
      </c>
      <c r="P342">
        <v>1</v>
      </c>
      <c r="Q342" t="s">
        <v>43</v>
      </c>
      <c r="R342" s="3">
        <v>0.1</v>
      </c>
      <c r="S342" s="2">
        <v>299.55200000000002</v>
      </c>
      <c r="T342">
        <v>5</v>
      </c>
      <c r="U342" t="str">
        <f t="shared" si="17"/>
        <v>Junho</v>
      </c>
    </row>
    <row r="343" spans="1:21">
      <c r="A343">
        <v>342</v>
      </c>
      <c r="B343" s="1">
        <v>44011</v>
      </c>
      <c r="C343" s="1" t="str">
        <f t="shared" si="15"/>
        <v>junho</v>
      </c>
      <c r="D343">
        <v>16</v>
      </c>
      <c r="E343" t="s">
        <v>27</v>
      </c>
      <c r="F343" t="s">
        <v>46</v>
      </c>
      <c r="G343" s="8">
        <v>27</v>
      </c>
      <c r="H343" s="2">
        <v>104</v>
      </c>
      <c r="I343" s="2">
        <v>2808</v>
      </c>
      <c r="J343" s="4">
        <v>7.0000000000000007E-2</v>
      </c>
      <c r="K343" s="2">
        <v>2611.44</v>
      </c>
      <c r="L343" s="2">
        <f t="shared" si="16"/>
        <v>196.55999999999995</v>
      </c>
      <c r="M343" s="1">
        <v>44016</v>
      </c>
      <c r="N343" s="1">
        <v>44016</v>
      </c>
      <c r="O343">
        <v>342</v>
      </c>
      <c r="P343">
        <v>2</v>
      </c>
      <c r="Q343" t="s">
        <v>25</v>
      </c>
      <c r="R343" s="3">
        <v>7.0000000000000007E-2</v>
      </c>
      <c r="S343" s="2">
        <v>182.80080000000001</v>
      </c>
      <c r="T343">
        <v>6</v>
      </c>
      <c r="U343" t="str">
        <f t="shared" si="17"/>
        <v>Junho</v>
      </c>
    </row>
    <row r="344" spans="1:21">
      <c r="A344">
        <v>343</v>
      </c>
      <c r="B344" s="1">
        <v>44012</v>
      </c>
      <c r="C344" s="1" t="str">
        <f t="shared" si="15"/>
        <v>junho</v>
      </c>
      <c r="D344">
        <v>68</v>
      </c>
      <c r="E344" t="s">
        <v>49</v>
      </c>
      <c r="F344" t="s">
        <v>31</v>
      </c>
      <c r="G344" s="8">
        <v>18</v>
      </c>
      <c r="H344" s="2">
        <v>90</v>
      </c>
      <c r="I344" s="2">
        <v>1620</v>
      </c>
      <c r="J344" s="4">
        <v>0.06</v>
      </c>
      <c r="K344" s="2">
        <v>1522.8</v>
      </c>
      <c r="L344" s="2">
        <f t="shared" si="16"/>
        <v>97.200000000000045</v>
      </c>
      <c r="M344" s="1">
        <v>44036</v>
      </c>
      <c r="N344" s="1">
        <v>44036</v>
      </c>
      <c r="O344">
        <v>343</v>
      </c>
      <c r="P344">
        <v>4</v>
      </c>
      <c r="Q344" t="s">
        <v>69</v>
      </c>
      <c r="R344" s="3">
        <v>0.09</v>
      </c>
      <c r="S344" s="2">
        <v>137.05199999999999</v>
      </c>
      <c r="T344">
        <v>7</v>
      </c>
      <c r="U344" t="str">
        <f t="shared" si="17"/>
        <v>Junho</v>
      </c>
    </row>
    <row r="345" spans="1:21">
      <c r="A345">
        <v>344</v>
      </c>
      <c r="B345" s="1">
        <v>44012</v>
      </c>
      <c r="C345" s="1" t="str">
        <f t="shared" si="15"/>
        <v>junho</v>
      </c>
      <c r="D345">
        <v>16</v>
      </c>
      <c r="E345" t="s">
        <v>27</v>
      </c>
      <c r="F345" t="s">
        <v>59</v>
      </c>
      <c r="G345" s="8">
        <v>38</v>
      </c>
      <c r="H345" s="2">
        <v>107</v>
      </c>
      <c r="I345" s="2">
        <v>4066</v>
      </c>
      <c r="J345" s="4">
        <v>0</v>
      </c>
      <c r="K345" s="2">
        <v>4066</v>
      </c>
      <c r="L345" s="2">
        <f t="shared" si="16"/>
        <v>0</v>
      </c>
      <c r="M345" s="1">
        <v>44031</v>
      </c>
      <c r="N345" s="1">
        <v>44031</v>
      </c>
      <c r="O345">
        <v>344</v>
      </c>
      <c r="P345">
        <v>5</v>
      </c>
      <c r="Q345" t="s">
        <v>69</v>
      </c>
      <c r="R345" s="3">
        <v>7.0000000000000007E-2</v>
      </c>
      <c r="S345" s="2">
        <v>284.62</v>
      </c>
      <c r="T345">
        <v>1</v>
      </c>
      <c r="U345" t="str">
        <f t="shared" si="17"/>
        <v>Junho</v>
      </c>
    </row>
    <row r="346" spans="1:21">
      <c r="A346">
        <v>345</v>
      </c>
      <c r="B346" s="1">
        <v>44014</v>
      </c>
      <c r="C346" s="1" t="str">
        <f t="shared" si="15"/>
        <v>julho</v>
      </c>
      <c r="D346">
        <v>30</v>
      </c>
      <c r="E346" t="s">
        <v>96</v>
      </c>
      <c r="F346" t="s">
        <v>28</v>
      </c>
      <c r="G346" s="8">
        <v>48</v>
      </c>
      <c r="H346" s="2">
        <v>98</v>
      </c>
      <c r="I346" s="2">
        <v>4704</v>
      </c>
      <c r="J346" s="4">
        <v>0.04</v>
      </c>
      <c r="K346" s="2">
        <v>4515.84</v>
      </c>
      <c r="L346" s="2">
        <f t="shared" si="16"/>
        <v>188.15999999999985</v>
      </c>
      <c r="M346" s="1">
        <v>44017</v>
      </c>
      <c r="N346" s="1">
        <v>44017</v>
      </c>
      <c r="O346">
        <v>345</v>
      </c>
      <c r="P346">
        <v>5</v>
      </c>
      <c r="Q346" t="s">
        <v>69</v>
      </c>
      <c r="R346" s="3">
        <v>7.0000000000000007E-2</v>
      </c>
      <c r="S346" s="2">
        <v>316.10880000000003</v>
      </c>
      <c r="T346">
        <v>2</v>
      </c>
      <c r="U346" t="str">
        <f t="shared" si="17"/>
        <v>Julho</v>
      </c>
    </row>
    <row r="347" spans="1:21">
      <c r="A347">
        <v>346</v>
      </c>
      <c r="B347" s="1">
        <v>44014</v>
      </c>
      <c r="C347" s="1" t="str">
        <f t="shared" si="15"/>
        <v>julho</v>
      </c>
      <c r="D347">
        <v>51</v>
      </c>
      <c r="E347" t="s">
        <v>53</v>
      </c>
      <c r="F347" t="s">
        <v>54</v>
      </c>
      <c r="G347" s="8">
        <v>22</v>
      </c>
      <c r="H347" s="2">
        <v>115</v>
      </c>
      <c r="I347" s="2">
        <v>2530</v>
      </c>
      <c r="J347" s="4">
        <v>7.0000000000000007E-2</v>
      </c>
      <c r="K347" s="2">
        <v>2352.9</v>
      </c>
      <c r="L347" s="2">
        <f t="shared" si="16"/>
        <v>177.09999999999991</v>
      </c>
      <c r="M347" s="1">
        <v>44019</v>
      </c>
      <c r="N347" s="1">
        <v>44019</v>
      </c>
      <c r="O347">
        <v>346</v>
      </c>
      <c r="P347">
        <v>4</v>
      </c>
      <c r="Q347" t="s">
        <v>52</v>
      </c>
      <c r="R347" s="3">
        <v>0.05</v>
      </c>
      <c r="S347" s="2">
        <v>117.64500000000001</v>
      </c>
      <c r="T347">
        <v>3</v>
      </c>
      <c r="U347" t="str">
        <f t="shared" si="17"/>
        <v>Julho</v>
      </c>
    </row>
    <row r="348" spans="1:21">
      <c r="A348">
        <v>347</v>
      </c>
      <c r="B348" s="1">
        <v>44014</v>
      </c>
      <c r="C348" s="1" t="str">
        <f t="shared" si="15"/>
        <v>julho</v>
      </c>
      <c r="D348">
        <v>31</v>
      </c>
      <c r="E348" t="s">
        <v>85</v>
      </c>
      <c r="F348" t="s">
        <v>28</v>
      </c>
      <c r="G348" s="8">
        <v>12</v>
      </c>
      <c r="H348" s="2">
        <v>119</v>
      </c>
      <c r="I348" s="2">
        <v>1428</v>
      </c>
      <c r="J348" s="4">
        <v>0.13</v>
      </c>
      <c r="K348" s="2">
        <v>1242.3599999999999</v>
      </c>
      <c r="L348" s="2">
        <f t="shared" si="16"/>
        <v>185.6400000000001</v>
      </c>
      <c r="M348" s="1">
        <v>44031</v>
      </c>
      <c r="N348" s="1">
        <v>44031</v>
      </c>
      <c r="O348">
        <v>347</v>
      </c>
      <c r="P348">
        <v>5</v>
      </c>
      <c r="Q348" t="s">
        <v>25</v>
      </c>
      <c r="R348" s="3">
        <v>7.0000000000000007E-2</v>
      </c>
      <c r="S348" s="2">
        <v>86.965199999999996</v>
      </c>
      <c r="T348">
        <v>4</v>
      </c>
      <c r="U348" t="str">
        <f t="shared" si="17"/>
        <v>Julho</v>
      </c>
    </row>
    <row r="349" spans="1:21">
      <c r="A349">
        <v>348</v>
      </c>
      <c r="B349" s="1">
        <v>44015</v>
      </c>
      <c r="C349" s="1" t="str">
        <f t="shared" si="15"/>
        <v>julho</v>
      </c>
      <c r="D349">
        <v>8</v>
      </c>
      <c r="E349" t="s">
        <v>38</v>
      </c>
      <c r="F349" t="s">
        <v>41</v>
      </c>
      <c r="G349" s="8">
        <v>29</v>
      </c>
      <c r="H349" s="2">
        <v>107</v>
      </c>
      <c r="I349" s="2">
        <v>3103</v>
      </c>
      <c r="J349" s="4">
        <v>0.02</v>
      </c>
      <c r="K349" s="2">
        <v>3040.94</v>
      </c>
      <c r="L349" s="2">
        <f t="shared" si="16"/>
        <v>62.059999999999945</v>
      </c>
      <c r="M349" s="1">
        <v>44033</v>
      </c>
      <c r="O349">
        <v>348</v>
      </c>
      <c r="P349">
        <v>4</v>
      </c>
      <c r="Q349" t="s">
        <v>52</v>
      </c>
      <c r="R349" s="3">
        <v>0.08</v>
      </c>
      <c r="S349" s="2">
        <v>243.27520000000001</v>
      </c>
      <c r="T349">
        <v>5</v>
      </c>
      <c r="U349" t="str">
        <f t="shared" si="17"/>
        <v>Julho</v>
      </c>
    </row>
    <row r="350" spans="1:21">
      <c r="A350">
        <v>349</v>
      </c>
      <c r="B350" s="1">
        <v>44016</v>
      </c>
      <c r="C350" s="1" t="str">
        <f t="shared" si="15"/>
        <v>julho</v>
      </c>
      <c r="D350">
        <v>20</v>
      </c>
      <c r="E350" t="s">
        <v>39</v>
      </c>
      <c r="F350" t="s">
        <v>24</v>
      </c>
      <c r="G350" s="8">
        <v>48</v>
      </c>
      <c r="H350" s="2">
        <v>109</v>
      </c>
      <c r="I350" s="2">
        <v>5232</v>
      </c>
      <c r="J350" s="4">
        <v>7.0000000000000007E-2</v>
      </c>
      <c r="K350" s="2">
        <v>4865.76</v>
      </c>
      <c r="L350" s="2">
        <f t="shared" si="16"/>
        <v>366.23999999999978</v>
      </c>
      <c r="M350" s="1">
        <v>44036</v>
      </c>
      <c r="N350" s="1">
        <v>44036</v>
      </c>
      <c r="O350">
        <v>349</v>
      </c>
      <c r="P350">
        <v>4</v>
      </c>
      <c r="Q350" t="s">
        <v>29</v>
      </c>
      <c r="R350" s="3">
        <v>0.09</v>
      </c>
      <c r="S350" s="2">
        <v>437.91840000000002</v>
      </c>
      <c r="T350">
        <v>6</v>
      </c>
      <c r="U350" t="str">
        <f t="shared" si="17"/>
        <v>Julho</v>
      </c>
    </row>
    <row r="351" spans="1:21">
      <c r="A351">
        <v>350</v>
      </c>
      <c r="B351" s="1">
        <v>44017</v>
      </c>
      <c r="C351" s="1" t="str">
        <f t="shared" si="15"/>
        <v>julho</v>
      </c>
      <c r="D351">
        <v>37</v>
      </c>
      <c r="E351" t="s">
        <v>48</v>
      </c>
      <c r="F351" t="s">
        <v>59</v>
      </c>
      <c r="G351" s="8">
        <v>23</v>
      </c>
      <c r="H351" s="2">
        <v>97</v>
      </c>
      <c r="I351" s="2">
        <v>2231</v>
      </c>
      <c r="J351" s="4">
        <v>0.15</v>
      </c>
      <c r="K351" s="2">
        <v>1896.35</v>
      </c>
      <c r="L351" s="2">
        <f t="shared" si="16"/>
        <v>334.65000000000009</v>
      </c>
      <c r="M351" s="1">
        <v>44036</v>
      </c>
      <c r="N351" s="1">
        <v>44036</v>
      </c>
      <c r="O351">
        <v>350</v>
      </c>
      <c r="P351">
        <v>3</v>
      </c>
      <c r="Q351" t="s">
        <v>52</v>
      </c>
      <c r="R351" s="3">
        <v>0.1</v>
      </c>
      <c r="S351" s="2">
        <v>189.63499999999999</v>
      </c>
      <c r="T351">
        <v>7</v>
      </c>
      <c r="U351" t="str">
        <f t="shared" si="17"/>
        <v>Julho</v>
      </c>
    </row>
    <row r="352" spans="1:21">
      <c r="A352">
        <v>351</v>
      </c>
      <c r="B352" s="1">
        <v>44017</v>
      </c>
      <c r="C352" s="1" t="str">
        <f t="shared" si="15"/>
        <v>julho</v>
      </c>
      <c r="D352">
        <v>20</v>
      </c>
      <c r="E352" t="s">
        <v>39</v>
      </c>
      <c r="F352" t="s">
        <v>46</v>
      </c>
      <c r="G352" s="8">
        <v>42</v>
      </c>
      <c r="H352" s="2">
        <v>94</v>
      </c>
      <c r="I352" s="2">
        <v>3948</v>
      </c>
      <c r="J352" s="4">
        <v>0.06</v>
      </c>
      <c r="K352" s="2">
        <v>3711.12</v>
      </c>
      <c r="L352" s="2">
        <f t="shared" si="16"/>
        <v>236.88000000000011</v>
      </c>
      <c r="M352" s="1">
        <v>44047</v>
      </c>
      <c r="N352" s="1">
        <v>44047</v>
      </c>
      <c r="O352">
        <v>351</v>
      </c>
      <c r="P352">
        <v>1</v>
      </c>
      <c r="Q352" t="s">
        <v>22</v>
      </c>
      <c r="R352" s="3">
        <v>0.1</v>
      </c>
      <c r="S352" s="2">
        <v>371.11200000000002</v>
      </c>
      <c r="T352">
        <v>1</v>
      </c>
      <c r="U352" t="str">
        <f t="shared" si="17"/>
        <v>Julho</v>
      </c>
    </row>
    <row r="353" spans="1:21">
      <c r="A353">
        <v>352</v>
      </c>
      <c r="B353" s="1">
        <v>44018</v>
      </c>
      <c r="C353" s="1" t="str">
        <f t="shared" si="15"/>
        <v>julho</v>
      </c>
      <c r="D353">
        <v>6</v>
      </c>
      <c r="E353" t="s">
        <v>88</v>
      </c>
      <c r="F353" t="s">
        <v>21</v>
      </c>
      <c r="G353" s="8">
        <v>40</v>
      </c>
      <c r="H353" s="2">
        <v>103</v>
      </c>
      <c r="I353" s="2">
        <v>4120</v>
      </c>
      <c r="J353" s="4">
        <v>7.0000000000000007E-2</v>
      </c>
      <c r="K353" s="2">
        <v>3831.6</v>
      </c>
      <c r="L353" s="2">
        <f t="shared" si="16"/>
        <v>288.40000000000009</v>
      </c>
      <c r="M353" s="1">
        <v>44019</v>
      </c>
      <c r="N353" s="1">
        <v>44019</v>
      </c>
      <c r="O353">
        <v>352</v>
      </c>
      <c r="P353">
        <v>5</v>
      </c>
      <c r="Q353" t="s">
        <v>69</v>
      </c>
      <c r="R353" s="3">
        <v>0.09</v>
      </c>
      <c r="S353" s="2">
        <v>344.84399999999999</v>
      </c>
      <c r="T353">
        <v>2</v>
      </c>
      <c r="U353" t="str">
        <f t="shared" si="17"/>
        <v>Julho</v>
      </c>
    </row>
    <row r="354" spans="1:21">
      <c r="A354">
        <v>353</v>
      </c>
      <c r="B354" s="1">
        <v>44018</v>
      </c>
      <c r="C354" s="1" t="str">
        <f t="shared" si="15"/>
        <v>julho</v>
      </c>
      <c r="D354">
        <v>44</v>
      </c>
      <c r="E354" t="s">
        <v>71</v>
      </c>
      <c r="F354" t="s">
        <v>41</v>
      </c>
      <c r="G354" s="8">
        <v>48</v>
      </c>
      <c r="H354" s="2">
        <v>115</v>
      </c>
      <c r="I354" s="2">
        <v>5520</v>
      </c>
      <c r="J354" s="4">
        <v>0.09</v>
      </c>
      <c r="K354" s="2">
        <v>5023.2</v>
      </c>
      <c r="L354" s="2">
        <f t="shared" si="16"/>
        <v>496.80000000000018</v>
      </c>
      <c r="M354" s="1">
        <v>44038</v>
      </c>
      <c r="N354" s="1">
        <v>44038</v>
      </c>
      <c r="O354">
        <v>353</v>
      </c>
      <c r="P354">
        <v>1</v>
      </c>
      <c r="Q354" t="s">
        <v>34</v>
      </c>
      <c r="R354" s="3">
        <v>0.1</v>
      </c>
      <c r="S354" s="2">
        <v>502.32</v>
      </c>
      <c r="T354">
        <v>3</v>
      </c>
      <c r="U354" t="str">
        <f t="shared" si="17"/>
        <v>Julho</v>
      </c>
    </row>
    <row r="355" spans="1:21">
      <c r="A355">
        <v>354</v>
      </c>
      <c r="B355" s="1">
        <v>44019</v>
      </c>
      <c r="C355" s="1" t="str">
        <f t="shared" si="15"/>
        <v>julho</v>
      </c>
      <c r="D355">
        <v>32</v>
      </c>
      <c r="E355" t="s">
        <v>77</v>
      </c>
      <c r="F355" t="s">
        <v>31</v>
      </c>
      <c r="G355" s="8">
        <v>48</v>
      </c>
      <c r="H355" s="2">
        <v>112</v>
      </c>
      <c r="I355" s="2">
        <v>5376</v>
      </c>
      <c r="J355" s="4">
        <v>0.1</v>
      </c>
      <c r="K355" s="2">
        <v>4838.3999999999996</v>
      </c>
      <c r="L355" s="2">
        <f t="shared" si="16"/>
        <v>537.60000000000036</v>
      </c>
      <c r="M355" s="1">
        <v>44021</v>
      </c>
      <c r="N355" s="1">
        <v>44021</v>
      </c>
      <c r="O355">
        <v>354</v>
      </c>
      <c r="P355">
        <v>3</v>
      </c>
      <c r="Q355" t="s">
        <v>43</v>
      </c>
      <c r="R355" s="3">
        <v>0.08</v>
      </c>
      <c r="S355" s="2">
        <v>387.072</v>
      </c>
      <c r="T355">
        <v>4</v>
      </c>
      <c r="U355" t="str">
        <f t="shared" si="17"/>
        <v>Julho</v>
      </c>
    </row>
    <row r="356" spans="1:21">
      <c r="A356">
        <v>355</v>
      </c>
      <c r="B356" s="1">
        <v>44020</v>
      </c>
      <c r="C356" s="1" t="str">
        <f t="shared" si="15"/>
        <v>julho</v>
      </c>
      <c r="D356">
        <v>73</v>
      </c>
      <c r="E356" t="s">
        <v>38</v>
      </c>
      <c r="F356" t="s">
        <v>24</v>
      </c>
      <c r="G356" s="8">
        <v>17</v>
      </c>
      <c r="H356" s="2">
        <v>93</v>
      </c>
      <c r="I356" s="2">
        <v>1581</v>
      </c>
      <c r="J356" s="4">
        <v>0.12</v>
      </c>
      <c r="K356" s="2">
        <v>1391.28</v>
      </c>
      <c r="L356" s="2">
        <f t="shared" si="16"/>
        <v>189.72000000000003</v>
      </c>
      <c r="M356" s="1">
        <v>44038</v>
      </c>
      <c r="N356" s="1">
        <v>44038</v>
      </c>
      <c r="O356">
        <v>355</v>
      </c>
      <c r="P356">
        <v>4</v>
      </c>
      <c r="Q356" t="s">
        <v>52</v>
      </c>
      <c r="R356" s="3">
        <v>0.08</v>
      </c>
      <c r="S356" s="2">
        <v>111.30240000000001</v>
      </c>
      <c r="T356">
        <v>5</v>
      </c>
      <c r="U356" t="str">
        <f t="shared" si="17"/>
        <v>Julho</v>
      </c>
    </row>
    <row r="357" spans="1:21">
      <c r="A357">
        <v>356</v>
      </c>
      <c r="B357" s="1">
        <v>44021</v>
      </c>
      <c r="C357" s="1" t="str">
        <f t="shared" si="15"/>
        <v>julho</v>
      </c>
      <c r="D357">
        <v>14</v>
      </c>
      <c r="E357" t="s">
        <v>27</v>
      </c>
      <c r="F357" t="s">
        <v>55</v>
      </c>
      <c r="G357" s="8">
        <v>11</v>
      </c>
      <c r="H357" s="2">
        <v>114</v>
      </c>
      <c r="I357" s="2">
        <v>1254</v>
      </c>
      <c r="J357" s="4">
        <v>0.09</v>
      </c>
      <c r="K357" s="2">
        <v>1141.1400000000001</v>
      </c>
      <c r="L357" s="2">
        <f t="shared" si="16"/>
        <v>112.8599999999999</v>
      </c>
      <c r="M357" s="1">
        <v>44039</v>
      </c>
      <c r="N357" s="1">
        <v>44039</v>
      </c>
      <c r="O357">
        <v>356</v>
      </c>
      <c r="P357">
        <v>5</v>
      </c>
      <c r="Q357" t="s">
        <v>69</v>
      </c>
      <c r="R357" s="3">
        <v>0.08</v>
      </c>
      <c r="S357" s="2">
        <v>91.291200000000003</v>
      </c>
      <c r="T357">
        <v>6</v>
      </c>
      <c r="U357" t="str">
        <f t="shared" si="17"/>
        <v>Julho</v>
      </c>
    </row>
    <row r="358" spans="1:21">
      <c r="A358">
        <v>357</v>
      </c>
      <c r="B358" s="1">
        <v>44022</v>
      </c>
      <c r="C358" s="1" t="str">
        <f t="shared" si="15"/>
        <v>julho</v>
      </c>
      <c r="D358">
        <v>30</v>
      </c>
      <c r="E358" t="s">
        <v>96</v>
      </c>
      <c r="F358" t="s">
        <v>24</v>
      </c>
      <c r="G358" s="8">
        <v>43</v>
      </c>
      <c r="H358" s="2">
        <v>120</v>
      </c>
      <c r="I358" s="2">
        <v>5160</v>
      </c>
      <c r="J358" s="4">
        <v>0.1</v>
      </c>
      <c r="K358" s="2">
        <v>4644</v>
      </c>
      <c r="L358" s="2">
        <f t="shared" si="16"/>
        <v>516</v>
      </c>
      <c r="M358" s="1">
        <v>44034</v>
      </c>
      <c r="N358" s="1">
        <v>44034</v>
      </c>
      <c r="O358">
        <v>357</v>
      </c>
      <c r="P358">
        <v>4</v>
      </c>
      <c r="Q358" t="s">
        <v>43</v>
      </c>
      <c r="R358" s="3">
        <v>0.09</v>
      </c>
      <c r="S358" s="2">
        <v>417.96</v>
      </c>
      <c r="T358">
        <v>7</v>
      </c>
      <c r="U358" t="str">
        <f t="shared" si="17"/>
        <v>Julho</v>
      </c>
    </row>
    <row r="359" spans="1:21">
      <c r="A359">
        <v>358</v>
      </c>
      <c r="B359" s="1">
        <v>44023</v>
      </c>
      <c r="C359" s="1" t="str">
        <f t="shared" si="15"/>
        <v>julho</v>
      </c>
      <c r="D359">
        <v>42</v>
      </c>
      <c r="E359" t="s">
        <v>92</v>
      </c>
      <c r="F359" t="s">
        <v>55</v>
      </c>
      <c r="G359" s="8">
        <v>36</v>
      </c>
      <c r="H359" s="2">
        <v>94</v>
      </c>
      <c r="I359" s="2">
        <v>3384</v>
      </c>
      <c r="J359" s="4">
        <v>0.04</v>
      </c>
      <c r="K359" s="2">
        <v>3248.64</v>
      </c>
      <c r="L359" s="2">
        <f t="shared" si="16"/>
        <v>135.36000000000013</v>
      </c>
      <c r="M359" s="1">
        <v>44042</v>
      </c>
      <c r="N359" s="1">
        <v>44042</v>
      </c>
      <c r="O359">
        <v>358</v>
      </c>
      <c r="P359">
        <v>1</v>
      </c>
      <c r="Q359" t="s">
        <v>25</v>
      </c>
      <c r="R359" s="3">
        <v>0.05</v>
      </c>
      <c r="S359" s="2">
        <v>162.43200000000002</v>
      </c>
      <c r="T359">
        <v>1</v>
      </c>
      <c r="U359" t="str">
        <f t="shared" si="17"/>
        <v>Julho</v>
      </c>
    </row>
    <row r="360" spans="1:21">
      <c r="A360">
        <v>359</v>
      </c>
      <c r="B360" s="1">
        <v>44023</v>
      </c>
      <c r="C360" s="1" t="str">
        <f t="shared" si="15"/>
        <v>julho</v>
      </c>
      <c r="D360">
        <v>4</v>
      </c>
      <c r="E360" t="s">
        <v>86</v>
      </c>
      <c r="F360" t="s">
        <v>31</v>
      </c>
      <c r="G360" s="8">
        <v>11</v>
      </c>
      <c r="H360" s="2">
        <v>103</v>
      </c>
      <c r="I360" s="2">
        <v>1133</v>
      </c>
      <c r="J360" s="4">
        <v>0.09</v>
      </c>
      <c r="K360" s="2">
        <v>1031.03</v>
      </c>
      <c r="L360" s="2">
        <f t="shared" si="16"/>
        <v>101.97000000000003</v>
      </c>
      <c r="M360" s="1">
        <v>44053</v>
      </c>
      <c r="N360" s="1">
        <v>44053</v>
      </c>
      <c r="O360">
        <v>359</v>
      </c>
      <c r="P360">
        <v>6</v>
      </c>
      <c r="Q360" t="s">
        <v>22</v>
      </c>
      <c r="R360" s="3">
        <v>0.05</v>
      </c>
      <c r="S360" s="2">
        <v>51.551500000000004</v>
      </c>
      <c r="T360">
        <v>2</v>
      </c>
      <c r="U360" t="str">
        <f t="shared" si="17"/>
        <v>Julho</v>
      </c>
    </row>
    <row r="361" spans="1:21">
      <c r="A361">
        <v>360</v>
      </c>
      <c r="B361" s="1">
        <v>44023</v>
      </c>
      <c r="C361" s="1" t="str">
        <f t="shared" si="15"/>
        <v>julho</v>
      </c>
      <c r="D361">
        <v>82</v>
      </c>
      <c r="E361" t="s">
        <v>67</v>
      </c>
      <c r="F361" t="s">
        <v>41</v>
      </c>
      <c r="G361" s="8">
        <v>11</v>
      </c>
      <c r="H361" s="2">
        <v>100</v>
      </c>
      <c r="I361" s="2">
        <v>1100</v>
      </c>
      <c r="J361" s="4">
        <v>7.0000000000000007E-2</v>
      </c>
      <c r="K361" s="2">
        <v>1023</v>
      </c>
      <c r="L361" s="2">
        <f t="shared" si="16"/>
        <v>77</v>
      </c>
      <c r="M361" s="1">
        <v>44051</v>
      </c>
      <c r="N361" s="1">
        <v>44051</v>
      </c>
      <c r="O361">
        <v>360</v>
      </c>
      <c r="P361">
        <v>2</v>
      </c>
      <c r="Q361" t="s">
        <v>69</v>
      </c>
      <c r="R361" s="3">
        <v>0.06</v>
      </c>
      <c r="S361" s="2">
        <v>61.379999999999995</v>
      </c>
      <c r="T361">
        <v>3</v>
      </c>
      <c r="U361" t="str">
        <f t="shared" si="17"/>
        <v>Julho</v>
      </c>
    </row>
    <row r="362" spans="1:21">
      <c r="A362">
        <v>361</v>
      </c>
      <c r="B362" s="1">
        <v>44024</v>
      </c>
      <c r="C362" s="1" t="str">
        <f t="shared" si="15"/>
        <v>julho</v>
      </c>
      <c r="D362">
        <v>70</v>
      </c>
      <c r="E362" t="s">
        <v>67</v>
      </c>
      <c r="F362" t="s">
        <v>46</v>
      </c>
      <c r="G362" s="8">
        <v>16</v>
      </c>
      <c r="H362" s="2">
        <v>112</v>
      </c>
      <c r="I362" s="2">
        <v>1792</v>
      </c>
      <c r="J362" s="4">
        <v>7.0000000000000007E-2</v>
      </c>
      <c r="K362" s="2">
        <v>1666.56</v>
      </c>
      <c r="L362" s="2">
        <f t="shared" si="16"/>
        <v>125.44000000000005</v>
      </c>
      <c r="M362" s="1">
        <v>44028</v>
      </c>
      <c r="N362" s="1">
        <v>44028</v>
      </c>
      <c r="O362">
        <v>361</v>
      </c>
      <c r="P362">
        <v>2</v>
      </c>
      <c r="Q362" t="s">
        <v>34</v>
      </c>
      <c r="R362" s="3">
        <v>7.0000000000000007E-2</v>
      </c>
      <c r="S362" s="2">
        <v>116.65920000000001</v>
      </c>
      <c r="T362">
        <v>4</v>
      </c>
      <c r="U362" t="str">
        <f t="shared" si="17"/>
        <v>Julho</v>
      </c>
    </row>
    <row r="363" spans="1:21">
      <c r="A363">
        <v>362</v>
      </c>
      <c r="B363" s="1">
        <v>44024</v>
      </c>
      <c r="C363" s="1" t="str">
        <f t="shared" si="15"/>
        <v>julho</v>
      </c>
      <c r="D363">
        <v>78</v>
      </c>
      <c r="E363" t="s">
        <v>36</v>
      </c>
      <c r="F363" t="s">
        <v>46</v>
      </c>
      <c r="G363" s="8">
        <v>10</v>
      </c>
      <c r="H363" s="2">
        <v>103</v>
      </c>
      <c r="I363" s="2">
        <v>1030</v>
      </c>
      <c r="J363" s="4">
        <v>0.05</v>
      </c>
      <c r="K363" s="2">
        <v>978.5</v>
      </c>
      <c r="L363" s="2">
        <f t="shared" si="16"/>
        <v>51.5</v>
      </c>
      <c r="M363" s="1">
        <v>44025</v>
      </c>
      <c r="N363" s="1">
        <v>44025</v>
      </c>
      <c r="O363">
        <v>362</v>
      </c>
      <c r="P363">
        <v>2</v>
      </c>
      <c r="Q363" t="s">
        <v>32</v>
      </c>
      <c r="R363" s="3">
        <v>0.09</v>
      </c>
      <c r="S363" s="2">
        <v>88.064999999999998</v>
      </c>
      <c r="T363">
        <v>5</v>
      </c>
      <c r="U363" t="str">
        <f t="shared" si="17"/>
        <v>Julho</v>
      </c>
    </row>
    <row r="364" spans="1:21">
      <c r="A364">
        <v>363</v>
      </c>
      <c r="B364" s="1">
        <v>44026</v>
      </c>
      <c r="C364" s="1" t="str">
        <f t="shared" si="15"/>
        <v>julho</v>
      </c>
      <c r="D364">
        <v>14</v>
      </c>
      <c r="E364" t="s">
        <v>27</v>
      </c>
      <c r="F364" t="s">
        <v>28</v>
      </c>
      <c r="G364" s="8">
        <v>39</v>
      </c>
      <c r="H364" s="2">
        <v>105</v>
      </c>
      <c r="I364" s="2">
        <v>4095</v>
      </c>
      <c r="J364" s="4">
        <v>0.05</v>
      </c>
      <c r="K364" s="2">
        <v>3890.25</v>
      </c>
      <c r="L364" s="2">
        <f t="shared" si="16"/>
        <v>204.75</v>
      </c>
      <c r="M364" s="1">
        <v>44049</v>
      </c>
      <c r="N364" s="1">
        <v>44049</v>
      </c>
      <c r="O364">
        <v>363</v>
      </c>
      <c r="P364">
        <v>7</v>
      </c>
      <c r="Q364" t="s">
        <v>69</v>
      </c>
      <c r="R364" s="3">
        <v>0.1</v>
      </c>
      <c r="S364" s="2">
        <v>389.02500000000003</v>
      </c>
      <c r="T364">
        <v>6</v>
      </c>
      <c r="U364" t="str">
        <f t="shared" si="17"/>
        <v>Julho</v>
      </c>
    </row>
    <row r="365" spans="1:21">
      <c r="A365">
        <v>364</v>
      </c>
      <c r="B365" s="1">
        <v>44028</v>
      </c>
      <c r="C365" s="1" t="str">
        <f t="shared" si="15"/>
        <v>julho</v>
      </c>
      <c r="D365">
        <v>17</v>
      </c>
      <c r="E365" t="s">
        <v>67</v>
      </c>
      <c r="F365" t="s">
        <v>55</v>
      </c>
      <c r="G365" s="8">
        <v>40</v>
      </c>
      <c r="H365" s="2">
        <v>112</v>
      </c>
      <c r="I365" s="2">
        <v>4480</v>
      </c>
      <c r="J365" s="4">
        <v>0.04</v>
      </c>
      <c r="K365" s="2">
        <v>4300.8</v>
      </c>
      <c r="L365" s="2">
        <f t="shared" si="16"/>
        <v>179.19999999999982</v>
      </c>
      <c r="M365" s="1">
        <v>44055</v>
      </c>
      <c r="N365" s="1">
        <v>44055</v>
      </c>
      <c r="O365">
        <v>364</v>
      </c>
      <c r="P365">
        <v>6</v>
      </c>
      <c r="Q365" t="s">
        <v>32</v>
      </c>
      <c r="R365" s="3">
        <v>0.1</v>
      </c>
      <c r="S365" s="2">
        <v>430.08000000000004</v>
      </c>
      <c r="T365">
        <v>7</v>
      </c>
      <c r="U365" t="str">
        <f t="shared" si="17"/>
        <v>Julho</v>
      </c>
    </row>
    <row r="366" spans="1:21">
      <c r="A366">
        <v>365</v>
      </c>
      <c r="B366" s="1">
        <v>44028</v>
      </c>
      <c r="C366" s="1" t="str">
        <f t="shared" si="15"/>
        <v>julho</v>
      </c>
      <c r="D366">
        <v>22</v>
      </c>
      <c r="E366" t="s">
        <v>51</v>
      </c>
      <c r="F366" t="s">
        <v>41</v>
      </c>
      <c r="G366" s="8">
        <v>22</v>
      </c>
      <c r="H366" s="2">
        <v>111</v>
      </c>
      <c r="I366" s="2">
        <v>2442</v>
      </c>
      <c r="J366" s="4">
        <v>0.11</v>
      </c>
      <c r="K366" s="2">
        <v>2173.38</v>
      </c>
      <c r="L366" s="2">
        <f t="shared" si="16"/>
        <v>268.61999999999989</v>
      </c>
      <c r="M366" s="1">
        <v>44038</v>
      </c>
      <c r="N366" s="1">
        <v>44038</v>
      </c>
      <c r="O366">
        <v>365</v>
      </c>
      <c r="P366">
        <v>6</v>
      </c>
      <c r="Q366" t="s">
        <v>32</v>
      </c>
      <c r="R366" s="3">
        <v>0.08</v>
      </c>
      <c r="S366" s="2">
        <v>173.87040000000002</v>
      </c>
      <c r="T366">
        <v>1</v>
      </c>
      <c r="U366" t="str">
        <f t="shared" si="17"/>
        <v>Julho</v>
      </c>
    </row>
    <row r="367" spans="1:21">
      <c r="A367">
        <v>366</v>
      </c>
      <c r="B367" s="1">
        <v>44030</v>
      </c>
      <c r="C367" s="1" t="str">
        <f t="shared" si="15"/>
        <v>julho</v>
      </c>
      <c r="D367">
        <v>56</v>
      </c>
      <c r="E367" t="s">
        <v>67</v>
      </c>
      <c r="F367" t="s">
        <v>41</v>
      </c>
      <c r="G367" s="8">
        <v>26</v>
      </c>
      <c r="H367" s="2">
        <v>96</v>
      </c>
      <c r="I367" s="2">
        <v>2496</v>
      </c>
      <c r="J367" s="4">
        <v>0.08</v>
      </c>
      <c r="K367" s="2">
        <v>2296.3200000000002</v>
      </c>
      <c r="L367" s="2">
        <f t="shared" si="16"/>
        <v>199.67999999999984</v>
      </c>
      <c r="M367" s="1">
        <v>44040</v>
      </c>
      <c r="N367" s="1">
        <v>44040</v>
      </c>
      <c r="O367">
        <v>366</v>
      </c>
      <c r="P367">
        <v>6</v>
      </c>
      <c r="Q367" t="s">
        <v>43</v>
      </c>
      <c r="R367" s="3">
        <v>0.1</v>
      </c>
      <c r="S367" s="2">
        <v>229.63200000000003</v>
      </c>
      <c r="T367">
        <v>2</v>
      </c>
      <c r="U367" t="str">
        <f t="shared" si="17"/>
        <v>Julho</v>
      </c>
    </row>
    <row r="368" spans="1:21">
      <c r="A368">
        <v>367</v>
      </c>
      <c r="B368" s="1">
        <v>44031</v>
      </c>
      <c r="C368" s="1" t="str">
        <f t="shared" si="15"/>
        <v>julho</v>
      </c>
      <c r="D368">
        <v>16</v>
      </c>
      <c r="E368" t="s">
        <v>27</v>
      </c>
      <c r="F368" t="s">
        <v>28</v>
      </c>
      <c r="G368" s="8">
        <v>26</v>
      </c>
      <c r="H368" s="2">
        <v>118</v>
      </c>
      <c r="I368" s="2">
        <v>3068</v>
      </c>
      <c r="J368" s="4">
        <v>0.02</v>
      </c>
      <c r="K368" s="2">
        <v>3006.64</v>
      </c>
      <c r="L368" s="2">
        <f t="shared" si="16"/>
        <v>61.360000000000127</v>
      </c>
      <c r="M368" s="1">
        <v>44060</v>
      </c>
      <c r="N368" s="1">
        <v>44060</v>
      </c>
      <c r="O368">
        <v>367</v>
      </c>
      <c r="P368">
        <v>1</v>
      </c>
      <c r="Q368" t="s">
        <v>43</v>
      </c>
      <c r="R368" s="3">
        <v>7.0000000000000007E-2</v>
      </c>
      <c r="S368" s="2">
        <v>210.46480000000003</v>
      </c>
      <c r="T368">
        <v>3</v>
      </c>
      <c r="U368" t="str">
        <f t="shared" si="17"/>
        <v>Julho</v>
      </c>
    </row>
    <row r="369" spans="1:21">
      <c r="A369">
        <v>368</v>
      </c>
      <c r="B369" s="1">
        <v>44031</v>
      </c>
      <c r="C369" s="1" t="str">
        <f t="shared" si="15"/>
        <v>julho</v>
      </c>
      <c r="D369">
        <v>72</v>
      </c>
      <c r="E369" t="s">
        <v>38</v>
      </c>
      <c r="F369" t="s">
        <v>59</v>
      </c>
      <c r="G369" s="8">
        <v>38</v>
      </c>
      <c r="H369" s="2">
        <v>104</v>
      </c>
      <c r="I369" s="2">
        <v>3952</v>
      </c>
      <c r="J369" s="4">
        <v>0.01</v>
      </c>
      <c r="K369" s="2">
        <v>3912.48</v>
      </c>
      <c r="L369" s="2">
        <f t="shared" si="16"/>
        <v>39.519999999999982</v>
      </c>
      <c r="M369" s="1">
        <v>44053</v>
      </c>
      <c r="N369" s="1">
        <v>44053</v>
      </c>
      <c r="O369">
        <v>368</v>
      </c>
      <c r="P369">
        <v>6</v>
      </c>
      <c r="Q369" t="s">
        <v>34</v>
      </c>
      <c r="R369" s="3">
        <v>7.0000000000000007E-2</v>
      </c>
      <c r="S369" s="2">
        <v>273.87360000000001</v>
      </c>
      <c r="T369">
        <v>4</v>
      </c>
      <c r="U369" t="str">
        <f t="shared" si="17"/>
        <v>Julho</v>
      </c>
    </row>
    <row r="370" spans="1:21">
      <c r="A370">
        <v>369</v>
      </c>
      <c r="B370" s="1">
        <v>44031</v>
      </c>
      <c r="C370" s="1" t="str">
        <f t="shared" si="15"/>
        <v>julho</v>
      </c>
      <c r="D370">
        <v>8</v>
      </c>
      <c r="E370" t="s">
        <v>38</v>
      </c>
      <c r="F370" t="s">
        <v>50</v>
      </c>
      <c r="G370" s="8">
        <v>43</v>
      </c>
      <c r="H370" s="2">
        <v>94</v>
      </c>
      <c r="I370" s="2">
        <v>4042</v>
      </c>
      <c r="J370" s="4">
        <v>0.15</v>
      </c>
      <c r="K370" s="2">
        <v>3435.7</v>
      </c>
      <c r="L370" s="2">
        <f t="shared" si="16"/>
        <v>606.30000000000018</v>
      </c>
      <c r="M370" s="1">
        <v>44031</v>
      </c>
      <c r="N370" s="1">
        <v>44031</v>
      </c>
      <c r="O370">
        <v>369</v>
      </c>
      <c r="P370">
        <v>6</v>
      </c>
      <c r="Q370" t="s">
        <v>52</v>
      </c>
      <c r="R370" s="3">
        <v>0.09</v>
      </c>
      <c r="S370" s="2">
        <v>309.21299999999997</v>
      </c>
      <c r="T370">
        <v>5</v>
      </c>
      <c r="U370" t="str">
        <f t="shared" si="17"/>
        <v>Julho</v>
      </c>
    </row>
    <row r="371" spans="1:21">
      <c r="A371">
        <v>370</v>
      </c>
      <c r="B371" s="1">
        <v>44032</v>
      </c>
      <c r="C371" s="1" t="str">
        <f t="shared" si="15"/>
        <v>julho</v>
      </c>
      <c r="D371">
        <v>66</v>
      </c>
      <c r="E371" t="s">
        <v>30</v>
      </c>
      <c r="F371" t="s">
        <v>21</v>
      </c>
      <c r="G371" s="8">
        <v>50</v>
      </c>
      <c r="H371" s="2">
        <v>112</v>
      </c>
      <c r="I371" s="2">
        <v>5600</v>
      </c>
      <c r="J371" s="4">
        <v>0.03</v>
      </c>
      <c r="K371" s="2">
        <v>5432</v>
      </c>
      <c r="L371" s="2">
        <f t="shared" si="16"/>
        <v>168</v>
      </c>
      <c r="M371" s="1">
        <v>44048</v>
      </c>
      <c r="N371" s="1">
        <v>44048</v>
      </c>
      <c r="O371">
        <v>370</v>
      </c>
      <c r="P371">
        <v>5</v>
      </c>
      <c r="Q371" t="s">
        <v>29</v>
      </c>
      <c r="R371" s="3">
        <v>0.06</v>
      </c>
      <c r="S371" s="2">
        <v>325.92</v>
      </c>
      <c r="T371">
        <v>6</v>
      </c>
      <c r="U371" t="str">
        <f t="shared" si="17"/>
        <v>Julho</v>
      </c>
    </row>
    <row r="372" spans="1:21">
      <c r="A372">
        <v>371</v>
      </c>
      <c r="B372" s="1">
        <v>44032</v>
      </c>
      <c r="C372" s="1" t="str">
        <f t="shared" si="15"/>
        <v>julho</v>
      </c>
      <c r="D372">
        <v>17</v>
      </c>
      <c r="E372" t="s">
        <v>67</v>
      </c>
      <c r="F372" t="s">
        <v>31</v>
      </c>
      <c r="G372" s="8">
        <v>39</v>
      </c>
      <c r="H372" s="2">
        <v>116</v>
      </c>
      <c r="I372" s="2">
        <v>4524</v>
      </c>
      <c r="J372" s="4">
        <v>0.15</v>
      </c>
      <c r="K372" s="2">
        <v>3845.4</v>
      </c>
      <c r="L372" s="2">
        <f t="shared" si="16"/>
        <v>678.59999999999991</v>
      </c>
      <c r="M372" s="1">
        <v>44049</v>
      </c>
      <c r="N372" s="1">
        <v>44049</v>
      </c>
      <c r="O372">
        <v>371</v>
      </c>
      <c r="P372">
        <v>3</v>
      </c>
      <c r="Q372" t="s">
        <v>34</v>
      </c>
      <c r="R372" s="3">
        <v>0.05</v>
      </c>
      <c r="S372" s="2">
        <v>192.27</v>
      </c>
      <c r="T372">
        <v>7</v>
      </c>
      <c r="U372" t="str">
        <f t="shared" si="17"/>
        <v>Julho</v>
      </c>
    </row>
    <row r="373" spans="1:21">
      <c r="A373">
        <v>372</v>
      </c>
      <c r="B373" s="1">
        <v>44033</v>
      </c>
      <c r="C373" s="1" t="str">
        <f t="shared" si="15"/>
        <v>julho</v>
      </c>
      <c r="D373">
        <v>57</v>
      </c>
      <c r="E373" t="s">
        <v>89</v>
      </c>
      <c r="F373" t="s">
        <v>46</v>
      </c>
      <c r="G373" s="8">
        <v>24</v>
      </c>
      <c r="H373" s="2">
        <v>102</v>
      </c>
      <c r="I373" s="2">
        <v>2448</v>
      </c>
      <c r="J373" s="4">
        <v>0.04</v>
      </c>
      <c r="K373" s="2">
        <v>2350.08</v>
      </c>
      <c r="L373" s="2">
        <f t="shared" si="16"/>
        <v>97.920000000000073</v>
      </c>
      <c r="M373" s="1">
        <v>44063</v>
      </c>
      <c r="N373" s="1">
        <v>44063</v>
      </c>
      <c r="O373">
        <v>372</v>
      </c>
      <c r="P373">
        <v>4</v>
      </c>
      <c r="Q373" t="s">
        <v>32</v>
      </c>
      <c r="R373" s="3">
        <v>0.06</v>
      </c>
      <c r="S373" s="2">
        <v>141.00479999999999</v>
      </c>
      <c r="T373">
        <v>1</v>
      </c>
      <c r="U373" t="str">
        <f t="shared" si="17"/>
        <v>Julho</v>
      </c>
    </row>
    <row r="374" spans="1:21">
      <c r="A374">
        <v>373</v>
      </c>
      <c r="B374" s="1">
        <v>44034</v>
      </c>
      <c r="C374" s="1" t="str">
        <f t="shared" si="15"/>
        <v>julho</v>
      </c>
      <c r="D374">
        <v>32</v>
      </c>
      <c r="E374" t="s">
        <v>77</v>
      </c>
      <c r="F374" t="s">
        <v>46</v>
      </c>
      <c r="G374" s="8">
        <v>22</v>
      </c>
      <c r="H374" s="2">
        <v>99</v>
      </c>
      <c r="I374" s="2">
        <v>2178</v>
      </c>
      <c r="J374" s="4">
        <v>0.03</v>
      </c>
      <c r="K374" s="2">
        <v>2112.66</v>
      </c>
      <c r="L374" s="2">
        <f t="shared" si="16"/>
        <v>65.340000000000146</v>
      </c>
      <c r="M374" s="1">
        <v>44052</v>
      </c>
      <c r="N374" s="1">
        <v>44052</v>
      </c>
      <c r="O374">
        <v>373</v>
      </c>
      <c r="P374">
        <v>3</v>
      </c>
      <c r="Q374" t="s">
        <v>34</v>
      </c>
      <c r="R374" s="3">
        <v>0.08</v>
      </c>
      <c r="S374" s="2">
        <v>169.0128</v>
      </c>
      <c r="T374">
        <v>2</v>
      </c>
      <c r="U374" t="str">
        <f t="shared" si="17"/>
        <v>Julho</v>
      </c>
    </row>
    <row r="375" spans="1:21">
      <c r="A375">
        <v>374</v>
      </c>
      <c r="B375" s="1">
        <v>44034</v>
      </c>
      <c r="C375" s="1" t="str">
        <f t="shared" si="15"/>
        <v>julho</v>
      </c>
      <c r="D375">
        <v>97</v>
      </c>
      <c r="E375" t="s">
        <v>66</v>
      </c>
      <c r="F375" t="s">
        <v>46</v>
      </c>
      <c r="G375" s="8">
        <v>41</v>
      </c>
      <c r="H375" s="2">
        <v>105</v>
      </c>
      <c r="I375" s="2">
        <v>4305</v>
      </c>
      <c r="J375" s="4">
        <v>0.02</v>
      </c>
      <c r="K375" s="2">
        <v>4218.8999999999996</v>
      </c>
      <c r="L375" s="2">
        <f t="shared" si="16"/>
        <v>86.100000000000364</v>
      </c>
      <c r="M375" s="1">
        <v>44050</v>
      </c>
      <c r="N375" s="1">
        <v>44050</v>
      </c>
      <c r="O375">
        <v>374</v>
      </c>
      <c r="P375">
        <v>5</v>
      </c>
      <c r="Q375" t="s">
        <v>25</v>
      </c>
      <c r="R375" s="3">
        <v>7.0000000000000007E-2</v>
      </c>
      <c r="S375" s="2">
        <v>295.32299999999998</v>
      </c>
      <c r="T375">
        <v>3</v>
      </c>
      <c r="U375" t="str">
        <f t="shared" si="17"/>
        <v>Julho</v>
      </c>
    </row>
    <row r="376" spans="1:21">
      <c r="A376">
        <v>375</v>
      </c>
      <c r="B376" s="1">
        <v>44034</v>
      </c>
      <c r="C376" s="1" t="str">
        <f t="shared" si="15"/>
        <v>julho</v>
      </c>
      <c r="D376">
        <v>53</v>
      </c>
      <c r="E376" t="s">
        <v>88</v>
      </c>
      <c r="F376" t="s">
        <v>24</v>
      </c>
      <c r="G376" s="8">
        <v>33</v>
      </c>
      <c r="H376" s="2">
        <v>99</v>
      </c>
      <c r="I376" s="2">
        <v>3267</v>
      </c>
      <c r="J376" s="4">
        <v>7.0000000000000007E-2</v>
      </c>
      <c r="K376" s="2">
        <v>3038.31</v>
      </c>
      <c r="L376" s="2">
        <f t="shared" si="16"/>
        <v>228.69000000000005</v>
      </c>
      <c r="M376" s="1">
        <v>44044</v>
      </c>
      <c r="N376" s="1">
        <v>44044</v>
      </c>
      <c r="O376">
        <v>375</v>
      </c>
      <c r="P376">
        <v>5</v>
      </c>
      <c r="Q376" t="s">
        <v>69</v>
      </c>
      <c r="R376" s="3">
        <v>7.0000000000000007E-2</v>
      </c>
      <c r="S376" s="2">
        <v>212.68170000000001</v>
      </c>
      <c r="T376">
        <v>4</v>
      </c>
      <c r="U376" t="str">
        <f t="shared" si="17"/>
        <v>Julho</v>
      </c>
    </row>
    <row r="377" spans="1:21">
      <c r="A377">
        <v>376</v>
      </c>
      <c r="B377" s="1">
        <v>44035</v>
      </c>
      <c r="C377" s="1" t="str">
        <f t="shared" si="15"/>
        <v>julho</v>
      </c>
      <c r="D377">
        <v>75</v>
      </c>
      <c r="E377" t="s">
        <v>38</v>
      </c>
      <c r="F377" t="s">
        <v>24</v>
      </c>
      <c r="G377" s="8">
        <v>38</v>
      </c>
      <c r="H377" s="2">
        <v>120</v>
      </c>
      <c r="I377" s="2">
        <v>4560</v>
      </c>
      <c r="J377" s="4">
        <v>0.15</v>
      </c>
      <c r="K377" s="2">
        <v>3876</v>
      </c>
      <c r="L377" s="2">
        <f t="shared" si="16"/>
        <v>684</v>
      </c>
      <c r="M377" s="1">
        <v>44041</v>
      </c>
      <c r="N377" s="1">
        <v>44041</v>
      </c>
      <c r="O377">
        <v>376</v>
      </c>
      <c r="P377">
        <v>2</v>
      </c>
      <c r="Q377" t="s">
        <v>32</v>
      </c>
      <c r="R377" s="3">
        <v>0.06</v>
      </c>
      <c r="S377" s="2">
        <v>232.56</v>
      </c>
      <c r="T377">
        <v>5</v>
      </c>
      <c r="U377" t="str">
        <f t="shared" si="17"/>
        <v>Julho</v>
      </c>
    </row>
    <row r="378" spans="1:21">
      <c r="A378">
        <v>377</v>
      </c>
      <c r="B378" s="1">
        <v>44035</v>
      </c>
      <c r="C378" s="1" t="str">
        <f t="shared" si="15"/>
        <v>julho</v>
      </c>
      <c r="D378">
        <v>93</v>
      </c>
      <c r="E378" t="s">
        <v>33</v>
      </c>
      <c r="F378" t="s">
        <v>59</v>
      </c>
      <c r="G378" s="8">
        <v>10</v>
      </c>
      <c r="H378" s="2">
        <v>93</v>
      </c>
      <c r="I378" s="2">
        <v>930</v>
      </c>
      <c r="J378" s="4">
        <v>0.14000000000000001</v>
      </c>
      <c r="K378" s="2">
        <v>799.8</v>
      </c>
      <c r="L378" s="2">
        <f t="shared" si="16"/>
        <v>130.20000000000005</v>
      </c>
      <c r="M378" s="1">
        <v>44059</v>
      </c>
      <c r="N378" s="1">
        <v>44059</v>
      </c>
      <c r="O378">
        <v>377</v>
      </c>
      <c r="P378">
        <v>3</v>
      </c>
      <c r="Q378" t="s">
        <v>25</v>
      </c>
      <c r="R378" s="3">
        <v>7.0000000000000007E-2</v>
      </c>
      <c r="S378" s="2">
        <v>55.986000000000004</v>
      </c>
      <c r="T378">
        <v>6</v>
      </c>
      <c r="U378" t="str">
        <f t="shared" si="17"/>
        <v>Julho</v>
      </c>
    </row>
    <row r="379" spans="1:21">
      <c r="A379">
        <v>378</v>
      </c>
      <c r="B379" s="1">
        <v>44035</v>
      </c>
      <c r="C379" s="1" t="str">
        <f t="shared" si="15"/>
        <v>julho</v>
      </c>
      <c r="D379">
        <v>33</v>
      </c>
      <c r="E379" t="s">
        <v>76</v>
      </c>
      <c r="F379" t="s">
        <v>46</v>
      </c>
      <c r="G379" s="8">
        <v>13</v>
      </c>
      <c r="H379" s="2">
        <v>105</v>
      </c>
      <c r="I379" s="2">
        <v>1365</v>
      </c>
      <c r="J379" s="4">
        <v>0.03</v>
      </c>
      <c r="K379" s="2">
        <v>1324.05</v>
      </c>
      <c r="L379" s="2">
        <f t="shared" si="16"/>
        <v>40.950000000000045</v>
      </c>
      <c r="M379" s="1">
        <v>44042</v>
      </c>
      <c r="N379" s="1">
        <v>44042</v>
      </c>
      <c r="O379">
        <v>378</v>
      </c>
      <c r="P379">
        <v>6</v>
      </c>
      <c r="Q379" t="s">
        <v>37</v>
      </c>
      <c r="R379" s="3">
        <v>0.08</v>
      </c>
      <c r="S379" s="2">
        <v>105.92399999999999</v>
      </c>
      <c r="T379">
        <v>7</v>
      </c>
      <c r="U379" t="str">
        <f t="shared" si="17"/>
        <v>Julho</v>
      </c>
    </row>
    <row r="380" spans="1:21">
      <c r="A380">
        <v>379</v>
      </c>
      <c r="B380" s="1">
        <v>44036</v>
      </c>
      <c r="C380" s="1" t="str">
        <f t="shared" si="15"/>
        <v>julho</v>
      </c>
      <c r="D380">
        <v>63</v>
      </c>
      <c r="E380" t="s">
        <v>80</v>
      </c>
      <c r="F380" t="s">
        <v>59</v>
      </c>
      <c r="G380" s="8">
        <v>27</v>
      </c>
      <c r="H380" s="2">
        <v>107</v>
      </c>
      <c r="I380" s="2">
        <v>2889</v>
      </c>
      <c r="J380" s="4">
        <v>0.1</v>
      </c>
      <c r="K380" s="2">
        <v>2600.1</v>
      </c>
      <c r="L380" s="2">
        <f t="shared" si="16"/>
        <v>288.90000000000009</v>
      </c>
      <c r="M380" s="1">
        <v>44061</v>
      </c>
      <c r="N380" s="1">
        <v>44061</v>
      </c>
      <c r="O380">
        <v>379</v>
      </c>
      <c r="P380">
        <v>7</v>
      </c>
      <c r="Q380" t="s">
        <v>47</v>
      </c>
      <c r="R380" s="3">
        <v>0.06</v>
      </c>
      <c r="S380" s="2">
        <v>156.006</v>
      </c>
      <c r="T380">
        <v>1</v>
      </c>
      <c r="U380" t="str">
        <f t="shared" si="17"/>
        <v>Julho</v>
      </c>
    </row>
    <row r="381" spans="1:21">
      <c r="A381">
        <v>380</v>
      </c>
      <c r="B381" s="1">
        <v>44036</v>
      </c>
      <c r="C381" s="1" t="str">
        <f t="shared" si="15"/>
        <v>julho</v>
      </c>
      <c r="D381">
        <v>59</v>
      </c>
      <c r="E381" t="s">
        <v>97</v>
      </c>
      <c r="F381" t="s">
        <v>24</v>
      </c>
      <c r="G381" s="8">
        <v>25</v>
      </c>
      <c r="H381" s="2">
        <v>92</v>
      </c>
      <c r="I381" s="2">
        <v>2300</v>
      </c>
      <c r="J381" s="4">
        <v>0.04</v>
      </c>
      <c r="K381" s="2">
        <v>2208</v>
      </c>
      <c r="L381" s="2">
        <f t="shared" si="16"/>
        <v>92</v>
      </c>
      <c r="M381" s="1">
        <v>44039</v>
      </c>
      <c r="N381" s="1">
        <v>44039</v>
      </c>
      <c r="O381">
        <v>380</v>
      </c>
      <c r="P381">
        <v>2</v>
      </c>
      <c r="Q381" t="s">
        <v>29</v>
      </c>
      <c r="R381" s="3">
        <v>0.06</v>
      </c>
      <c r="S381" s="2">
        <v>132.47999999999999</v>
      </c>
      <c r="T381">
        <v>2</v>
      </c>
      <c r="U381" t="str">
        <f t="shared" si="17"/>
        <v>Julho</v>
      </c>
    </row>
    <row r="382" spans="1:21">
      <c r="A382">
        <v>381</v>
      </c>
      <c r="B382" s="1">
        <v>44036</v>
      </c>
      <c r="C382" s="1" t="str">
        <f t="shared" si="15"/>
        <v>julho</v>
      </c>
      <c r="D382">
        <v>82</v>
      </c>
      <c r="E382" t="s">
        <v>67</v>
      </c>
      <c r="F382" t="s">
        <v>50</v>
      </c>
      <c r="G382" s="8">
        <v>43</v>
      </c>
      <c r="H382" s="2">
        <v>119</v>
      </c>
      <c r="I382" s="2">
        <v>5117</v>
      </c>
      <c r="J382" s="4">
        <v>0</v>
      </c>
      <c r="K382" s="2">
        <v>5117</v>
      </c>
      <c r="L382" s="2">
        <f t="shared" si="16"/>
        <v>0</v>
      </c>
      <c r="M382" s="1">
        <v>44046</v>
      </c>
      <c r="N382" s="1">
        <v>44046</v>
      </c>
      <c r="O382">
        <v>381</v>
      </c>
      <c r="P382">
        <v>2</v>
      </c>
      <c r="Q382" t="s">
        <v>52</v>
      </c>
      <c r="R382" s="3">
        <v>0.06</v>
      </c>
      <c r="S382" s="2">
        <v>307.02</v>
      </c>
      <c r="T382">
        <v>3</v>
      </c>
      <c r="U382" t="str">
        <f t="shared" si="17"/>
        <v>Julho</v>
      </c>
    </row>
    <row r="383" spans="1:21">
      <c r="A383">
        <v>382</v>
      </c>
      <c r="B383" s="1">
        <v>44037</v>
      </c>
      <c r="C383" s="1" t="str">
        <f t="shared" si="15"/>
        <v>julho</v>
      </c>
      <c r="D383">
        <v>46</v>
      </c>
      <c r="E383" t="s">
        <v>94</v>
      </c>
      <c r="F383" t="s">
        <v>28</v>
      </c>
      <c r="G383" s="8">
        <v>47</v>
      </c>
      <c r="H383" s="2">
        <v>107</v>
      </c>
      <c r="I383" s="2">
        <v>5029</v>
      </c>
      <c r="J383" s="4">
        <v>0.1</v>
      </c>
      <c r="K383" s="2">
        <v>4526.1000000000004</v>
      </c>
      <c r="L383" s="2">
        <f t="shared" si="16"/>
        <v>502.89999999999964</v>
      </c>
      <c r="M383" s="1">
        <v>44050</v>
      </c>
      <c r="N383" s="1">
        <v>44050</v>
      </c>
      <c r="O383">
        <v>382</v>
      </c>
      <c r="P383">
        <v>6</v>
      </c>
      <c r="Q383" t="s">
        <v>43</v>
      </c>
      <c r="R383" s="3">
        <v>0.1</v>
      </c>
      <c r="S383" s="2">
        <v>452.61000000000007</v>
      </c>
      <c r="T383">
        <v>4</v>
      </c>
      <c r="U383" t="str">
        <f t="shared" si="17"/>
        <v>Julho</v>
      </c>
    </row>
    <row r="384" spans="1:21">
      <c r="A384">
        <v>383</v>
      </c>
      <c r="B384" s="1">
        <v>44038</v>
      </c>
      <c r="C384" s="1" t="str">
        <f t="shared" si="15"/>
        <v>julho</v>
      </c>
      <c r="D384">
        <v>98</v>
      </c>
      <c r="E384" t="s">
        <v>26</v>
      </c>
      <c r="F384" t="s">
        <v>31</v>
      </c>
      <c r="G384" s="8">
        <v>11</v>
      </c>
      <c r="H384" s="2">
        <v>95</v>
      </c>
      <c r="I384" s="2">
        <v>1045</v>
      </c>
      <c r="J384" s="4">
        <v>0.08</v>
      </c>
      <c r="K384" s="2">
        <v>961.4</v>
      </c>
      <c r="L384" s="2">
        <f t="shared" si="16"/>
        <v>83.600000000000023</v>
      </c>
      <c r="M384" s="1">
        <v>44044</v>
      </c>
      <c r="N384" s="1">
        <v>44044</v>
      </c>
      <c r="O384">
        <v>383</v>
      </c>
      <c r="P384">
        <v>2</v>
      </c>
      <c r="Q384" t="s">
        <v>25</v>
      </c>
      <c r="R384" s="3">
        <v>7.0000000000000007E-2</v>
      </c>
      <c r="S384" s="2">
        <v>67.298000000000002</v>
      </c>
      <c r="T384">
        <v>5</v>
      </c>
      <c r="U384" t="str">
        <f t="shared" si="17"/>
        <v>Julho</v>
      </c>
    </row>
    <row r="385" spans="1:21">
      <c r="A385">
        <v>384</v>
      </c>
      <c r="B385" s="1">
        <v>44039</v>
      </c>
      <c r="C385" s="1" t="str">
        <f t="shared" si="15"/>
        <v>julho</v>
      </c>
      <c r="D385">
        <v>12</v>
      </c>
      <c r="E385" t="s">
        <v>45</v>
      </c>
      <c r="F385" t="s">
        <v>24</v>
      </c>
      <c r="G385" s="8">
        <v>41</v>
      </c>
      <c r="H385" s="2">
        <v>105</v>
      </c>
      <c r="I385" s="2">
        <v>4305</v>
      </c>
      <c r="J385" s="4">
        <v>0</v>
      </c>
      <c r="K385" s="2">
        <v>4305</v>
      </c>
      <c r="L385" s="2">
        <f t="shared" si="16"/>
        <v>0</v>
      </c>
      <c r="M385" s="1">
        <v>44063</v>
      </c>
      <c r="N385" s="1">
        <v>44063</v>
      </c>
      <c r="O385">
        <v>384</v>
      </c>
      <c r="P385">
        <v>3</v>
      </c>
      <c r="Q385" t="s">
        <v>29</v>
      </c>
      <c r="R385" s="3">
        <v>0.08</v>
      </c>
      <c r="S385" s="2">
        <v>344.40000000000003</v>
      </c>
      <c r="T385">
        <v>6</v>
      </c>
      <c r="U385" t="str">
        <f t="shared" si="17"/>
        <v>Julho</v>
      </c>
    </row>
    <row r="386" spans="1:21">
      <c r="A386">
        <v>385</v>
      </c>
      <c r="B386" s="1">
        <v>44041</v>
      </c>
      <c r="C386" s="1" t="str">
        <f t="shared" si="15"/>
        <v>julho</v>
      </c>
      <c r="D386">
        <v>80</v>
      </c>
      <c r="E386" t="s">
        <v>38</v>
      </c>
      <c r="F386" t="s">
        <v>21</v>
      </c>
      <c r="G386" s="8">
        <v>49</v>
      </c>
      <c r="H386" s="2">
        <v>109</v>
      </c>
      <c r="I386" s="2">
        <v>5341</v>
      </c>
      <c r="J386" s="4">
        <v>0.15</v>
      </c>
      <c r="K386" s="2">
        <v>4539.8500000000004</v>
      </c>
      <c r="L386" s="2">
        <f t="shared" si="16"/>
        <v>801.14999999999964</v>
      </c>
      <c r="M386" s="1">
        <v>44042</v>
      </c>
      <c r="N386" s="1">
        <v>44042</v>
      </c>
      <c r="O386">
        <v>385</v>
      </c>
      <c r="P386">
        <v>2</v>
      </c>
      <c r="Q386" t="s">
        <v>52</v>
      </c>
      <c r="R386" s="3">
        <v>0.06</v>
      </c>
      <c r="S386" s="2">
        <v>272.39100000000002</v>
      </c>
      <c r="T386">
        <v>7</v>
      </c>
      <c r="U386" t="str">
        <f t="shared" si="17"/>
        <v>Julho</v>
      </c>
    </row>
    <row r="387" spans="1:21">
      <c r="A387">
        <v>386</v>
      </c>
      <c r="B387" s="1">
        <v>44042</v>
      </c>
      <c r="C387" s="1" t="str">
        <f t="shared" ref="C387:C450" si="18">TEXT(B387,"mmmm")</f>
        <v>julho</v>
      </c>
      <c r="D387">
        <v>49</v>
      </c>
      <c r="E387" t="s">
        <v>38</v>
      </c>
      <c r="F387" t="s">
        <v>50</v>
      </c>
      <c r="G387" s="8">
        <v>18</v>
      </c>
      <c r="H387" s="2">
        <v>102</v>
      </c>
      <c r="I387" s="2">
        <v>1836</v>
      </c>
      <c r="J387" s="4">
        <v>0.15</v>
      </c>
      <c r="K387" s="2">
        <v>1560.6</v>
      </c>
      <c r="L387" s="2">
        <f t="shared" ref="L387:L450" si="19">I387-K387</f>
        <v>275.40000000000009</v>
      </c>
      <c r="M387" s="1">
        <v>44051</v>
      </c>
      <c r="N387" s="1">
        <v>44051</v>
      </c>
      <c r="O387">
        <v>386</v>
      </c>
      <c r="P387">
        <v>4</v>
      </c>
      <c r="Q387" t="s">
        <v>32</v>
      </c>
      <c r="R387" s="3">
        <v>0.09</v>
      </c>
      <c r="S387" s="2">
        <v>140.45399999999998</v>
      </c>
      <c r="T387">
        <v>1</v>
      </c>
      <c r="U387" t="str">
        <f t="shared" ref="U387:U450" si="20">PROPER(TEXT(B387,"mmmm"))</f>
        <v>Julho</v>
      </c>
    </row>
    <row r="388" spans="1:21">
      <c r="A388">
        <v>387</v>
      </c>
      <c r="B388" s="1">
        <v>44043</v>
      </c>
      <c r="C388" s="1" t="str">
        <f t="shared" si="18"/>
        <v>julho</v>
      </c>
      <c r="D388">
        <v>89</v>
      </c>
      <c r="E388" t="s">
        <v>49</v>
      </c>
      <c r="F388" t="s">
        <v>59</v>
      </c>
      <c r="G388" s="8">
        <v>43</v>
      </c>
      <c r="H388" s="2">
        <v>91</v>
      </c>
      <c r="I388" s="2">
        <v>3913</v>
      </c>
      <c r="J388" s="4">
        <v>0.15</v>
      </c>
      <c r="K388" s="2">
        <v>3326.05</v>
      </c>
      <c r="L388" s="2">
        <f t="shared" si="19"/>
        <v>586.94999999999982</v>
      </c>
      <c r="M388" s="1">
        <v>44052</v>
      </c>
      <c r="N388" s="1">
        <v>44052</v>
      </c>
      <c r="O388">
        <v>387</v>
      </c>
      <c r="P388">
        <v>4</v>
      </c>
      <c r="Q388" t="s">
        <v>37</v>
      </c>
      <c r="R388" s="3">
        <v>0.09</v>
      </c>
      <c r="S388" s="2">
        <v>299.34449999999998</v>
      </c>
      <c r="T388">
        <v>2</v>
      </c>
      <c r="U388" t="str">
        <f t="shared" si="20"/>
        <v>Julho</v>
      </c>
    </row>
    <row r="389" spans="1:21">
      <c r="A389">
        <v>388</v>
      </c>
      <c r="B389" s="1">
        <v>44043</v>
      </c>
      <c r="C389" s="1" t="str">
        <f t="shared" si="18"/>
        <v>julho</v>
      </c>
      <c r="D389">
        <v>79</v>
      </c>
      <c r="E389" t="s">
        <v>33</v>
      </c>
      <c r="F389" t="s">
        <v>24</v>
      </c>
      <c r="G389" s="8">
        <v>40</v>
      </c>
      <c r="H389" s="2">
        <v>104</v>
      </c>
      <c r="I389" s="2">
        <v>4160</v>
      </c>
      <c r="J389" s="4">
        <v>0.11</v>
      </c>
      <c r="K389" s="2">
        <v>3702.4</v>
      </c>
      <c r="L389" s="2">
        <f t="shared" si="19"/>
        <v>457.59999999999991</v>
      </c>
      <c r="M389" s="1">
        <v>44063</v>
      </c>
      <c r="N389" s="1">
        <v>44063</v>
      </c>
      <c r="O389">
        <v>388</v>
      </c>
      <c r="P389">
        <v>6</v>
      </c>
      <c r="Q389" t="s">
        <v>25</v>
      </c>
      <c r="R389" s="3">
        <v>0.05</v>
      </c>
      <c r="S389" s="2">
        <v>185.12</v>
      </c>
      <c r="T389">
        <v>3</v>
      </c>
      <c r="U389" t="str">
        <f t="shared" si="20"/>
        <v>Julho</v>
      </c>
    </row>
    <row r="390" spans="1:21">
      <c r="A390">
        <v>389</v>
      </c>
      <c r="B390" s="1">
        <v>44043</v>
      </c>
      <c r="C390" s="1" t="str">
        <f t="shared" si="18"/>
        <v>julho</v>
      </c>
      <c r="D390">
        <v>58</v>
      </c>
      <c r="E390" t="s">
        <v>72</v>
      </c>
      <c r="F390" t="s">
        <v>46</v>
      </c>
      <c r="G390" s="8">
        <v>31</v>
      </c>
      <c r="H390" s="2">
        <v>90</v>
      </c>
      <c r="I390" s="2">
        <v>2790</v>
      </c>
      <c r="J390" s="4">
        <v>0</v>
      </c>
      <c r="K390" s="2">
        <v>2790</v>
      </c>
      <c r="L390" s="2">
        <f t="shared" si="19"/>
        <v>0</v>
      </c>
      <c r="M390" s="1">
        <v>44050</v>
      </c>
      <c r="N390" s="1">
        <v>44050</v>
      </c>
      <c r="O390">
        <v>389</v>
      </c>
      <c r="P390">
        <v>5</v>
      </c>
      <c r="Q390" t="s">
        <v>52</v>
      </c>
      <c r="R390" s="3">
        <v>0.08</v>
      </c>
      <c r="S390" s="2">
        <v>223.20000000000002</v>
      </c>
      <c r="T390">
        <v>4</v>
      </c>
      <c r="U390" t="str">
        <f t="shared" si="20"/>
        <v>Julho</v>
      </c>
    </row>
    <row r="391" spans="1:21">
      <c r="A391">
        <v>390</v>
      </c>
      <c r="B391" s="1">
        <v>44044</v>
      </c>
      <c r="C391" s="1" t="str">
        <f t="shared" si="18"/>
        <v>agosto</v>
      </c>
      <c r="D391">
        <v>22</v>
      </c>
      <c r="E391" t="s">
        <v>51</v>
      </c>
      <c r="F391" t="s">
        <v>24</v>
      </c>
      <c r="G391" s="8">
        <v>41</v>
      </c>
      <c r="H391" s="2">
        <v>112</v>
      </c>
      <c r="I391" s="2">
        <v>4592</v>
      </c>
      <c r="J391" s="4">
        <v>0.03</v>
      </c>
      <c r="K391" s="2">
        <v>4454.24</v>
      </c>
      <c r="L391" s="2">
        <f t="shared" si="19"/>
        <v>137.76000000000022</v>
      </c>
      <c r="M391" s="1">
        <v>44052</v>
      </c>
      <c r="N391" s="1">
        <v>44052</v>
      </c>
      <c r="O391">
        <v>390</v>
      </c>
      <c r="P391">
        <v>3</v>
      </c>
      <c r="Q391" t="s">
        <v>52</v>
      </c>
      <c r="R391" s="3">
        <v>7.0000000000000007E-2</v>
      </c>
      <c r="S391" s="2">
        <v>311.79680000000002</v>
      </c>
      <c r="T391">
        <v>5</v>
      </c>
      <c r="U391" t="str">
        <f t="shared" si="20"/>
        <v>Agosto</v>
      </c>
    </row>
    <row r="392" spans="1:21">
      <c r="A392">
        <v>391</v>
      </c>
      <c r="B392" s="1">
        <v>44044</v>
      </c>
      <c r="C392" s="1" t="str">
        <f t="shared" si="18"/>
        <v>agosto</v>
      </c>
      <c r="D392">
        <v>15</v>
      </c>
      <c r="E392" t="s">
        <v>77</v>
      </c>
      <c r="F392" t="s">
        <v>24</v>
      </c>
      <c r="G392" s="8">
        <v>48</v>
      </c>
      <c r="H392" s="2">
        <v>102</v>
      </c>
      <c r="I392" s="2">
        <v>4896</v>
      </c>
      <c r="J392" s="4">
        <v>0.03</v>
      </c>
      <c r="K392" s="2">
        <v>4749.12</v>
      </c>
      <c r="L392" s="2">
        <f t="shared" si="19"/>
        <v>146.88000000000011</v>
      </c>
      <c r="M392" s="1">
        <v>44057</v>
      </c>
      <c r="N392" s="1">
        <v>44057</v>
      </c>
      <c r="O392">
        <v>391</v>
      </c>
      <c r="P392">
        <v>6</v>
      </c>
      <c r="Q392" t="s">
        <v>52</v>
      </c>
      <c r="R392" s="3">
        <v>0.06</v>
      </c>
      <c r="S392" s="2">
        <v>284.94720000000001</v>
      </c>
      <c r="T392">
        <v>6</v>
      </c>
      <c r="U392" t="str">
        <f t="shared" si="20"/>
        <v>Agosto</v>
      </c>
    </row>
    <row r="393" spans="1:21">
      <c r="A393">
        <v>392</v>
      </c>
      <c r="B393" s="1">
        <v>44044</v>
      </c>
      <c r="C393" s="1" t="str">
        <f t="shared" si="18"/>
        <v>agosto</v>
      </c>
      <c r="D393">
        <v>6</v>
      </c>
      <c r="E393" t="s">
        <v>88</v>
      </c>
      <c r="F393" t="s">
        <v>31</v>
      </c>
      <c r="G393" s="8">
        <v>15</v>
      </c>
      <c r="H393" s="2">
        <v>96</v>
      </c>
      <c r="I393" s="2">
        <v>1440</v>
      </c>
      <c r="J393" s="4">
        <v>0.01</v>
      </c>
      <c r="K393" s="2">
        <v>1425.6</v>
      </c>
      <c r="L393" s="2">
        <f t="shared" si="19"/>
        <v>14.400000000000091</v>
      </c>
      <c r="M393" s="1">
        <v>44049</v>
      </c>
      <c r="N393" s="1">
        <v>44049</v>
      </c>
      <c r="O393">
        <v>392</v>
      </c>
      <c r="P393">
        <v>3</v>
      </c>
      <c r="Q393" t="s">
        <v>32</v>
      </c>
      <c r="R393" s="3">
        <v>0.09</v>
      </c>
      <c r="S393" s="2">
        <v>128.30399999999997</v>
      </c>
      <c r="T393">
        <v>7</v>
      </c>
      <c r="U393" t="str">
        <f t="shared" si="20"/>
        <v>Agosto</v>
      </c>
    </row>
    <row r="394" spans="1:21">
      <c r="A394">
        <v>393</v>
      </c>
      <c r="B394" s="1">
        <v>44044</v>
      </c>
      <c r="C394" s="1" t="str">
        <f t="shared" si="18"/>
        <v>agosto</v>
      </c>
      <c r="D394">
        <v>77</v>
      </c>
      <c r="E394" t="s">
        <v>65</v>
      </c>
      <c r="F394" t="s">
        <v>41</v>
      </c>
      <c r="G394" s="8">
        <v>36</v>
      </c>
      <c r="H394" s="2">
        <v>119</v>
      </c>
      <c r="I394" s="2">
        <v>4284</v>
      </c>
      <c r="J394" s="4">
        <v>0.06</v>
      </c>
      <c r="K394" s="2">
        <v>4026.96</v>
      </c>
      <c r="L394" s="2">
        <f t="shared" si="19"/>
        <v>257.03999999999996</v>
      </c>
      <c r="M394" s="1">
        <v>44044</v>
      </c>
      <c r="N394" s="1">
        <v>44044</v>
      </c>
      <c r="O394">
        <v>393</v>
      </c>
      <c r="P394">
        <v>2</v>
      </c>
      <c r="Q394" t="s">
        <v>37</v>
      </c>
      <c r="R394" s="3">
        <v>7.0000000000000007E-2</v>
      </c>
      <c r="S394" s="2">
        <v>281.88720000000001</v>
      </c>
      <c r="T394">
        <v>1</v>
      </c>
      <c r="U394" t="str">
        <f t="shared" si="20"/>
        <v>Agosto</v>
      </c>
    </row>
    <row r="395" spans="1:21">
      <c r="A395">
        <v>394</v>
      </c>
      <c r="B395" s="1">
        <v>44045</v>
      </c>
      <c r="C395" s="1" t="str">
        <f t="shared" si="18"/>
        <v>agosto</v>
      </c>
      <c r="D395">
        <v>17</v>
      </c>
      <c r="E395" t="s">
        <v>67</v>
      </c>
      <c r="F395" t="s">
        <v>46</v>
      </c>
      <c r="G395" s="8">
        <v>22</v>
      </c>
      <c r="H395" s="2">
        <v>95</v>
      </c>
      <c r="I395" s="2">
        <v>2090</v>
      </c>
      <c r="J395" s="4">
        <v>0.1</v>
      </c>
      <c r="K395" s="2">
        <v>1881</v>
      </c>
      <c r="L395" s="2">
        <f t="shared" si="19"/>
        <v>209</v>
      </c>
      <c r="M395" s="1">
        <v>44063</v>
      </c>
      <c r="N395" s="1">
        <v>44063</v>
      </c>
      <c r="O395">
        <v>394</v>
      </c>
      <c r="P395">
        <v>4</v>
      </c>
      <c r="Q395" t="s">
        <v>34</v>
      </c>
      <c r="R395" s="3">
        <v>0.09</v>
      </c>
      <c r="S395" s="2">
        <v>169.29</v>
      </c>
      <c r="T395">
        <v>2</v>
      </c>
      <c r="U395" t="str">
        <f t="shared" si="20"/>
        <v>Agosto</v>
      </c>
    </row>
    <row r="396" spans="1:21">
      <c r="A396">
        <v>395</v>
      </c>
      <c r="B396" s="1">
        <v>44045</v>
      </c>
      <c r="C396" s="1" t="str">
        <f t="shared" si="18"/>
        <v>agosto</v>
      </c>
      <c r="D396">
        <v>18</v>
      </c>
      <c r="E396" t="s">
        <v>83</v>
      </c>
      <c r="F396" t="s">
        <v>21</v>
      </c>
      <c r="G396" s="8">
        <v>13</v>
      </c>
      <c r="H396" s="2">
        <v>107</v>
      </c>
      <c r="I396" s="2">
        <v>1391</v>
      </c>
      <c r="J396" s="4">
        <v>0.02</v>
      </c>
      <c r="K396" s="2">
        <v>1363.18</v>
      </c>
      <c r="L396" s="2">
        <f t="shared" si="19"/>
        <v>27.819999999999936</v>
      </c>
      <c r="M396" s="1">
        <v>44064</v>
      </c>
      <c r="N396" s="1">
        <v>44064</v>
      </c>
      <c r="O396">
        <v>395</v>
      </c>
      <c r="P396">
        <v>4</v>
      </c>
      <c r="Q396" t="s">
        <v>29</v>
      </c>
      <c r="R396" s="3">
        <v>0.08</v>
      </c>
      <c r="S396" s="2">
        <v>109.0544</v>
      </c>
      <c r="T396">
        <v>3</v>
      </c>
      <c r="U396" t="str">
        <f t="shared" si="20"/>
        <v>Agosto</v>
      </c>
    </row>
    <row r="397" spans="1:21">
      <c r="A397">
        <v>396</v>
      </c>
      <c r="B397" s="1">
        <v>44045</v>
      </c>
      <c r="C397" s="1" t="str">
        <f t="shared" si="18"/>
        <v>agosto</v>
      </c>
      <c r="D397">
        <v>28</v>
      </c>
      <c r="E397" t="s">
        <v>86</v>
      </c>
      <c r="F397" t="s">
        <v>24</v>
      </c>
      <c r="G397" s="8">
        <v>40</v>
      </c>
      <c r="H397" s="2">
        <v>90</v>
      </c>
      <c r="I397" s="2">
        <v>3600</v>
      </c>
      <c r="J397" s="4">
        <v>0</v>
      </c>
      <c r="K397" s="2">
        <v>3600</v>
      </c>
      <c r="L397" s="2">
        <f t="shared" si="19"/>
        <v>0</v>
      </c>
      <c r="M397" s="1">
        <v>44053</v>
      </c>
      <c r="N397" s="1">
        <v>44053</v>
      </c>
      <c r="O397">
        <v>396</v>
      </c>
      <c r="P397">
        <v>4</v>
      </c>
      <c r="Q397" t="s">
        <v>29</v>
      </c>
      <c r="R397" s="3">
        <v>0.08</v>
      </c>
      <c r="S397" s="2">
        <v>288</v>
      </c>
      <c r="T397">
        <v>4</v>
      </c>
      <c r="U397" t="str">
        <f t="shared" si="20"/>
        <v>Agosto</v>
      </c>
    </row>
    <row r="398" spans="1:21">
      <c r="A398">
        <v>397</v>
      </c>
      <c r="B398" s="1">
        <v>44046</v>
      </c>
      <c r="C398" s="1" t="str">
        <f t="shared" si="18"/>
        <v>agosto</v>
      </c>
      <c r="D398">
        <v>81</v>
      </c>
      <c r="E398" t="s">
        <v>103</v>
      </c>
      <c r="F398" t="s">
        <v>46</v>
      </c>
      <c r="G398" s="8">
        <v>12</v>
      </c>
      <c r="H398" s="2">
        <v>104</v>
      </c>
      <c r="I398" s="2">
        <v>1248</v>
      </c>
      <c r="J398" s="4">
        <v>0.05</v>
      </c>
      <c r="K398" s="2">
        <v>1185.5999999999999</v>
      </c>
      <c r="L398" s="2">
        <f t="shared" si="19"/>
        <v>62.400000000000091</v>
      </c>
      <c r="M398" s="1">
        <v>44049</v>
      </c>
      <c r="N398" s="1">
        <v>44049</v>
      </c>
      <c r="O398">
        <v>397</v>
      </c>
      <c r="P398">
        <v>1</v>
      </c>
      <c r="Q398" t="s">
        <v>22</v>
      </c>
      <c r="R398" s="3">
        <v>0.09</v>
      </c>
      <c r="S398" s="2">
        <v>106.70399999999999</v>
      </c>
      <c r="T398">
        <v>5</v>
      </c>
      <c r="U398" t="str">
        <f t="shared" si="20"/>
        <v>Agosto</v>
      </c>
    </row>
    <row r="399" spans="1:21">
      <c r="A399">
        <v>398</v>
      </c>
      <c r="B399" s="1">
        <v>44047</v>
      </c>
      <c r="C399" s="1" t="str">
        <f t="shared" si="18"/>
        <v>agosto</v>
      </c>
      <c r="D399">
        <v>35</v>
      </c>
      <c r="E399" t="s">
        <v>38</v>
      </c>
      <c r="F399" t="s">
        <v>24</v>
      </c>
      <c r="G399" s="8">
        <v>18</v>
      </c>
      <c r="H399" s="2">
        <v>109</v>
      </c>
      <c r="I399" s="2">
        <v>1962</v>
      </c>
      <c r="J399" s="4">
        <v>0.13</v>
      </c>
      <c r="K399" s="2">
        <v>1706.94</v>
      </c>
      <c r="L399" s="2">
        <f t="shared" si="19"/>
        <v>255.05999999999995</v>
      </c>
      <c r="M399" s="1">
        <v>44072</v>
      </c>
      <c r="N399" s="1">
        <v>44072</v>
      </c>
      <c r="O399">
        <v>398</v>
      </c>
      <c r="P399">
        <v>7</v>
      </c>
      <c r="Q399" t="s">
        <v>47</v>
      </c>
      <c r="R399" s="3">
        <v>0.09</v>
      </c>
      <c r="S399" s="2">
        <v>153.62459999999999</v>
      </c>
      <c r="T399">
        <v>6</v>
      </c>
      <c r="U399" t="str">
        <f t="shared" si="20"/>
        <v>Agosto</v>
      </c>
    </row>
    <row r="400" spans="1:21">
      <c r="A400">
        <v>399</v>
      </c>
      <c r="B400" s="1">
        <v>44047</v>
      </c>
      <c r="C400" s="1" t="str">
        <f t="shared" si="18"/>
        <v>agosto</v>
      </c>
      <c r="D400">
        <v>49</v>
      </c>
      <c r="E400" t="s">
        <v>38</v>
      </c>
      <c r="F400" t="s">
        <v>59</v>
      </c>
      <c r="G400" s="8">
        <v>25</v>
      </c>
      <c r="H400" s="2">
        <v>104</v>
      </c>
      <c r="I400" s="2">
        <v>2600</v>
      </c>
      <c r="J400" s="4">
        <v>0.04</v>
      </c>
      <c r="K400" s="2">
        <v>2496</v>
      </c>
      <c r="L400" s="2">
        <f t="shared" si="19"/>
        <v>104</v>
      </c>
      <c r="M400" s="1">
        <v>44077</v>
      </c>
      <c r="N400" s="1">
        <v>44077</v>
      </c>
      <c r="O400">
        <v>399</v>
      </c>
      <c r="P400">
        <v>2</v>
      </c>
      <c r="Q400" t="s">
        <v>22</v>
      </c>
      <c r="R400" s="3">
        <v>0.09</v>
      </c>
      <c r="S400" s="2">
        <v>224.64</v>
      </c>
      <c r="T400">
        <v>7</v>
      </c>
      <c r="U400" t="str">
        <f t="shared" si="20"/>
        <v>Agosto</v>
      </c>
    </row>
    <row r="401" spans="1:21">
      <c r="A401">
        <v>400</v>
      </c>
      <c r="B401" s="1">
        <v>44047</v>
      </c>
      <c r="C401" s="1" t="str">
        <f t="shared" si="18"/>
        <v>agosto</v>
      </c>
      <c r="D401">
        <v>43</v>
      </c>
      <c r="E401" t="s">
        <v>99</v>
      </c>
      <c r="F401" t="s">
        <v>41</v>
      </c>
      <c r="G401" s="8">
        <v>10</v>
      </c>
      <c r="H401" s="2">
        <v>106</v>
      </c>
      <c r="I401" s="2">
        <v>1060</v>
      </c>
      <c r="J401" s="4">
        <v>0.04</v>
      </c>
      <c r="K401" s="2">
        <v>1017.6</v>
      </c>
      <c r="L401" s="2">
        <f t="shared" si="19"/>
        <v>42.399999999999977</v>
      </c>
      <c r="M401" s="1">
        <v>44057</v>
      </c>
      <c r="N401" s="1">
        <v>44057</v>
      </c>
      <c r="O401">
        <v>400</v>
      </c>
      <c r="P401">
        <v>6</v>
      </c>
      <c r="Q401" t="s">
        <v>32</v>
      </c>
      <c r="R401" s="3">
        <v>0.08</v>
      </c>
      <c r="S401" s="2">
        <v>81.408000000000001</v>
      </c>
      <c r="T401">
        <v>1</v>
      </c>
      <c r="U401" t="str">
        <f t="shared" si="20"/>
        <v>Agosto</v>
      </c>
    </row>
    <row r="402" spans="1:21">
      <c r="A402">
        <v>401</v>
      </c>
      <c r="B402" s="1">
        <v>44047</v>
      </c>
      <c r="C402" s="1" t="str">
        <f t="shared" si="18"/>
        <v>agosto</v>
      </c>
      <c r="D402">
        <v>27</v>
      </c>
      <c r="E402" t="s">
        <v>101</v>
      </c>
      <c r="F402" t="s">
        <v>31</v>
      </c>
      <c r="G402" s="8">
        <v>47</v>
      </c>
      <c r="H402" s="2">
        <v>119</v>
      </c>
      <c r="I402" s="2">
        <v>5593</v>
      </c>
      <c r="J402" s="4">
        <v>0.1</v>
      </c>
      <c r="K402" s="2">
        <v>5033.7</v>
      </c>
      <c r="L402" s="2">
        <f t="shared" si="19"/>
        <v>559.30000000000018</v>
      </c>
      <c r="M402" s="1">
        <v>44058</v>
      </c>
      <c r="N402" s="1">
        <v>44058</v>
      </c>
      <c r="O402">
        <v>401</v>
      </c>
      <c r="P402">
        <v>5</v>
      </c>
      <c r="Q402" t="s">
        <v>52</v>
      </c>
      <c r="R402" s="3">
        <v>0.08</v>
      </c>
      <c r="S402" s="2">
        <v>402.69599999999997</v>
      </c>
      <c r="T402">
        <v>2</v>
      </c>
      <c r="U402" t="str">
        <f t="shared" si="20"/>
        <v>Agosto</v>
      </c>
    </row>
    <row r="403" spans="1:21">
      <c r="A403">
        <v>402</v>
      </c>
      <c r="B403" s="1">
        <v>44047</v>
      </c>
      <c r="C403" s="1" t="str">
        <f t="shared" si="18"/>
        <v>agosto</v>
      </c>
      <c r="D403">
        <v>52</v>
      </c>
      <c r="E403" t="s">
        <v>23</v>
      </c>
      <c r="F403" t="s">
        <v>50</v>
      </c>
      <c r="G403" s="8">
        <v>21</v>
      </c>
      <c r="H403" s="2">
        <v>92</v>
      </c>
      <c r="I403" s="2">
        <v>1932</v>
      </c>
      <c r="J403" s="4">
        <v>0.02</v>
      </c>
      <c r="K403" s="2">
        <v>1893.36</v>
      </c>
      <c r="L403" s="2">
        <f t="shared" si="19"/>
        <v>38.6400000000001</v>
      </c>
      <c r="M403" s="1">
        <v>44048</v>
      </c>
      <c r="N403" s="1">
        <v>44048</v>
      </c>
      <c r="O403">
        <v>402</v>
      </c>
      <c r="P403">
        <v>7</v>
      </c>
      <c r="Q403" t="s">
        <v>52</v>
      </c>
      <c r="R403" s="3">
        <v>0.09</v>
      </c>
      <c r="S403" s="2">
        <v>170.40239999999997</v>
      </c>
      <c r="T403">
        <v>3</v>
      </c>
      <c r="U403" t="str">
        <f t="shared" si="20"/>
        <v>Agosto</v>
      </c>
    </row>
    <row r="404" spans="1:21">
      <c r="A404">
        <v>403</v>
      </c>
      <c r="B404" s="1">
        <v>44047</v>
      </c>
      <c r="C404" s="1" t="str">
        <f t="shared" si="18"/>
        <v>agosto</v>
      </c>
      <c r="D404">
        <v>78</v>
      </c>
      <c r="E404" t="s">
        <v>36</v>
      </c>
      <c r="F404" t="s">
        <v>50</v>
      </c>
      <c r="G404" s="8">
        <v>18</v>
      </c>
      <c r="H404" s="2">
        <v>104</v>
      </c>
      <c r="I404" s="2">
        <v>1872</v>
      </c>
      <c r="J404" s="4">
        <v>0.11</v>
      </c>
      <c r="K404" s="2">
        <v>1666.08</v>
      </c>
      <c r="L404" s="2">
        <f t="shared" si="19"/>
        <v>205.92000000000007</v>
      </c>
      <c r="M404" s="1">
        <v>44067</v>
      </c>
      <c r="N404" s="1">
        <v>44067</v>
      </c>
      <c r="O404">
        <v>403</v>
      </c>
      <c r="P404">
        <v>5</v>
      </c>
      <c r="Q404" t="s">
        <v>32</v>
      </c>
      <c r="R404" s="3">
        <v>7.0000000000000007E-2</v>
      </c>
      <c r="S404" s="2">
        <v>116.62560000000001</v>
      </c>
      <c r="T404">
        <v>4</v>
      </c>
      <c r="U404" t="str">
        <f t="shared" si="20"/>
        <v>Agosto</v>
      </c>
    </row>
    <row r="405" spans="1:21">
      <c r="A405">
        <v>404</v>
      </c>
      <c r="B405" s="1">
        <v>44048</v>
      </c>
      <c r="C405" s="1" t="str">
        <f t="shared" si="18"/>
        <v>agosto</v>
      </c>
      <c r="D405">
        <v>29</v>
      </c>
      <c r="E405" t="s">
        <v>98</v>
      </c>
      <c r="F405" t="s">
        <v>21</v>
      </c>
      <c r="G405" s="8">
        <v>25</v>
      </c>
      <c r="H405" s="2">
        <v>118</v>
      </c>
      <c r="I405" s="2">
        <v>2950</v>
      </c>
      <c r="J405" s="4">
        <v>0.02</v>
      </c>
      <c r="K405" s="2">
        <v>2891</v>
      </c>
      <c r="L405" s="2">
        <f t="shared" si="19"/>
        <v>59</v>
      </c>
      <c r="M405" s="1">
        <v>44076</v>
      </c>
      <c r="N405" s="1">
        <v>44076</v>
      </c>
      <c r="O405">
        <v>404</v>
      </c>
      <c r="P405">
        <v>5</v>
      </c>
      <c r="Q405" t="s">
        <v>47</v>
      </c>
      <c r="R405" s="3">
        <v>0.08</v>
      </c>
      <c r="S405" s="2">
        <v>231.28</v>
      </c>
      <c r="T405">
        <v>5</v>
      </c>
      <c r="U405" t="str">
        <f t="shared" si="20"/>
        <v>Agosto</v>
      </c>
    </row>
    <row r="406" spans="1:21">
      <c r="A406">
        <v>405</v>
      </c>
      <c r="B406" s="1">
        <v>44048</v>
      </c>
      <c r="C406" s="1" t="str">
        <f t="shared" si="18"/>
        <v>agosto</v>
      </c>
      <c r="D406">
        <v>88</v>
      </c>
      <c r="E406" t="s">
        <v>38</v>
      </c>
      <c r="F406" t="s">
        <v>24</v>
      </c>
      <c r="G406" s="8">
        <v>27</v>
      </c>
      <c r="H406" s="2">
        <v>120</v>
      </c>
      <c r="I406" s="2">
        <v>3240</v>
      </c>
      <c r="J406" s="4">
        <v>7.0000000000000007E-2</v>
      </c>
      <c r="K406" s="2">
        <v>3013.2</v>
      </c>
      <c r="L406" s="2">
        <f t="shared" si="19"/>
        <v>226.80000000000018</v>
      </c>
      <c r="M406" s="1">
        <v>44072</v>
      </c>
      <c r="N406" s="1">
        <v>44072</v>
      </c>
      <c r="O406">
        <v>405</v>
      </c>
      <c r="P406">
        <v>3</v>
      </c>
      <c r="Q406" t="s">
        <v>29</v>
      </c>
      <c r="R406" s="3">
        <v>7.0000000000000007E-2</v>
      </c>
      <c r="S406" s="2">
        <v>210.92400000000001</v>
      </c>
      <c r="T406">
        <v>6</v>
      </c>
      <c r="U406" t="str">
        <f t="shared" si="20"/>
        <v>Agosto</v>
      </c>
    </row>
    <row r="407" spans="1:21">
      <c r="A407">
        <v>406</v>
      </c>
      <c r="B407" s="1">
        <v>44048</v>
      </c>
      <c r="C407" s="1" t="str">
        <f t="shared" si="18"/>
        <v>agosto</v>
      </c>
      <c r="D407">
        <v>69</v>
      </c>
      <c r="E407" t="s">
        <v>67</v>
      </c>
      <c r="F407" t="s">
        <v>46</v>
      </c>
      <c r="G407" s="8">
        <v>49</v>
      </c>
      <c r="H407" s="2">
        <v>93</v>
      </c>
      <c r="I407" s="2">
        <v>4557</v>
      </c>
      <c r="J407" s="4">
        <v>0.13</v>
      </c>
      <c r="K407" s="2">
        <v>3964.59</v>
      </c>
      <c r="L407" s="2">
        <f t="shared" si="19"/>
        <v>592.40999999999985</v>
      </c>
      <c r="M407" s="1">
        <v>44068</v>
      </c>
      <c r="N407" s="1">
        <v>44068</v>
      </c>
      <c r="O407">
        <v>406</v>
      </c>
      <c r="P407">
        <v>2</v>
      </c>
      <c r="Q407" t="s">
        <v>69</v>
      </c>
      <c r="R407" s="3">
        <v>7.0000000000000007E-2</v>
      </c>
      <c r="S407" s="2">
        <v>277.52130000000005</v>
      </c>
      <c r="T407">
        <v>7</v>
      </c>
      <c r="U407" t="str">
        <f t="shared" si="20"/>
        <v>Agosto</v>
      </c>
    </row>
    <row r="408" spans="1:21">
      <c r="A408">
        <v>407</v>
      </c>
      <c r="B408" s="1">
        <v>44048</v>
      </c>
      <c r="C408" s="1" t="str">
        <f t="shared" si="18"/>
        <v>agosto</v>
      </c>
      <c r="D408">
        <v>60</v>
      </c>
      <c r="E408" t="s">
        <v>82</v>
      </c>
      <c r="F408" t="s">
        <v>31</v>
      </c>
      <c r="G408" s="8">
        <v>15</v>
      </c>
      <c r="H408" s="2">
        <v>109</v>
      </c>
      <c r="I408" s="2">
        <v>1635</v>
      </c>
      <c r="J408" s="4">
        <v>0.1</v>
      </c>
      <c r="K408" s="2">
        <v>1471.5</v>
      </c>
      <c r="L408" s="2">
        <f t="shared" si="19"/>
        <v>163.5</v>
      </c>
      <c r="M408" s="1">
        <v>44051</v>
      </c>
      <c r="N408" s="1">
        <v>44051</v>
      </c>
      <c r="O408">
        <v>407</v>
      </c>
      <c r="P408">
        <v>5</v>
      </c>
      <c r="Q408" t="s">
        <v>29</v>
      </c>
      <c r="R408" s="3">
        <v>0.09</v>
      </c>
      <c r="S408" s="2">
        <v>132.435</v>
      </c>
      <c r="T408">
        <v>1</v>
      </c>
      <c r="U408" t="str">
        <f t="shared" si="20"/>
        <v>Agosto</v>
      </c>
    </row>
    <row r="409" spans="1:21">
      <c r="A409">
        <v>408</v>
      </c>
      <c r="B409" s="1">
        <v>44048</v>
      </c>
      <c r="C409" s="1" t="str">
        <f t="shared" si="18"/>
        <v>agosto</v>
      </c>
      <c r="D409">
        <v>62</v>
      </c>
      <c r="E409" t="s">
        <v>38</v>
      </c>
      <c r="F409" t="s">
        <v>21</v>
      </c>
      <c r="G409" s="8">
        <v>30</v>
      </c>
      <c r="H409" s="2">
        <v>109</v>
      </c>
      <c r="I409" s="2">
        <v>3270</v>
      </c>
      <c r="J409" s="4">
        <v>0.13</v>
      </c>
      <c r="K409" s="2">
        <v>2844.9</v>
      </c>
      <c r="L409" s="2">
        <f t="shared" si="19"/>
        <v>425.09999999999991</v>
      </c>
      <c r="M409" s="1">
        <v>44050</v>
      </c>
      <c r="N409" s="1">
        <v>44050</v>
      </c>
      <c r="O409">
        <v>408</v>
      </c>
      <c r="P409">
        <v>1</v>
      </c>
      <c r="Q409" t="s">
        <v>52</v>
      </c>
      <c r="R409" s="3">
        <v>0.09</v>
      </c>
      <c r="S409" s="2">
        <v>256.041</v>
      </c>
      <c r="T409">
        <v>2</v>
      </c>
      <c r="U409" t="str">
        <f t="shared" si="20"/>
        <v>Agosto</v>
      </c>
    </row>
    <row r="410" spans="1:21">
      <c r="A410">
        <v>409</v>
      </c>
      <c r="B410" s="1">
        <v>44049</v>
      </c>
      <c r="C410" s="1" t="str">
        <f t="shared" si="18"/>
        <v>agosto</v>
      </c>
      <c r="D410">
        <v>41</v>
      </c>
      <c r="E410" t="s">
        <v>68</v>
      </c>
      <c r="F410" t="s">
        <v>24</v>
      </c>
      <c r="G410" s="8">
        <v>21</v>
      </c>
      <c r="H410" s="2">
        <v>101</v>
      </c>
      <c r="I410" s="2">
        <v>2121</v>
      </c>
      <c r="J410" s="4">
        <v>0.1</v>
      </c>
      <c r="K410" s="2">
        <v>1908.9</v>
      </c>
      <c r="L410" s="2">
        <f t="shared" si="19"/>
        <v>212.09999999999991</v>
      </c>
      <c r="M410" s="1">
        <v>44059</v>
      </c>
      <c r="N410" s="1">
        <v>44059</v>
      </c>
      <c r="O410">
        <v>409</v>
      </c>
      <c r="P410">
        <v>5</v>
      </c>
      <c r="Q410" t="s">
        <v>52</v>
      </c>
      <c r="R410" s="3">
        <v>0.09</v>
      </c>
      <c r="S410" s="2">
        <v>171.80099999999999</v>
      </c>
      <c r="T410">
        <v>3</v>
      </c>
      <c r="U410" t="str">
        <f t="shared" si="20"/>
        <v>Agosto</v>
      </c>
    </row>
    <row r="411" spans="1:21">
      <c r="A411">
        <v>410</v>
      </c>
      <c r="B411" s="1">
        <v>44050</v>
      </c>
      <c r="C411" s="1" t="str">
        <f t="shared" si="18"/>
        <v>agosto</v>
      </c>
      <c r="D411">
        <v>1</v>
      </c>
      <c r="E411" t="s">
        <v>93</v>
      </c>
      <c r="F411" t="s">
        <v>50</v>
      </c>
      <c r="G411" s="8">
        <v>15</v>
      </c>
      <c r="H411" s="2">
        <v>107</v>
      </c>
      <c r="I411" s="2">
        <v>1605</v>
      </c>
      <c r="J411" s="4">
        <v>0.05</v>
      </c>
      <c r="K411" s="2">
        <v>1524.75</v>
      </c>
      <c r="L411" s="2">
        <f t="shared" si="19"/>
        <v>80.25</v>
      </c>
      <c r="M411" s="1">
        <v>44059</v>
      </c>
      <c r="N411" s="1">
        <v>44059</v>
      </c>
      <c r="O411">
        <v>410</v>
      </c>
      <c r="P411">
        <v>5</v>
      </c>
      <c r="Q411" t="s">
        <v>25</v>
      </c>
      <c r="R411" s="3">
        <v>0.09</v>
      </c>
      <c r="S411" s="2">
        <v>137.22749999999999</v>
      </c>
      <c r="T411">
        <v>4</v>
      </c>
      <c r="U411" t="str">
        <f t="shared" si="20"/>
        <v>Agosto</v>
      </c>
    </row>
    <row r="412" spans="1:21">
      <c r="A412">
        <v>411</v>
      </c>
      <c r="B412" s="1">
        <v>44050</v>
      </c>
      <c r="C412" s="1" t="str">
        <f t="shared" si="18"/>
        <v>agosto</v>
      </c>
      <c r="D412">
        <v>8</v>
      </c>
      <c r="E412" t="s">
        <v>38</v>
      </c>
      <c r="F412" t="s">
        <v>50</v>
      </c>
      <c r="G412" s="8">
        <v>21</v>
      </c>
      <c r="H412" s="2">
        <v>92</v>
      </c>
      <c r="I412" s="2">
        <v>1932</v>
      </c>
      <c r="J412" s="4">
        <v>0.06</v>
      </c>
      <c r="K412" s="2">
        <v>1816.08</v>
      </c>
      <c r="L412" s="2">
        <f t="shared" si="19"/>
        <v>115.92000000000007</v>
      </c>
      <c r="M412" s="1">
        <v>44064</v>
      </c>
      <c r="N412" s="1">
        <v>44064</v>
      </c>
      <c r="O412">
        <v>411</v>
      </c>
      <c r="P412">
        <v>2</v>
      </c>
      <c r="Q412" t="s">
        <v>29</v>
      </c>
      <c r="R412" s="3">
        <v>0.1</v>
      </c>
      <c r="S412" s="2">
        <v>181.608</v>
      </c>
      <c r="T412">
        <v>5</v>
      </c>
      <c r="U412" t="str">
        <f t="shared" si="20"/>
        <v>Agosto</v>
      </c>
    </row>
    <row r="413" spans="1:21">
      <c r="A413">
        <v>412</v>
      </c>
      <c r="B413" s="1">
        <v>44050</v>
      </c>
      <c r="C413" s="1" t="str">
        <f t="shared" si="18"/>
        <v>agosto</v>
      </c>
      <c r="D413">
        <v>52</v>
      </c>
      <c r="E413" t="s">
        <v>23</v>
      </c>
      <c r="F413" t="s">
        <v>50</v>
      </c>
      <c r="G413" s="8">
        <v>39</v>
      </c>
      <c r="H413" s="2">
        <v>105</v>
      </c>
      <c r="I413" s="2">
        <v>4095</v>
      </c>
      <c r="J413" s="4">
        <v>0.08</v>
      </c>
      <c r="K413" s="2">
        <v>3767.4</v>
      </c>
      <c r="L413" s="2">
        <f t="shared" si="19"/>
        <v>327.59999999999991</v>
      </c>
      <c r="M413" s="1">
        <v>44065</v>
      </c>
      <c r="N413" s="1">
        <v>44065</v>
      </c>
      <c r="O413">
        <v>412</v>
      </c>
      <c r="P413">
        <v>5</v>
      </c>
      <c r="Q413" t="s">
        <v>32</v>
      </c>
      <c r="R413" s="3">
        <v>0.09</v>
      </c>
      <c r="S413" s="2">
        <v>339.06599999999997</v>
      </c>
      <c r="T413">
        <v>6</v>
      </c>
      <c r="U413" t="str">
        <f t="shared" si="20"/>
        <v>Agosto</v>
      </c>
    </row>
    <row r="414" spans="1:21">
      <c r="A414">
        <v>413</v>
      </c>
      <c r="B414" s="1">
        <v>44050</v>
      </c>
      <c r="C414" s="1" t="str">
        <f t="shared" si="18"/>
        <v>agosto</v>
      </c>
      <c r="D414">
        <v>39</v>
      </c>
      <c r="E414" t="s">
        <v>38</v>
      </c>
      <c r="F414" t="s">
        <v>50</v>
      </c>
      <c r="G414" s="8">
        <v>45</v>
      </c>
      <c r="H414" s="2">
        <v>113</v>
      </c>
      <c r="I414" s="2">
        <v>5085</v>
      </c>
      <c r="J414" s="4">
        <v>0</v>
      </c>
      <c r="K414" s="2">
        <v>5085</v>
      </c>
      <c r="L414" s="2">
        <f t="shared" si="19"/>
        <v>0</v>
      </c>
      <c r="M414" s="1">
        <v>44053</v>
      </c>
      <c r="N414" s="1">
        <v>44053</v>
      </c>
      <c r="O414">
        <v>413</v>
      </c>
      <c r="P414">
        <v>7</v>
      </c>
      <c r="Q414" t="s">
        <v>34</v>
      </c>
      <c r="R414" s="3">
        <v>7.0000000000000007E-2</v>
      </c>
      <c r="S414" s="2">
        <v>355.95000000000005</v>
      </c>
      <c r="T414">
        <v>7</v>
      </c>
      <c r="U414" t="str">
        <f t="shared" si="20"/>
        <v>Agosto</v>
      </c>
    </row>
    <row r="415" spans="1:21">
      <c r="A415">
        <v>414</v>
      </c>
      <c r="B415" s="1">
        <v>44053</v>
      </c>
      <c r="C415" s="1" t="str">
        <f t="shared" si="18"/>
        <v>agosto</v>
      </c>
      <c r="D415">
        <v>87</v>
      </c>
      <c r="E415" t="s">
        <v>40</v>
      </c>
      <c r="F415" t="s">
        <v>50</v>
      </c>
      <c r="G415" s="8">
        <v>15</v>
      </c>
      <c r="H415" s="2">
        <v>91</v>
      </c>
      <c r="I415" s="2">
        <v>1365</v>
      </c>
      <c r="J415" s="4">
        <v>0.06</v>
      </c>
      <c r="K415" s="2">
        <v>1283.0999999999999</v>
      </c>
      <c r="L415" s="2">
        <f t="shared" si="19"/>
        <v>81.900000000000091</v>
      </c>
      <c r="M415" s="1">
        <v>44066</v>
      </c>
      <c r="N415" s="1">
        <v>44066</v>
      </c>
      <c r="O415">
        <v>414</v>
      </c>
      <c r="P415">
        <v>3</v>
      </c>
      <c r="Q415" t="s">
        <v>43</v>
      </c>
      <c r="R415" s="3">
        <v>0.05</v>
      </c>
      <c r="S415" s="2">
        <v>64.155000000000001</v>
      </c>
      <c r="T415">
        <v>1</v>
      </c>
      <c r="U415" t="str">
        <f t="shared" si="20"/>
        <v>Agosto</v>
      </c>
    </row>
    <row r="416" spans="1:21">
      <c r="A416">
        <v>415</v>
      </c>
      <c r="B416" s="1">
        <v>44053</v>
      </c>
      <c r="C416" s="1" t="str">
        <f t="shared" si="18"/>
        <v>agosto</v>
      </c>
      <c r="D416">
        <v>24</v>
      </c>
      <c r="E416" t="s">
        <v>74</v>
      </c>
      <c r="F416" t="s">
        <v>31</v>
      </c>
      <c r="G416" s="8">
        <v>15</v>
      </c>
      <c r="H416" s="2">
        <v>110</v>
      </c>
      <c r="I416" s="2">
        <v>1650</v>
      </c>
      <c r="J416" s="4">
        <v>0.01</v>
      </c>
      <c r="K416" s="2">
        <v>1633.5</v>
      </c>
      <c r="L416" s="2">
        <f t="shared" si="19"/>
        <v>16.5</v>
      </c>
      <c r="M416" s="1">
        <v>44079</v>
      </c>
      <c r="N416" s="1">
        <v>44079</v>
      </c>
      <c r="O416">
        <v>415</v>
      </c>
      <c r="P416">
        <v>2</v>
      </c>
      <c r="Q416" t="s">
        <v>37</v>
      </c>
      <c r="R416" s="3">
        <v>0.09</v>
      </c>
      <c r="S416" s="2">
        <v>147.01499999999999</v>
      </c>
      <c r="T416">
        <v>2</v>
      </c>
      <c r="U416" t="str">
        <f t="shared" si="20"/>
        <v>Agosto</v>
      </c>
    </row>
    <row r="417" spans="1:21">
      <c r="A417">
        <v>416</v>
      </c>
      <c r="B417" s="1">
        <v>44054</v>
      </c>
      <c r="C417" s="1" t="str">
        <f t="shared" si="18"/>
        <v>agosto</v>
      </c>
      <c r="D417">
        <v>13</v>
      </c>
      <c r="E417" t="s">
        <v>75</v>
      </c>
      <c r="F417" t="s">
        <v>46</v>
      </c>
      <c r="G417" s="8">
        <v>38</v>
      </c>
      <c r="H417" s="2">
        <v>111</v>
      </c>
      <c r="I417" s="2">
        <v>4218</v>
      </c>
      <c r="J417" s="4">
        <v>0.08</v>
      </c>
      <c r="K417" s="2">
        <v>3880.56</v>
      </c>
      <c r="L417" s="2">
        <f t="shared" si="19"/>
        <v>337.44000000000005</v>
      </c>
      <c r="M417" s="1">
        <v>44082</v>
      </c>
      <c r="N417" s="1">
        <v>44082</v>
      </c>
      <c r="O417">
        <v>416</v>
      </c>
      <c r="P417">
        <v>4</v>
      </c>
      <c r="Q417" t="s">
        <v>47</v>
      </c>
      <c r="R417" s="3">
        <v>0.06</v>
      </c>
      <c r="S417" s="2">
        <v>232.83359999999999</v>
      </c>
      <c r="T417">
        <v>3</v>
      </c>
      <c r="U417" t="str">
        <f t="shared" si="20"/>
        <v>Agosto</v>
      </c>
    </row>
    <row r="418" spans="1:21">
      <c r="A418">
        <v>417</v>
      </c>
      <c r="B418" s="1">
        <v>44056</v>
      </c>
      <c r="C418" s="1" t="str">
        <f t="shared" si="18"/>
        <v>agosto</v>
      </c>
      <c r="D418">
        <v>25</v>
      </c>
      <c r="E418" t="s">
        <v>63</v>
      </c>
      <c r="F418" t="s">
        <v>28</v>
      </c>
      <c r="G418" s="8">
        <v>13</v>
      </c>
      <c r="H418" s="2">
        <v>115</v>
      </c>
      <c r="I418" s="2">
        <v>1495</v>
      </c>
      <c r="J418" s="4">
        <v>0.14000000000000001</v>
      </c>
      <c r="K418" s="2">
        <v>1285.7</v>
      </c>
      <c r="L418" s="2">
        <f t="shared" si="19"/>
        <v>209.29999999999995</v>
      </c>
      <c r="M418" s="1">
        <v>44076</v>
      </c>
      <c r="N418" s="1">
        <v>44076</v>
      </c>
      <c r="O418">
        <v>417</v>
      </c>
      <c r="P418">
        <v>7</v>
      </c>
      <c r="Q418" t="s">
        <v>29</v>
      </c>
      <c r="R418" s="3">
        <v>0.1</v>
      </c>
      <c r="S418" s="2">
        <v>128.57000000000002</v>
      </c>
      <c r="T418">
        <v>4</v>
      </c>
      <c r="U418" t="str">
        <f t="shared" si="20"/>
        <v>Agosto</v>
      </c>
    </row>
    <row r="419" spans="1:21">
      <c r="A419">
        <v>418</v>
      </c>
      <c r="B419" s="1">
        <v>44056</v>
      </c>
      <c r="C419" s="1" t="str">
        <f t="shared" si="18"/>
        <v>agosto</v>
      </c>
      <c r="D419">
        <v>88</v>
      </c>
      <c r="E419" t="s">
        <v>38</v>
      </c>
      <c r="F419" t="s">
        <v>24</v>
      </c>
      <c r="G419" s="8">
        <v>39</v>
      </c>
      <c r="H419" s="2">
        <v>112</v>
      </c>
      <c r="I419" s="2">
        <v>4368</v>
      </c>
      <c r="J419" s="4">
        <v>0.04</v>
      </c>
      <c r="K419" s="2">
        <v>4193.28</v>
      </c>
      <c r="L419" s="2">
        <f t="shared" si="19"/>
        <v>174.72000000000025</v>
      </c>
      <c r="M419" s="1">
        <v>44063</v>
      </c>
      <c r="N419" s="1">
        <v>44063</v>
      </c>
      <c r="O419">
        <v>418</v>
      </c>
      <c r="P419">
        <v>5</v>
      </c>
      <c r="Q419" t="s">
        <v>22</v>
      </c>
      <c r="R419" s="3">
        <v>0.09</v>
      </c>
      <c r="S419" s="2">
        <v>377.39519999999999</v>
      </c>
      <c r="T419">
        <v>5</v>
      </c>
      <c r="U419" t="str">
        <f t="shared" si="20"/>
        <v>Agosto</v>
      </c>
    </row>
    <row r="420" spans="1:21">
      <c r="A420">
        <v>419</v>
      </c>
      <c r="B420" s="1">
        <v>44056</v>
      </c>
      <c r="C420" s="1" t="str">
        <f t="shared" si="18"/>
        <v>agosto</v>
      </c>
      <c r="D420">
        <v>78</v>
      </c>
      <c r="E420" t="s">
        <v>36</v>
      </c>
      <c r="F420" t="s">
        <v>54</v>
      </c>
      <c r="G420" s="8">
        <v>19</v>
      </c>
      <c r="H420" s="2">
        <v>103</v>
      </c>
      <c r="I420" s="2">
        <v>1957</v>
      </c>
      <c r="J420" s="4">
        <v>0.01</v>
      </c>
      <c r="K420" s="2">
        <v>1937.43</v>
      </c>
      <c r="L420" s="2">
        <f t="shared" si="19"/>
        <v>19.569999999999936</v>
      </c>
      <c r="M420" s="1">
        <v>44080</v>
      </c>
      <c r="N420" s="1">
        <v>44080</v>
      </c>
      <c r="O420">
        <v>419</v>
      </c>
      <c r="P420">
        <v>5</v>
      </c>
      <c r="Q420" t="s">
        <v>43</v>
      </c>
      <c r="R420" s="3">
        <v>0.06</v>
      </c>
      <c r="S420" s="2">
        <v>116.2458</v>
      </c>
      <c r="T420">
        <v>6</v>
      </c>
      <c r="U420" t="str">
        <f t="shared" si="20"/>
        <v>Agosto</v>
      </c>
    </row>
    <row r="421" spans="1:21">
      <c r="A421">
        <v>420</v>
      </c>
      <c r="B421" s="1">
        <v>44056</v>
      </c>
      <c r="C421" s="1" t="str">
        <f t="shared" si="18"/>
        <v>agosto</v>
      </c>
      <c r="D421">
        <v>32</v>
      </c>
      <c r="E421" t="s">
        <v>77</v>
      </c>
      <c r="F421" t="s">
        <v>24</v>
      </c>
      <c r="G421" s="8">
        <v>46</v>
      </c>
      <c r="H421" s="2">
        <v>95</v>
      </c>
      <c r="I421" s="2">
        <v>4370</v>
      </c>
      <c r="J421" s="4">
        <v>0.05</v>
      </c>
      <c r="K421" s="2">
        <v>4151.5</v>
      </c>
      <c r="L421" s="2">
        <f t="shared" si="19"/>
        <v>218.5</v>
      </c>
      <c r="M421" s="1">
        <v>44070</v>
      </c>
      <c r="N421" s="1">
        <v>44070</v>
      </c>
      <c r="O421">
        <v>420</v>
      </c>
      <c r="P421">
        <v>7</v>
      </c>
      <c r="Q421" t="s">
        <v>69</v>
      </c>
      <c r="R421" s="3">
        <v>0.05</v>
      </c>
      <c r="S421" s="2">
        <v>207.57500000000002</v>
      </c>
      <c r="T421">
        <v>7</v>
      </c>
      <c r="U421" t="str">
        <f t="shared" si="20"/>
        <v>Agosto</v>
      </c>
    </row>
    <row r="422" spans="1:21">
      <c r="A422">
        <v>421</v>
      </c>
      <c r="B422" s="1">
        <v>44057</v>
      </c>
      <c r="C422" s="1" t="str">
        <f t="shared" si="18"/>
        <v>agosto</v>
      </c>
      <c r="D422">
        <v>39</v>
      </c>
      <c r="E422" t="s">
        <v>38</v>
      </c>
      <c r="F422" t="s">
        <v>24</v>
      </c>
      <c r="G422" s="8">
        <v>47</v>
      </c>
      <c r="H422" s="2">
        <v>110</v>
      </c>
      <c r="I422" s="2">
        <v>5170</v>
      </c>
      <c r="J422" s="4">
        <v>0.12</v>
      </c>
      <c r="K422" s="2">
        <v>4549.6000000000004</v>
      </c>
      <c r="L422" s="2">
        <f t="shared" si="19"/>
        <v>620.39999999999964</v>
      </c>
      <c r="M422" s="1">
        <v>44067</v>
      </c>
      <c r="N422" s="1">
        <v>44067</v>
      </c>
      <c r="O422">
        <v>421</v>
      </c>
      <c r="P422">
        <v>7</v>
      </c>
      <c r="Q422" t="s">
        <v>43</v>
      </c>
      <c r="R422" s="3">
        <v>0.1</v>
      </c>
      <c r="S422" s="2">
        <v>454.96000000000004</v>
      </c>
      <c r="T422">
        <v>1</v>
      </c>
      <c r="U422" t="str">
        <f t="shared" si="20"/>
        <v>Agosto</v>
      </c>
    </row>
    <row r="423" spans="1:21">
      <c r="A423">
        <v>422</v>
      </c>
      <c r="B423" s="1">
        <v>44057</v>
      </c>
      <c r="C423" s="1" t="str">
        <f t="shared" si="18"/>
        <v>agosto</v>
      </c>
      <c r="D423">
        <v>77</v>
      </c>
      <c r="E423" t="s">
        <v>65</v>
      </c>
      <c r="F423" t="s">
        <v>28</v>
      </c>
      <c r="G423" s="8">
        <v>21</v>
      </c>
      <c r="H423" s="2">
        <v>103</v>
      </c>
      <c r="I423" s="2">
        <v>2163</v>
      </c>
      <c r="J423" s="4">
        <v>0.12</v>
      </c>
      <c r="K423" s="2">
        <v>1903.44</v>
      </c>
      <c r="L423" s="2">
        <f t="shared" si="19"/>
        <v>259.55999999999995</v>
      </c>
      <c r="M423" s="1">
        <v>44075</v>
      </c>
      <c r="N423" s="1">
        <v>44075</v>
      </c>
      <c r="O423">
        <v>422</v>
      </c>
      <c r="P423">
        <v>4</v>
      </c>
      <c r="Q423" t="s">
        <v>43</v>
      </c>
      <c r="R423" s="3">
        <v>0.1</v>
      </c>
      <c r="S423" s="2">
        <v>190.34400000000002</v>
      </c>
      <c r="T423">
        <v>2</v>
      </c>
      <c r="U423" t="str">
        <f t="shared" si="20"/>
        <v>Agosto</v>
      </c>
    </row>
    <row r="424" spans="1:21">
      <c r="A424">
        <v>423</v>
      </c>
      <c r="B424" s="1">
        <v>44058</v>
      </c>
      <c r="C424" s="1" t="str">
        <f t="shared" si="18"/>
        <v>agosto</v>
      </c>
      <c r="D424">
        <v>94</v>
      </c>
      <c r="E424" t="s">
        <v>49</v>
      </c>
      <c r="F424" t="s">
        <v>28</v>
      </c>
      <c r="G424" s="8">
        <v>22</v>
      </c>
      <c r="H424" s="2">
        <v>113</v>
      </c>
      <c r="I424" s="2">
        <v>2486</v>
      </c>
      <c r="J424" s="4">
        <v>0.13</v>
      </c>
      <c r="K424" s="2">
        <v>2162.8200000000002</v>
      </c>
      <c r="L424" s="2">
        <f t="shared" si="19"/>
        <v>323.17999999999984</v>
      </c>
      <c r="M424" s="1">
        <v>44079</v>
      </c>
      <c r="N424" s="1">
        <v>44079</v>
      </c>
      <c r="O424">
        <v>423</v>
      </c>
      <c r="P424">
        <v>1</v>
      </c>
      <c r="Q424" t="s">
        <v>47</v>
      </c>
      <c r="R424" s="3">
        <v>0.05</v>
      </c>
      <c r="S424" s="2">
        <v>108.14100000000002</v>
      </c>
      <c r="T424">
        <v>3</v>
      </c>
      <c r="U424" t="str">
        <f t="shared" si="20"/>
        <v>Agosto</v>
      </c>
    </row>
    <row r="425" spans="1:21">
      <c r="A425">
        <v>424</v>
      </c>
      <c r="B425" s="1">
        <v>44058</v>
      </c>
      <c r="C425" s="1" t="str">
        <f t="shared" si="18"/>
        <v>agosto</v>
      </c>
      <c r="D425">
        <v>93</v>
      </c>
      <c r="E425" t="s">
        <v>33</v>
      </c>
      <c r="F425" t="s">
        <v>46</v>
      </c>
      <c r="G425" s="8">
        <v>36</v>
      </c>
      <c r="H425" s="2">
        <v>109</v>
      </c>
      <c r="I425" s="2">
        <v>3924</v>
      </c>
      <c r="J425" s="4">
        <v>0.03</v>
      </c>
      <c r="K425" s="2">
        <v>3806.28</v>
      </c>
      <c r="L425" s="2">
        <f t="shared" si="19"/>
        <v>117.7199999999998</v>
      </c>
      <c r="M425" s="1">
        <v>44085</v>
      </c>
      <c r="N425" s="1">
        <v>44085</v>
      </c>
      <c r="O425">
        <v>424</v>
      </c>
      <c r="P425">
        <v>3</v>
      </c>
      <c r="Q425" t="s">
        <v>52</v>
      </c>
      <c r="R425" s="3">
        <v>0.06</v>
      </c>
      <c r="S425" s="2">
        <v>228.3768</v>
      </c>
      <c r="T425">
        <v>4</v>
      </c>
      <c r="U425" t="str">
        <f t="shared" si="20"/>
        <v>Agosto</v>
      </c>
    </row>
    <row r="426" spans="1:21">
      <c r="A426">
        <v>425</v>
      </c>
      <c r="B426" s="1">
        <v>44059</v>
      </c>
      <c r="C426" s="1" t="str">
        <f t="shared" si="18"/>
        <v>agosto</v>
      </c>
      <c r="D426">
        <v>32</v>
      </c>
      <c r="E426" t="s">
        <v>77</v>
      </c>
      <c r="F426" t="s">
        <v>31</v>
      </c>
      <c r="G426" s="8">
        <v>17</v>
      </c>
      <c r="H426" s="2">
        <v>116</v>
      </c>
      <c r="I426" s="2">
        <v>1972</v>
      </c>
      <c r="J426" s="4">
        <v>0.05</v>
      </c>
      <c r="K426" s="2">
        <v>1873.4</v>
      </c>
      <c r="L426" s="2">
        <f t="shared" si="19"/>
        <v>98.599999999999909</v>
      </c>
      <c r="M426" s="1">
        <v>44060</v>
      </c>
      <c r="N426" s="1">
        <v>44060</v>
      </c>
      <c r="O426">
        <v>425</v>
      </c>
      <c r="P426">
        <v>3</v>
      </c>
      <c r="Q426" t="s">
        <v>47</v>
      </c>
      <c r="R426" s="3">
        <v>0.05</v>
      </c>
      <c r="S426" s="2">
        <v>93.670000000000016</v>
      </c>
      <c r="T426">
        <v>5</v>
      </c>
      <c r="U426" t="str">
        <f t="shared" si="20"/>
        <v>Agosto</v>
      </c>
    </row>
    <row r="427" spans="1:21">
      <c r="A427">
        <v>426</v>
      </c>
      <c r="B427" s="1">
        <v>44059</v>
      </c>
      <c r="C427" s="1" t="str">
        <f t="shared" si="18"/>
        <v>agosto</v>
      </c>
      <c r="D427">
        <v>14</v>
      </c>
      <c r="E427" t="s">
        <v>27</v>
      </c>
      <c r="F427" t="s">
        <v>28</v>
      </c>
      <c r="G427" s="8">
        <v>46</v>
      </c>
      <c r="H427" s="2">
        <v>100</v>
      </c>
      <c r="I427" s="2">
        <v>4600</v>
      </c>
      <c r="J427" s="4">
        <v>0.04</v>
      </c>
      <c r="K427" s="2">
        <v>4416</v>
      </c>
      <c r="L427" s="2">
        <f t="shared" si="19"/>
        <v>184</v>
      </c>
      <c r="M427" s="1">
        <v>44083</v>
      </c>
      <c r="N427" s="1">
        <v>44083</v>
      </c>
      <c r="O427">
        <v>426</v>
      </c>
      <c r="P427">
        <v>4</v>
      </c>
      <c r="Q427" t="s">
        <v>29</v>
      </c>
      <c r="R427" s="3">
        <v>0.09</v>
      </c>
      <c r="S427" s="2">
        <v>397.44</v>
      </c>
      <c r="T427">
        <v>6</v>
      </c>
      <c r="U427" t="str">
        <f t="shared" si="20"/>
        <v>Agosto</v>
      </c>
    </row>
    <row r="428" spans="1:21">
      <c r="A428">
        <v>427</v>
      </c>
      <c r="B428" s="1">
        <v>44060</v>
      </c>
      <c r="C428" s="1" t="str">
        <f t="shared" si="18"/>
        <v>agosto</v>
      </c>
      <c r="D428">
        <v>79</v>
      </c>
      <c r="E428" t="s">
        <v>33</v>
      </c>
      <c r="F428" t="s">
        <v>28</v>
      </c>
      <c r="G428" s="8">
        <v>20</v>
      </c>
      <c r="H428" s="2">
        <v>103</v>
      </c>
      <c r="I428" s="2">
        <v>2060</v>
      </c>
      <c r="J428" s="4">
        <v>7.0000000000000007E-2</v>
      </c>
      <c r="K428" s="2">
        <v>1915.8</v>
      </c>
      <c r="L428" s="2">
        <f t="shared" si="19"/>
        <v>144.20000000000005</v>
      </c>
      <c r="M428" s="1">
        <v>44066</v>
      </c>
      <c r="N428" s="1">
        <v>44066</v>
      </c>
      <c r="O428">
        <v>427</v>
      </c>
      <c r="P428">
        <v>2</v>
      </c>
      <c r="Q428" t="s">
        <v>37</v>
      </c>
      <c r="R428" s="3">
        <v>0.1</v>
      </c>
      <c r="S428" s="2">
        <v>191.58</v>
      </c>
      <c r="T428">
        <v>7</v>
      </c>
      <c r="U428" t="str">
        <f t="shared" si="20"/>
        <v>Agosto</v>
      </c>
    </row>
    <row r="429" spans="1:21">
      <c r="A429">
        <v>428</v>
      </c>
      <c r="B429" s="1">
        <v>44060</v>
      </c>
      <c r="C429" s="1" t="str">
        <f t="shared" si="18"/>
        <v>agosto</v>
      </c>
      <c r="D429">
        <v>31</v>
      </c>
      <c r="E429" t="s">
        <v>85</v>
      </c>
      <c r="F429" t="s">
        <v>59</v>
      </c>
      <c r="G429" s="8">
        <v>10</v>
      </c>
      <c r="H429" s="2">
        <v>94</v>
      </c>
      <c r="I429" s="2">
        <v>940</v>
      </c>
      <c r="J429" s="4">
        <v>0.04</v>
      </c>
      <c r="K429" s="2">
        <v>902.4</v>
      </c>
      <c r="L429" s="2">
        <f t="shared" si="19"/>
        <v>37.600000000000023</v>
      </c>
      <c r="M429" s="1">
        <v>44071</v>
      </c>
      <c r="N429" s="1">
        <v>44071</v>
      </c>
      <c r="O429">
        <v>428</v>
      </c>
      <c r="P429">
        <v>5</v>
      </c>
      <c r="Q429" t="s">
        <v>69</v>
      </c>
      <c r="R429" s="3">
        <v>0.05</v>
      </c>
      <c r="S429" s="2">
        <v>45.120000000000005</v>
      </c>
      <c r="T429">
        <v>1</v>
      </c>
      <c r="U429" t="str">
        <f t="shared" si="20"/>
        <v>Agosto</v>
      </c>
    </row>
    <row r="430" spans="1:21">
      <c r="A430">
        <v>429</v>
      </c>
      <c r="B430" s="1">
        <v>44060</v>
      </c>
      <c r="C430" s="1" t="str">
        <f t="shared" si="18"/>
        <v>agosto</v>
      </c>
      <c r="D430">
        <v>76</v>
      </c>
      <c r="E430" t="s">
        <v>104</v>
      </c>
      <c r="F430" t="s">
        <v>28</v>
      </c>
      <c r="G430" s="8">
        <v>37</v>
      </c>
      <c r="H430" s="2">
        <v>93</v>
      </c>
      <c r="I430" s="2">
        <v>3441</v>
      </c>
      <c r="J430" s="4">
        <v>0.06</v>
      </c>
      <c r="K430" s="2">
        <v>3234.54</v>
      </c>
      <c r="L430" s="2">
        <f t="shared" si="19"/>
        <v>206.46000000000004</v>
      </c>
      <c r="M430" s="1">
        <v>44088</v>
      </c>
      <c r="N430" s="1">
        <v>44088</v>
      </c>
      <c r="O430">
        <v>429</v>
      </c>
      <c r="P430">
        <v>1</v>
      </c>
      <c r="Q430" t="s">
        <v>32</v>
      </c>
      <c r="R430" s="3">
        <v>0.1</v>
      </c>
      <c r="S430" s="2">
        <v>323.45400000000001</v>
      </c>
      <c r="T430">
        <v>2</v>
      </c>
      <c r="U430" t="str">
        <f t="shared" si="20"/>
        <v>Agosto</v>
      </c>
    </row>
    <row r="431" spans="1:21">
      <c r="A431">
        <v>430</v>
      </c>
      <c r="B431" s="1">
        <v>44061</v>
      </c>
      <c r="C431" s="1" t="str">
        <f t="shared" si="18"/>
        <v>agosto</v>
      </c>
      <c r="D431">
        <v>32</v>
      </c>
      <c r="E431" t="s">
        <v>77</v>
      </c>
      <c r="F431" t="s">
        <v>59</v>
      </c>
      <c r="G431" s="8">
        <v>25</v>
      </c>
      <c r="H431" s="2">
        <v>111</v>
      </c>
      <c r="I431" s="2">
        <v>2775</v>
      </c>
      <c r="J431" s="4">
        <v>7.0000000000000007E-2</v>
      </c>
      <c r="K431" s="2">
        <v>2580.75</v>
      </c>
      <c r="L431" s="2">
        <f t="shared" si="19"/>
        <v>194.25</v>
      </c>
      <c r="M431" s="1">
        <v>44090</v>
      </c>
      <c r="N431" s="1">
        <v>44090</v>
      </c>
      <c r="O431">
        <v>430</v>
      </c>
      <c r="P431">
        <v>4</v>
      </c>
      <c r="Q431" t="s">
        <v>47</v>
      </c>
      <c r="R431" s="3">
        <v>0.05</v>
      </c>
      <c r="S431" s="2">
        <v>129.03749999999999</v>
      </c>
      <c r="T431">
        <v>3</v>
      </c>
      <c r="U431" t="str">
        <f t="shared" si="20"/>
        <v>Agosto</v>
      </c>
    </row>
    <row r="432" spans="1:21">
      <c r="A432">
        <v>431</v>
      </c>
      <c r="B432" s="1">
        <v>44061</v>
      </c>
      <c r="C432" s="1" t="str">
        <f t="shared" si="18"/>
        <v>agosto</v>
      </c>
      <c r="D432">
        <v>38</v>
      </c>
      <c r="E432" t="s">
        <v>73</v>
      </c>
      <c r="F432" t="s">
        <v>46</v>
      </c>
      <c r="G432" s="8">
        <v>25</v>
      </c>
      <c r="H432" s="2">
        <v>93</v>
      </c>
      <c r="I432" s="2">
        <v>2325</v>
      </c>
      <c r="J432" s="4">
        <v>0.04</v>
      </c>
      <c r="K432" s="2">
        <v>2232</v>
      </c>
      <c r="L432" s="2">
        <f t="shared" si="19"/>
        <v>93</v>
      </c>
      <c r="M432" s="1">
        <v>44077</v>
      </c>
      <c r="N432" s="1">
        <v>44077</v>
      </c>
      <c r="O432">
        <v>431</v>
      </c>
      <c r="P432">
        <v>7</v>
      </c>
      <c r="Q432" t="s">
        <v>52</v>
      </c>
      <c r="R432" s="3">
        <v>0.05</v>
      </c>
      <c r="S432" s="2">
        <v>111.60000000000001</v>
      </c>
      <c r="T432">
        <v>4</v>
      </c>
      <c r="U432" t="str">
        <f t="shared" si="20"/>
        <v>Agosto</v>
      </c>
    </row>
    <row r="433" spans="1:21">
      <c r="A433">
        <v>432</v>
      </c>
      <c r="B433" s="1">
        <v>44062</v>
      </c>
      <c r="C433" s="1" t="str">
        <f t="shared" si="18"/>
        <v>agosto</v>
      </c>
      <c r="D433">
        <v>72</v>
      </c>
      <c r="E433" t="s">
        <v>38</v>
      </c>
      <c r="F433" t="s">
        <v>50</v>
      </c>
      <c r="G433" s="8">
        <v>28</v>
      </c>
      <c r="H433" s="2">
        <v>111</v>
      </c>
      <c r="I433" s="2">
        <v>3108</v>
      </c>
      <c r="J433" s="4">
        <v>0.04</v>
      </c>
      <c r="K433" s="2">
        <v>2983.68</v>
      </c>
      <c r="L433" s="2">
        <f t="shared" si="19"/>
        <v>124.32000000000016</v>
      </c>
      <c r="M433" s="1">
        <v>44087</v>
      </c>
      <c r="N433" s="1">
        <v>44087</v>
      </c>
      <c r="O433">
        <v>432</v>
      </c>
      <c r="P433">
        <v>2</v>
      </c>
      <c r="Q433" t="s">
        <v>47</v>
      </c>
      <c r="R433" s="3">
        <v>0.08</v>
      </c>
      <c r="S433" s="2">
        <v>238.6944</v>
      </c>
      <c r="T433">
        <v>5</v>
      </c>
      <c r="U433" t="str">
        <f t="shared" si="20"/>
        <v>Agosto</v>
      </c>
    </row>
    <row r="434" spans="1:21">
      <c r="A434">
        <v>433</v>
      </c>
      <c r="B434" s="1">
        <v>44063</v>
      </c>
      <c r="C434" s="1" t="str">
        <f t="shared" si="18"/>
        <v>agosto</v>
      </c>
      <c r="D434">
        <v>38</v>
      </c>
      <c r="E434" t="s">
        <v>73</v>
      </c>
      <c r="F434" t="s">
        <v>31</v>
      </c>
      <c r="G434" s="8">
        <v>32</v>
      </c>
      <c r="H434" s="2">
        <v>90</v>
      </c>
      <c r="I434" s="2">
        <v>2880</v>
      </c>
      <c r="J434" s="4">
        <v>0.03</v>
      </c>
      <c r="K434" s="2">
        <v>2793.6</v>
      </c>
      <c r="L434" s="2">
        <f t="shared" si="19"/>
        <v>86.400000000000091</v>
      </c>
      <c r="M434" s="1">
        <v>44087</v>
      </c>
      <c r="N434" s="1">
        <v>44087</v>
      </c>
      <c r="O434">
        <v>433</v>
      </c>
      <c r="P434">
        <v>7</v>
      </c>
      <c r="Q434" t="s">
        <v>47</v>
      </c>
      <c r="R434" s="3">
        <v>0.09</v>
      </c>
      <c r="S434" s="2">
        <v>251.42399999999998</v>
      </c>
      <c r="T434">
        <v>6</v>
      </c>
      <c r="U434" t="str">
        <f t="shared" si="20"/>
        <v>Agosto</v>
      </c>
    </row>
    <row r="435" spans="1:21">
      <c r="A435">
        <v>434</v>
      </c>
      <c r="B435" s="1">
        <v>44064</v>
      </c>
      <c r="C435" s="1" t="str">
        <f t="shared" si="18"/>
        <v>agosto</v>
      </c>
      <c r="D435">
        <v>84</v>
      </c>
      <c r="E435" t="s">
        <v>44</v>
      </c>
      <c r="F435" t="s">
        <v>31</v>
      </c>
      <c r="G435" s="8">
        <v>15</v>
      </c>
      <c r="H435" s="2">
        <v>112</v>
      </c>
      <c r="I435" s="2">
        <v>1680</v>
      </c>
      <c r="J435" s="4">
        <v>0.12</v>
      </c>
      <c r="K435" s="2">
        <v>1478.4</v>
      </c>
      <c r="L435" s="2">
        <f t="shared" si="19"/>
        <v>201.59999999999991</v>
      </c>
      <c r="M435" s="1">
        <v>44064</v>
      </c>
      <c r="N435" s="1">
        <v>44064</v>
      </c>
      <c r="O435">
        <v>434</v>
      </c>
      <c r="P435">
        <v>2</v>
      </c>
      <c r="Q435" t="s">
        <v>34</v>
      </c>
      <c r="R435" s="3">
        <v>0.05</v>
      </c>
      <c r="S435" s="2">
        <v>73.92</v>
      </c>
      <c r="T435">
        <v>7</v>
      </c>
      <c r="U435" t="str">
        <f t="shared" si="20"/>
        <v>Agosto</v>
      </c>
    </row>
    <row r="436" spans="1:21">
      <c r="A436">
        <v>435</v>
      </c>
      <c r="B436" s="1">
        <v>44064</v>
      </c>
      <c r="C436" s="1" t="str">
        <f t="shared" si="18"/>
        <v>agosto</v>
      </c>
      <c r="D436">
        <v>95</v>
      </c>
      <c r="E436" t="s">
        <v>38</v>
      </c>
      <c r="F436" t="s">
        <v>28</v>
      </c>
      <c r="G436" s="8">
        <v>40</v>
      </c>
      <c r="H436" s="2">
        <v>120</v>
      </c>
      <c r="I436" s="2">
        <v>4800</v>
      </c>
      <c r="J436" s="4">
        <v>0.13</v>
      </c>
      <c r="K436" s="2">
        <v>4176</v>
      </c>
      <c r="L436" s="2">
        <f t="shared" si="19"/>
        <v>624</v>
      </c>
      <c r="M436" s="1">
        <v>44070</v>
      </c>
      <c r="N436" s="1">
        <v>44070</v>
      </c>
      <c r="O436">
        <v>435</v>
      </c>
      <c r="P436">
        <v>3</v>
      </c>
      <c r="Q436" t="s">
        <v>43</v>
      </c>
      <c r="R436" s="3">
        <v>0.06</v>
      </c>
      <c r="S436" s="2">
        <v>250.56</v>
      </c>
      <c r="T436">
        <v>1</v>
      </c>
      <c r="U436" t="str">
        <f t="shared" si="20"/>
        <v>Agosto</v>
      </c>
    </row>
    <row r="437" spans="1:21">
      <c r="A437">
        <v>436</v>
      </c>
      <c r="B437" s="1">
        <v>44064</v>
      </c>
      <c r="C437" s="1" t="str">
        <f t="shared" si="18"/>
        <v>agosto</v>
      </c>
      <c r="D437">
        <v>71</v>
      </c>
      <c r="E437" t="s">
        <v>20</v>
      </c>
      <c r="F437" t="s">
        <v>50</v>
      </c>
      <c r="G437" s="8">
        <v>28</v>
      </c>
      <c r="H437" s="2">
        <v>91</v>
      </c>
      <c r="I437" s="2">
        <v>2548</v>
      </c>
      <c r="J437" s="4">
        <v>0.04</v>
      </c>
      <c r="K437" s="2">
        <v>2446.08</v>
      </c>
      <c r="L437" s="2">
        <f t="shared" si="19"/>
        <v>101.92000000000007</v>
      </c>
      <c r="M437" s="1">
        <v>44086</v>
      </c>
      <c r="N437" s="1">
        <v>44086</v>
      </c>
      <c r="O437">
        <v>436</v>
      </c>
      <c r="P437">
        <v>1</v>
      </c>
      <c r="Q437" t="s">
        <v>52</v>
      </c>
      <c r="R437" s="3">
        <v>7.0000000000000007E-2</v>
      </c>
      <c r="S437" s="2">
        <v>171.22560000000001</v>
      </c>
      <c r="T437">
        <v>2</v>
      </c>
      <c r="U437" t="str">
        <f t="shared" si="20"/>
        <v>Agosto</v>
      </c>
    </row>
    <row r="438" spans="1:21">
      <c r="A438">
        <v>437</v>
      </c>
      <c r="B438" s="1">
        <v>44064</v>
      </c>
      <c r="C438" s="1" t="str">
        <f t="shared" si="18"/>
        <v>agosto</v>
      </c>
      <c r="D438">
        <v>31</v>
      </c>
      <c r="E438" t="s">
        <v>85</v>
      </c>
      <c r="F438" t="s">
        <v>41</v>
      </c>
      <c r="G438" s="8">
        <v>13</v>
      </c>
      <c r="H438" s="2">
        <v>114</v>
      </c>
      <c r="I438" s="2">
        <v>1482</v>
      </c>
      <c r="J438" s="4">
        <v>0.14000000000000001</v>
      </c>
      <c r="K438" s="2">
        <v>1274.52</v>
      </c>
      <c r="L438" s="2">
        <f t="shared" si="19"/>
        <v>207.48000000000002</v>
      </c>
      <c r="M438" s="1">
        <v>44076</v>
      </c>
      <c r="N438" s="1">
        <v>44076</v>
      </c>
      <c r="O438">
        <v>437</v>
      </c>
      <c r="P438">
        <v>4</v>
      </c>
      <c r="Q438" t="s">
        <v>29</v>
      </c>
      <c r="R438" s="3">
        <v>7.0000000000000007E-2</v>
      </c>
      <c r="S438" s="2">
        <v>89.216400000000007</v>
      </c>
      <c r="T438">
        <v>3</v>
      </c>
      <c r="U438" t="str">
        <f t="shared" si="20"/>
        <v>Agosto</v>
      </c>
    </row>
    <row r="439" spans="1:21">
      <c r="A439">
        <v>438</v>
      </c>
      <c r="B439" s="1">
        <v>44065</v>
      </c>
      <c r="C439" s="1" t="str">
        <f t="shared" si="18"/>
        <v>agosto</v>
      </c>
      <c r="D439">
        <v>44</v>
      </c>
      <c r="E439" t="s">
        <v>71</v>
      </c>
      <c r="F439" t="s">
        <v>50</v>
      </c>
      <c r="G439" s="8">
        <v>28</v>
      </c>
      <c r="H439" s="2">
        <v>104</v>
      </c>
      <c r="I439" s="2">
        <v>2912</v>
      </c>
      <c r="J439" s="4">
        <v>0.12</v>
      </c>
      <c r="K439" s="2">
        <v>2562.56</v>
      </c>
      <c r="L439" s="2">
        <f t="shared" si="19"/>
        <v>349.44000000000005</v>
      </c>
      <c r="M439" s="1">
        <v>44086</v>
      </c>
      <c r="N439" s="1">
        <v>44086</v>
      </c>
      <c r="O439">
        <v>438</v>
      </c>
      <c r="P439">
        <v>2</v>
      </c>
      <c r="Q439" t="s">
        <v>25</v>
      </c>
      <c r="R439" s="3">
        <v>0.08</v>
      </c>
      <c r="S439" s="2">
        <v>205.00479999999999</v>
      </c>
      <c r="T439">
        <v>4</v>
      </c>
      <c r="U439" t="str">
        <f t="shared" si="20"/>
        <v>Agosto</v>
      </c>
    </row>
    <row r="440" spans="1:21">
      <c r="A440">
        <v>439</v>
      </c>
      <c r="B440" s="1">
        <v>44065</v>
      </c>
      <c r="C440" s="1" t="str">
        <f t="shared" si="18"/>
        <v>agosto</v>
      </c>
      <c r="D440">
        <v>54</v>
      </c>
      <c r="E440" t="s">
        <v>79</v>
      </c>
      <c r="F440" t="s">
        <v>28</v>
      </c>
      <c r="G440" s="8">
        <v>16</v>
      </c>
      <c r="H440" s="2">
        <v>104</v>
      </c>
      <c r="I440" s="2">
        <v>1664</v>
      </c>
      <c r="J440" s="4">
        <v>0.15</v>
      </c>
      <c r="K440" s="2">
        <v>1414.4</v>
      </c>
      <c r="L440" s="2">
        <f t="shared" si="19"/>
        <v>249.59999999999991</v>
      </c>
      <c r="M440" s="1">
        <v>44086</v>
      </c>
      <c r="N440" s="1">
        <v>44086</v>
      </c>
      <c r="O440">
        <v>439</v>
      </c>
      <c r="P440">
        <v>4</v>
      </c>
      <c r="Q440" t="s">
        <v>25</v>
      </c>
      <c r="R440" s="3">
        <v>0.1</v>
      </c>
      <c r="S440" s="2">
        <v>141.44000000000003</v>
      </c>
      <c r="T440">
        <v>5</v>
      </c>
      <c r="U440" t="str">
        <f t="shared" si="20"/>
        <v>Agosto</v>
      </c>
    </row>
    <row r="441" spans="1:21">
      <c r="A441">
        <v>440</v>
      </c>
      <c r="B441" s="1">
        <v>44066</v>
      </c>
      <c r="C441" s="1" t="str">
        <f t="shared" si="18"/>
        <v>agosto</v>
      </c>
      <c r="D441">
        <v>24</v>
      </c>
      <c r="E441" t="s">
        <v>74</v>
      </c>
      <c r="F441" t="s">
        <v>46</v>
      </c>
      <c r="G441" s="8">
        <v>35</v>
      </c>
      <c r="H441" s="2">
        <v>90</v>
      </c>
      <c r="I441" s="2">
        <v>3150</v>
      </c>
      <c r="J441" s="4">
        <v>0.01</v>
      </c>
      <c r="K441" s="2">
        <v>3118.5</v>
      </c>
      <c r="L441" s="2">
        <f t="shared" si="19"/>
        <v>31.5</v>
      </c>
      <c r="M441" s="1">
        <v>44076</v>
      </c>
      <c r="N441" s="1">
        <v>44076</v>
      </c>
      <c r="O441">
        <v>440</v>
      </c>
      <c r="P441">
        <v>2</v>
      </c>
      <c r="Q441" t="s">
        <v>52</v>
      </c>
      <c r="R441" s="3">
        <v>0.05</v>
      </c>
      <c r="S441" s="2">
        <v>155.92500000000001</v>
      </c>
      <c r="T441">
        <v>6</v>
      </c>
      <c r="U441" t="str">
        <f t="shared" si="20"/>
        <v>Agosto</v>
      </c>
    </row>
    <row r="442" spans="1:21">
      <c r="A442">
        <v>441</v>
      </c>
      <c r="B442" s="1">
        <v>44066</v>
      </c>
      <c r="C442" s="1" t="str">
        <f t="shared" si="18"/>
        <v>agosto</v>
      </c>
      <c r="D442">
        <v>71</v>
      </c>
      <c r="E442" t="s">
        <v>20</v>
      </c>
      <c r="F442" t="s">
        <v>24</v>
      </c>
      <c r="G442" s="8">
        <v>21</v>
      </c>
      <c r="H442" s="2">
        <v>92</v>
      </c>
      <c r="I442" s="2">
        <v>1932</v>
      </c>
      <c r="J442" s="4">
        <v>0.12</v>
      </c>
      <c r="K442" s="2">
        <v>1700.16</v>
      </c>
      <c r="L442" s="2">
        <f t="shared" si="19"/>
        <v>231.83999999999992</v>
      </c>
      <c r="M442" s="1">
        <v>44079</v>
      </c>
      <c r="N442" s="1">
        <v>44079</v>
      </c>
      <c r="O442">
        <v>441</v>
      </c>
      <c r="P442">
        <v>3</v>
      </c>
      <c r="Q442" t="s">
        <v>34</v>
      </c>
      <c r="R442" s="3">
        <v>0.08</v>
      </c>
      <c r="S442" s="2">
        <v>136.0128</v>
      </c>
      <c r="T442">
        <v>7</v>
      </c>
      <c r="U442" t="str">
        <f t="shared" si="20"/>
        <v>Agosto</v>
      </c>
    </row>
    <row r="443" spans="1:21">
      <c r="A443">
        <v>442</v>
      </c>
      <c r="B443" s="1">
        <v>44066</v>
      </c>
      <c r="C443" s="1" t="str">
        <f t="shared" si="18"/>
        <v>agosto</v>
      </c>
      <c r="D443">
        <v>30</v>
      </c>
      <c r="E443" t="s">
        <v>96</v>
      </c>
      <c r="F443" t="s">
        <v>31</v>
      </c>
      <c r="G443" s="8">
        <v>29</v>
      </c>
      <c r="H443" s="2">
        <v>95</v>
      </c>
      <c r="I443" s="2">
        <v>2755</v>
      </c>
      <c r="J443" s="4">
        <v>0.06</v>
      </c>
      <c r="K443" s="2">
        <v>2589.6999999999998</v>
      </c>
      <c r="L443" s="2">
        <f t="shared" si="19"/>
        <v>165.30000000000018</v>
      </c>
      <c r="M443" s="1">
        <v>44073</v>
      </c>
      <c r="N443" s="1">
        <v>44073</v>
      </c>
      <c r="O443">
        <v>442</v>
      </c>
      <c r="P443">
        <v>2</v>
      </c>
      <c r="Q443" t="s">
        <v>69</v>
      </c>
      <c r="R443" s="3">
        <v>0.06</v>
      </c>
      <c r="S443" s="2">
        <v>155.38199999999998</v>
      </c>
      <c r="T443">
        <v>1</v>
      </c>
      <c r="U443" t="str">
        <f t="shared" si="20"/>
        <v>Agosto</v>
      </c>
    </row>
    <row r="444" spans="1:21">
      <c r="A444">
        <v>443</v>
      </c>
      <c r="B444" s="1">
        <v>44067</v>
      </c>
      <c r="C444" s="1" t="str">
        <f t="shared" si="18"/>
        <v>agosto</v>
      </c>
      <c r="D444">
        <v>62</v>
      </c>
      <c r="E444" t="s">
        <v>38</v>
      </c>
      <c r="F444" t="s">
        <v>31</v>
      </c>
      <c r="G444" s="8">
        <v>32</v>
      </c>
      <c r="H444" s="2">
        <v>113</v>
      </c>
      <c r="I444" s="2">
        <v>3616</v>
      </c>
      <c r="J444" s="4">
        <v>0.1</v>
      </c>
      <c r="K444" s="2">
        <v>3254.4</v>
      </c>
      <c r="L444" s="2">
        <f t="shared" si="19"/>
        <v>361.59999999999991</v>
      </c>
      <c r="M444" s="1">
        <v>44082</v>
      </c>
      <c r="N444" s="1">
        <v>44082</v>
      </c>
      <c r="O444">
        <v>443</v>
      </c>
      <c r="P444">
        <v>4</v>
      </c>
      <c r="Q444" t="s">
        <v>25</v>
      </c>
      <c r="R444" s="3">
        <v>0.1</v>
      </c>
      <c r="S444" s="2">
        <v>325.44000000000005</v>
      </c>
      <c r="T444">
        <v>2</v>
      </c>
      <c r="U444" t="str">
        <f t="shared" si="20"/>
        <v>Agosto</v>
      </c>
    </row>
    <row r="445" spans="1:21">
      <c r="A445">
        <v>444</v>
      </c>
      <c r="B445" s="1">
        <v>44068</v>
      </c>
      <c r="C445" s="1" t="str">
        <f t="shared" si="18"/>
        <v>agosto</v>
      </c>
      <c r="D445">
        <v>100</v>
      </c>
      <c r="E445" t="s">
        <v>38</v>
      </c>
      <c r="F445" t="s">
        <v>31</v>
      </c>
      <c r="G445" s="8">
        <v>14</v>
      </c>
      <c r="H445" s="2">
        <v>102</v>
      </c>
      <c r="I445" s="2">
        <v>1428</v>
      </c>
      <c r="J445" s="4">
        <v>0.08</v>
      </c>
      <c r="K445" s="2">
        <v>1313.76</v>
      </c>
      <c r="L445" s="2">
        <f t="shared" si="19"/>
        <v>114.24000000000001</v>
      </c>
      <c r="M445" s="1">
        <v>44078</v>
      </c>
      <c r="N445" s="1">
        <v>44078</v>
      </c>
      <c r="O445">
        <v>444</v>
      </c>
      <c r="P445">
        <v>1</v>
      </c>
      <c r="Q445" t="s">
        <v>43</v>
      </c>
      <c r="R445" s="3">
        <v>0.1</v>
      </c>
      <c r="S445" s="2">
        <v>131.376</v>
      </c>
      <c r="T445">
        <v>3</v>
      </c>
      <c r="U445" t="str">
        <f t="shared" si="20"/>
        <v>Agosto</v>
      </c>
    </row>
    <row r="446" spans="1:21">
      <c r="A446">
        <v>445</v>
      </c>
      <c r="B446" s="1">
        <v>44068</v>
      </c>
      <c r="C446" s="1" t="str">
        <f t="shared" si="18"/>
        <v>agosto</v>
      </c>
      <c r="D446">
        <v>84</v>
      </c>
      <c r="E446" t="s">
        <v>44</v>
      </c>
      <c r="F446" t="s">
        <v>24</v>
      </c>
      <c r="G446" s="8">
        <v>15</v>
      </c>
      <c r="H446" s="2">
        <v>111</v>
      </c>
      <c r="I446" s="2">
        <v>1665</v>
      </c>
      <c r="J446" s="4">
        <v>0.13</v>
      </c>
      <c r="K446" s="2">
        <v>1448.55</v>
      </c>
      <c r="L446" s="2">
        <f t="shared" si="19"/>
        <v>216.45000000000005</v>
      </c>
      <c r="M446" s="1">
        <v>44085</v>
      </c>
      <c r="N446" s="1">
        <v>44085</v>
      </c>
      <c r="O446">
        <v>445</v>
      </c>
      <c r="P446">
        <v>7</v>
      </c>
      <c r="Q446" t="s">
        <v>37</v>
      </c>
      <c r="R446" s="3">
        <v>0.08</v>
      </c>
      <c r="S446" s="2">
        <v>115.884</v>
      </c>
      <c r="T446">
        <v>4</v>
      </c>
      <c r="U446" t="str">
        <f t="shared" si="20"/>
        <v>Agosto</v>
      </c>
    </row>
    <row r="447" spans="1:21">
      <c r="A447">
        <v>446</v>
      </c>
      <c r="B447" s="1">
        <v>44068</v>
      </c>
      <c r="C447" s="1" t="str">
        <f t="shared" si="18"/>
        <v>agosto</v>
      </c>
      <c r="D447">
        <v>63</v>
      </c>
      <c r="E447" t="s">
        <v>80</v>
      </c>
      <c r="F447" t="s">
        <v>28</v>
      </c>
      <c r="G447" s="8">
        <v>39</v>
      </c>
      <c r="H447" s="2">
        <v>102</v>
      </c>
      <c r="I447" s="2">
        <v>3978</v>
      </c>
      <c r="J447" s="4">
        <v>0</v>
      </c>
      <c r="K447" s="2">
        <v>3978</v>
      </c>
      <c r="L447" s="2">
        <f t="shared" si="19"/>
        <v>0</v>
      </c>
      <c r="M447" s="1">
        <v>44092</v>
      </c>
      <c r="N447" s="1">
        <v>44092</v>
      </c>
      <c r="O447">
        <v>446</v>
      </c>
      <c r="P447">
        <v>3</v>
      </c>
      <c r="Q447" t="s">
        <v>32</v>
      </c>
      <c r="R447" s="3">
        <v>0.09</v>
      </c>
      <c r="S447" s="2">
        <v>358.02</v>
      </c>
      <c r="T447">
        <v>5</v>
      </c>
      <c r="U447" t="str">
        <f t="shared" si="20"/>
        <v>Agosto</v>
      </c>
    </row>
    <row r="448" spans="1:21">
      <c r="A448">
        <v>447</v>
      </c>
      <c r="B448" s="1">
        <v>44069</v>
      </c>
      <c r="C448" s="1" t="str">
        <f t="shared" si="18"/>
        <v>agosto</v>
      </c>
      <c r="D448">
        <v>81</v>
      </c>
      <c r="E448" t="s">
        <v>103</v>
      </c>
      <c r="F448" t="s">
        <v>24</v>
      </c>
      <c r="G448" s="8">
        <v>20</v>
      </c>
      <c r="H448" s="2">
        <v>112</v>
      </c>
      <c r="I448" s="2">
        <v>2240</v>
      </c>
      <c r="J448" s="4">
        <v>0.14000000000000001</v>
      </c>
      <c r="K448" s="2">
        <v>1926.4</v>
      </c>
      <c r="L448" s="2">
        <f t="shared" si="19"/>
        <v>313.59999999999991</v>
      </c>
      <c r="M448" s="1">
        <v>44093</v>
      </c>
      <c r="N448" s="1">
        <v>44093</v>
      </c>
      <c r="O448">
        <v>447</v>
      </c>
      <c r="P448">
        <v>6</v>
      </c>
      <c r="Q448" t="s">
        <v>32</v>
      </c>
      <c r="R448" s="3">
        <v>0.06</v>
      </c>
      <c r="S448" s="2">
        <v>115.584</v>
      </c>
      <c r="T448">
        <v>6</v>
      </c>
      <c r="U448" t="str">
        <f t="shared" si="20"/>
        <v>Agosto</v>
      </c>
    </row>
    <row r="449" spans="1:21">
      <c r="A449">
        <v>448</v>
      </c>
      <c r="B449" s="1">
        <v>44069</v>
      </c>
      <c r="C449" s="1" t="str">
        <f t="shared" si="18"/>
        <v>agosto</v>
      </c>
      <c r="D449">
        <v>43</v>
      </c>
      <c r="E449" t="s">
        <v>99</v>
      </c>
      <c r="F449" t="s">
        <v>31</v>
      </c>
      <c r="G449" s="8">
        <v>37</v>
      </c>
      <c r="H449" s="2">
        <v>107</v>
      </c>
      <c r="I449" s="2">
        <v>3959</v>
      </c>
      <c r="J449" s="4">
        <v>0.01</v>
      </c>
      <c r="K449" s="2">
        <v>3919.41</v>
      </c>
      <c r="L449" s="2">
        <f t="shared" si="19"/>
        <v>39.590000000000146</v>
      </c>
      <c r="M449" s="1">
        <v>44084</v>
      </c>
      <c r="N449" s="1">
        <v>44084</v>
      </c>
      <c r="O449">
        <v>448</v>
      </c>
      <c r="P449">
        <v>5</v>
      </c>
      <c r="Q449" t="s">
        <v>34</v>
      </c>
      <c r="R449" s="3">
        <v>7.0000000000000007E-2</v>
      </c>
      <c r="S449" s="2">
        <v>274.3587</v>
      </c>
      <c r="T449">
        <v>7</v>
      </c>
      <c r="U449" t="str">
        <f t="shared" si="20"/>
        <v>Agosto</v>
      </c>
    </row>
    <row r="450" spans="1:21">
      <c r="A450">
        <v>449</v>
      </c>
      <c r="B450" s="1">
        <v>44070</v>
      </c>
      <c r="C450" s="1" t="str">
        <f t="shared" si="18"/>
        <v>agosto</v>
      </c>
      <c r="D450">
        <v>7</v>
      </c>
      <c r="E450" t="s">
        <v>102</v>
      </c>
      <c r="F450" t="s">
        <v>41</v>
      </c>
      <c r="G450" s="8">
        <v>42</v>
      </c>
      <c r="H450" s="2">
        <v>113</v>
      </c>
      <c r="I450" s="2">
        <v>4746</v>
      </c>
      <c r="J450" s="4">
        <v>0.12</v>
      </c>
      <c r="K450" s="2">
        <v>4176.4799999999996</v>
      </c>
      <c r="L450" s="2">
        <f t="shared" si="19"/>
        <v>569.52000000000044</v>
      </c>
      <c r="M450" s="1">
        <v>44087</v>
      </c>
      <c r="N450" s="1">
        <v>44087</v>
      </c>
      <c r="O450">
        <v>449</v>
      </c>
      <c r="P450">
        <v>1</v>
      </c>
      <c r="Q450" t="s">
        <v>29</v>
      </c>
      <c r="R450" s="3">
        <v>0.08</v>
      </c>
      <c r="S450" s="2">
        <v>334.11839999999995</v>
      </c>
      <c r="T450">
        <v>1</v>
      </c>
      <c r="U450" t="str">
        <f t="shared" si="20"/>
        <v>Agosto</v>
      </c>
    </row>
    <row r="451" spans="1:21">
      <c r="A451">
        <v>450</v>
      </c>
      <c r="B451" s="1">
        <v>44070</v>
      </c>
      <c r="C451" s="1" t="str">
        <f t="shared" ref="C451:C514" si="21">TEXT(B451,"mmmm")</f>
        <v>agosto</v>
      </c>
      <c r="D451">
        <v>66</v>
      </c>
      <c r="E451" t="s">
        <v>30</v>
      </c>
      <c r="F451" t="s">
        <v>59</v>
      </c>
      <c r="G451" s="8">
        <v>44</v>
      </c>
      <c r="H451" s="2">
        <v>109</v>
      </c>
      <c r="I451" s="2">
        <v>4796</v>
      </c>
      <c r="J451" s="4">
        <v>0.02</v>
      </c>
      <c r="K451" s="2">
        <v>4700.08</v>
      </c>
      <c r="L451" s="2">
        <f t="shared" ref="L451:L514" si="22">I451-K451</f>
        <v>95.920000000000073</v>
      </c>
      <c r="M451" s="1">
        <v>44075</v>
      </c>
      <c r="N451" s="1">
        <v>44075</v>
      </c>
      <c r="O451">
        <v>450</v>
      </c>
      <c r="P451">
        <v>4</v>
      </c>
      <c r="Q451" t="s">
        <v>43</v>
      </c>
      <c r="R451" s="3">
        <v>0.06</v>
      </c>
      <c r="S451" s="2">
        <v>282.00479999999999</v>
      </c>
      <c r="T451">
        <v>2</v>
      </c>
      <c r="U451" t="str">
        <f t="shared" ref="U451:U514" si="23">PROPER(TEXT(B451,"mmmm"))</f>
        <v>Agosto</v>
      </c>
    </row>
    <row r="452" spans="1:21">
      <c r="A452">
        <v>451</v>
      </c>
      <c r="B452" s="1">
        <v>44070</v>
      </c>
      <c r="C452" s="1" t="str">
        <f t="shared" si="21"/>
        <v>agosto</v>
      </c>
      <c r="D452">
        <v>76</v>
      </c>
      <c r="E452" t="s">
        <v>104</v>
      </c>
      <c r="F452" t="s">
        <v>46</v>
      </c>
      <c r="G452" s="8">
        <v>33</v>
      </c>
      <c r="H452" s="2">
        <v>97</v>
      </c>
      <c r="I452" s="2">
        <v>3201</v>
      </c>
      <c r="J452" s="4">
        <v>0.1</v>
      </c>
      <c r="K452" s="2">
        <v>2880.9</v>
      </c>
      <c r="L452" s="2">
        <f t="shared" si="22"/>
        <v>320.09999999999991</v>
      </c>
      <c r="M452" s="1">
        <v>44085</v>
      </c>
      <c r="N452" s="1">
        <v>44085</v>
      </c>
      <c r="O452">
        <v>451</v>
      </c>
      <c r="P452">
        <v>5</v>
      </c>
      <c r="Q452" t="s">
        <v>32</v>
      </c>
      <c r="R452" s="3">
        <v>0.08</v>
      </c>
      <c r="S452" s="2">
        <v>230.47200000000001</v>
      </c>
      <c r="T452">
        <v>3</v>
      </c>
      <c r="U452" t="str">
        <f t="shared" si="23"/>
        <v>Agosto</v>
      </c>
    </row>
    <row r="453" spans="1:21">
      <c r="A453">
        <v>452</v>
      </c>
      <c r="B453" s="1">
        <v>44071</v>
      </c>
      <c r="C453" s="1" t="str">
        <f t="shared" si="21"/>
        <v>agosto</v>
      </c>
      <c r="D453">
        <v>37</v>
      </c>
      <c r="E453" t="s">
        <v>48</v>
      </c>
      <c r="F453" t="s">
        <v>31</v>
      </c>
      <c r="G453" s="8">
        <v>29</v>
      </c>
      <c r="H453" s="2">
        <v>116</v>
      </c>
      <c r="I453" s="2">
        <v>3364</v>
      </c>
      <c r="J453" s="4">
        <v>0</v>
      </c>
      <c r="K453" s="2">
        <v>3364</v>
      </c>
      <c r="L453" s="2">
        <f t="shared" si="22"/>
        <v>0</v>
      </c>
      <c r="M453" s="1">
        <v>44097</v>
      </c>
      <c r="N453" s="1">
        <v>44097</v>
      </c>
      <c r="O453">
        <v>452</v>
      </c>
      <c r="P453">
        <v>4</v>
      </c>
      <c r="Q453" t="s">
        <v>29</v>
      </c>
      <c r="R453" s="3">
        <v>0.06</v>
      </c>
      <c r="S453" s="2">
        <v>201.84</v>
      </c>
      <c r="T453">
        <v>4</v>
      </c>
      <c r="U453" t="str">
        <f t="shared" si="23"/>
        <v>Agosto</v>
      </c>
    </row>
    <row r="454" spans="1:21">
      <c r="A454">
        <v>453</v>
      </c>
      <c r="B454" s="1">
        <v>44071</v>
      </c>
      <c r="C454" s="1" t="str">
        <f t="shared" si="21"/>
        <v>agosto</v>
      </c>
      <c r="D454">
        <v>13</v>
      </c>
      <c r="E454" t="s">
        <v>75</v>
      </c>
      <c r="F454" t="s">
        <v>54</v>
      </c>
      <c r="G454" s="8">
        <v>32</v>
      </c>
      <c r="H454" s="2">
        <v>108</v>
      </c>
      <c r="I454" s="2">
        <v>3456</v>
      </c>
      <c r="J454" s="4">
        <v>0.11</v>
      </c>
      <c r="K454" s="2">
        <v>3075.84</v>
      </c>
      <c r="L454" s="2">
        <f t="shared" si="22"/>
        <v>380.15999999999985</v>
      </c>
      <c r="M454" s="1">
        <v>44087</v>
      </c>
      <c r="N454" s="1">
        <v>44087</v>
      </c>
      <c r="O454">
        <v>453</v>
      </c>
      <c r="P454">
        <v>5</v>
      </c>
      <c r="Q454" t="s">
        <v>29</v>
      </c>
      <c r="R454" s="3">
        <v>7.0000000000000007E-2</v>
      </c>
      <c r="S454" s="2">
        <v>215.30880000000002</v>
      </c>
      <c r="T454">
        <v>5</v>
      </c>
      <c r="U454" t="str">
        <f t="shared" si="23"/>
        <v>Agosto</v>
      </c>
    </row>
    <row r="455" spans="1:21">
      <c r="A455">
        <v>454</v>
      </c>
      <c r="B455" s="1">
        <v>44072</v>
      </c>
      <c r="C455" s="1" t="str">
        <f t="shared" si="21"/>
        <v>agosto</v>
      </c>
      <c r="D455">
        <v>30</v>
      </c>
      <c r="E455" t="s">
        <v>96</v>
      </c>
      <c r="F455" t="s">
        <v>21</v>
      </c>
      <c r="G455" s="8">
        <v>40</v>
      </c>
      <c r="H455" s="2">
        <v>106</v>
      </c>
      <c r="I455" s="2">
        <v>4240</v>
      </c>
      <c r="J455" s="4">
        <v>0.11</v>
      </c>
      <c r="K455" s="2">
        <v>3773.6</v>
      </c>
      <c r="L455" s="2">
        <f t="shared" si="22"/>
        <v>466.40000000000009</v>
      </c>
      <c r="M455" s="1">
        <v>44093</v>
      </c>
      <c r="N455" s="1">
        <v>44093</v>
      </c>
      <c r="O455">
        <v>454</v>
      </c>
      <c r="P455">
        <v>1</v>
      </c>
      <c r="Q455" t="s">
        <v>43</v>
      </c>
      <c r="R455" s="3">
        <v>0.06</v>
      </c>
      <c r="S455" s="2">
        <v>226.416</v>
      </c>
      <c r="T455">
        <v>6</v>
      </c>
      <c r="U455" t="str">
        <f t="shared" si="23"/>
        <v>Agosto</v>
      </c>
    </row>
    <row r="456" spans="1:21">
      <c r="A456">
        <v>455</v>
      </c>
      <c r="B456" s="1">
        <v>44072</v>
      </c>
      <c r="C456" s="1" t="str">
        <f t="shared" si="21"/>
        <v>agosto</v>
      </c>
      <c r="D456">
        <v>52</v>
      </c>
      <c r="E456" t="s">
        <v>23</v>
      </c>
      <c r="F456" t="s">
        <v>41</v>
      </c>
      <c r="G456" s="8">
        <v>49</v>
      </c>
      <c r="H456" s="2">
        <v>92</v>
      </c>
      <c r="I456" s="2">
        <v>4508</v>
      </c>
      <c r="J456" s="4">
        <v>7.0000000000000007E-2</v>
      </c>
      <c r="K456" s="2">
        <v>4192.4399999999996</v>
      </c>
      <c r="L456" s="2">
        <f t="shared" si="22"/>
        <v>315.5600000000004</v>
      </c>
      <c r="M456" s="1">
        <v>44089</v>
      </c>
      <c r="N456" s="1">
        <v>44089</v>
      </c>
      <c r="O456">
        <v>455</v>
      </c>
      <c r="P456">
        <v>3</v>
      </c>
      <c r="Q456" t="s">
        <v>52</v>
      </c>
      <c r="R456" s="3">
        <v>0.1</v>
      </c>
      <c r="S456" s="2">
        <v>419.24399999999997</v>
      </c>
      <c r="T456">
        <v>7</v>
      </c>
      <c r="U456" t="str">
        <f t="shared" si="23"/>
        <v>Agosto</v>
      </c>
    </row>
    <row r="457" spans="1:21">
      <c r="A457">
        <v>456</v>
      </c>
      <c r="B457" s="1">
        <v>44072</v>
      </c>
      <c r="C457" s="1" t="str">
        <f t="shared" si="21"/>
        <v>agosto</v>
      </c>
      <c r="D457">
        <v>3</v>
      </c>
      <c r="E457" t="s">
        <v>91</v>
      </c>
      <c r="F457" t="s">
        <v>28</v>
      </c>
      <c r="G457" s="8">
        <v>26</v>
      </c>
      <c r="H457" s="2">
        <v>93</v>
      </c>
      <c r="I457" s="2">
        <v>2418</v>
      </c>
      <c r="J457" s="4">
        <v>0.15</v>
      </c>
      <c r="K457" s="2">
        <v>2055.3000000000002</v>
      </c>
      <c r="L457" s="2">
        <f t="shared" si="22"/>
        <v>362.69999999999982</v>
      </c>
      <c r="M457" s="1">
        <v>44092</v>
      </c>
      <c r="N457" s="1">
        <v>44092</v>
      </c>
      <c r="O457">
        <v>456</v>
      </c>
      <c r="P457">
        <v>4</v>
      </c>
      <c r="Q457" t="s">
        <v>22</v>
      </c>
      <c r="R457" s="3">
        <v>0.1</v>
      </c>
      <c r="S457" s="2">
        <v>205.53000000000003</v>
      </c>
      <c r="T457">
        <v>1</v>
      </c>
      <c r="U457" t="str">
        <f t="shared" si="23"/>
        <v>Agosto</v>
      </c>
    </row>
    <row r="458" spans="1:21">
      <c r="A458">
        <v>457</v>
      </c>
      <c r="B458" s="1">
        <v>44073</v>
      </c>
      <c r="C458" s="1" t="str">
        <f t="shared" si="21"/>
        <v>agosto</v>
      </c>
      <c r="D458">
        <v>37</v>
      </c>
      <c r="E458" t="s">
        <v>48</v>
      </c>
      <c r="F458" t="s">
        <v>28</v>
      </c>
      <c r="G458" s="8">
        <v>39</v>
      </c>
      <c r="H458" s="2">
        <v>96</v>
      </c>
      <c r="I458" s="2">
        <v>3744</v>
      </c>
      <c r="J458" s="4">
        <v>7.0000000000000007E-2</v>
      </c>
      <c r="K458" s="2">
        <v>3481.92</v>
      </c>
      <c r="L458" s="2">
        <f t="shared" si="22"/>
        <v>262.07999999999993</v>
      </c>
      <c r="M458" s="1">
        <v>44090</v>
      </c>
      <c r="N458" s="1">
        <v>44090</v>
      </c>
      <c r="O458">
        <v>457</v>
      </c>
      <c r="P458">
        <v>2</v>
      </c>
      <c r="Q458" t="s">
        <v>37</v>
      </c>
      <c r="R458" s="3">
        <v>0.05</v>
      </c>
      <c r="S458" s="2">
        <v>174.096</v>
      </c>
      <c r="T458">
        <v>2</v>
      </c>
      <c r="U458" t="str">
        <f t="shared" si="23"/>
        <v>Agosto</v>
      </c>
    </row>
    <row r="459" spans="1:21">
      <c r="A459">
        <v>458</v>
      </c>
      <c r="B459" s="1">
        <v>44073</v>
      </c>
      <c r="C459" s="1" t="str">
        <f t="shared" si="21"/>
        <v>agosto</v>
      </c>
      <c r="D459">
        <v>23</v>
      </c>
      <c r="E459" t="s">
        <v>105</v>
      </c>
      <c r="F459" t="s">
        <v>24</v>
      </c>
      <c r="G459" s="8">
        <v>45</v>
      </c>
      <c r="H459" s="2">
        <v>114</v>
      </c>
      <c r="I459" s="2">
        <v>5130</v>
      </c>
      <c r="J459" s="4">
        <v>0.03</v>
      </c>
      <c r="K459" s="2">
        <v>4976.1000000000004</v>
      </c>
      <c r="L459" s="2">
        <f t="shared" si="22"/>
        <v>153.89999999999964</v>
      </c>
      <c r="M459" s="1">
        <v>44101</v>
      </c>
      <c r="N459" s="1">
        <v>44101</v>
      </c>
      <c r="O459">
        <v>458</v>
      </c>
      <c r="P459">
        <v>4</v>
      </c>
      <c r="Q459" t="s">
        <v>32</v>
      </c>
      <c r="R459" s="3">
        <v>0.1</v>
      </c>
      <c r="S459" s="2">
        <v>497.61000000000007</v>
      </c>
      <c r="T459">
        <v>3</v>
      </c>
      <c r="U459" t="str">
        <f t="shared" si="23"/>
        <v>Agosto</v>
      </c>
    </row>
    <row r="460" spans="1:21">
      <c r="A460">
        <v>459</v>
      </c>
      <c r="B460" s="1">
        <v>44073</v>
      </c>
      <c r="C460" s="1" t="str">
        <f t="shared" si="21"/>
        <v>agosto</v>
      </c>
      <c r="D460">
        <v>7</v>
      </c>
      <c r="E460" t="s">
        <v>102</v>
      </c>
      <c r="F460" t="s">
        <v>21</v>
      </c>
      <c r="G460" s="8">
        <v>48</v>
      </c>
      <c r="H460" s="2">
        <v>100</v>
      </c>
      <c r="I460" s="2">
        <v>4800</v>
      </c>
      <c r="J460" s="4">
        <v>0.03</v>
      </c>
      <c r="K460" s="2">
        <v>4656</v>
      </c>
      <c r="L460" s="2">
        <f t="shared" si="22"/>
        <v>144</v>
      </c>
      <c r="M460" s="1">
        <v>44102</v>
      </c>
      <c r="N460" s="1">
        <v>44102</v>
      </c>
      <c r="O460">
        <v>459</v>
      </c>
      <c r="P460">
        <v>1</v>
      </c>
      <c r="Q460" t="s">
        <v>69</v>
      </c>
      <c r="R460" s="3">
        <v>0.05</v>
      </c>
      <c r="S460" s="2">
        <v>232.8</v>
      </c>
      <c r="T460">
        <v>4</v>
      </c>
      <c r="U460" t="str">
        <f t="shared" si="23"/>
        <v>Agosto</v>
      </c>
    </row>
    <row r="461" spans="1:21">
      <c r="A461">
        <v>460</v>
      </c>
      <c r="B461" s="1">
        <v>44073</v>
      </c>
      <c r="C461" s="1" t="str">
        <f t="shared" si="21"/>
        <v>agosto</v>
      </c>
      <c r="D461">
        <v>87</v>
      </c>
      <c r="E461" t="s">
        <v>40</v>
      </c>
      <c r="F461" t="s">
        <v>24</v>
      </c>
      <c r="G461" s="8">
        <v>45</v>
      </c>
      <c r="H461" s="2">
        <v>109</v>
      </c>
      <c r="I461" s="2">
        <v>4905</v>
      </c>
      <c r="J461" s="4">
        <v>0.03</v>
      </c>
      <c r="K461" s="2">
        <v>4757.8500000000004</v>
      </c>
      <c r="L461" s="2">
        <f t="shared" si="22"/>
        <v>147.14999999999964</v>
      </c>
      <c r="M461" s="1">
        <v>44079</v>
      </c>
      <c r="N461" s="1">
        <v>44079</v>
      </c>
      <c r="O461">
        <v>460</v>
      </c>
      <c r="P461">
        <v>2</v>
      </c>
      <c r="Q461" t="s">
        <v>47</v>
      </c>
      <c r="R461" s="3">
        <v>0.05</v>
      </c>
      <c r="S461" s="2">
        <v>237.89250000000004</v>
      </c>
      <c r="T461">
        <v>5</v>
      </c>
      <c r="U461" t="str">
        <f t="shared" si="23"/>
        <v>Agosto</v>
      </c>
    </row>
    <row r="462" spans="1:21">
      <c r="A462">
        <v>461</v>
      </c>
      <c r="B462" s="1">
        <v>44074</v>
      </c>
      <c r="C462" s="1" t="str">
        <f t="shared" si="21"/>
        <v>agosto</v>
      </c>
      <c r="D462">
        <v>98</v>
      </c>
      <c r="E462" t="s">
        <v>26</v>
      </c>
      <c r="F462" t="s">
        <v>50</v>
      </c>
      <c r="G462" s="8">
        <v>31</v>
      </c>
      <c r="H462" s="2">
        <v>99</v>
      </c>
      <c r="I462" s="2">
        <v>3069</v>
      </c>
      <c r="J462" s="4">
        <v>0.11</v>
      </c>
      <c r="K462" s="2">
        <v>2731.41</v>
      </c>
      <c r="L462" s="2">
        <f t="shared" si="22"/>
        <v>337.59000000000015</v>
      </c>
      <c r="M462" s="1">
        <v>44081</v>
      </c>
      <c r="N462" s="1">
        <v>44081</v>
      </c>
      <c r="O462">
        <v>461</v>
      </c>
      <c r="P462">
        <v>7</v>
      </c>
      <c r="Q462" t="s">
        <v>43</v>
      </c>
      <c r="R462" s="3">
        <v>0.09</v>
      </c>
      <c r="S462" s="2">
        <v>245.82689999999997</v>
      </c>
      <c r="T462">
        <v>6</v>
      </c>
      <c r="U462" t="str">
        <f t="shared" si="23"/>
        <v>Agosto</v>
      </c>
    </row>
    <row r="463" spans="1:21">
      <c r="A463">
        <v>462</v>
      </c>
      <c r="B463" s="1">
        <v>44075</v>
      </c>
      <c r="C463" s="1" t="str">
        <f t="shared" si="21"/>
        <v>setembro</v>
      </c>
      <c r="D463">
        <v>41</v>
      </c>
      <c r="E463" t="s">
        <v>68</v>
      </c>
      <c r="F463" t="s">
        <v>54</v>
      </c>
      <c r="G463" s="8">
        <v>36</v>
      </c>
      <c r="H463" s="2">
        <v>108</v>
      </c>
      <c r="I463" s="2">
        <v>3888</v>
      </c>
      <c r="J463" s="4">
        <v>0.02</v>
      </c>
      <c r="K463" s="2">
        <v>3810.24</v>
      </c>
      <c r="L463" s="2">
        <f t="shared" si="22"/>
        <v>77.760000000000218</v>
      </c>
      <c r="M463" s="1">
        <v>44094</v>
      </c>
      <c r="N463" s="1">
        <v>44094</v>
      </c>
      <c r="O463">
        <v>462</v>
      </c>
      <c r="P463">
        <v>4</v>
      </c>
      <c r="Q463" t="s">
        <v>32</v>
      </c>
      <c r="R463" s="3">
        <v>7.0000000000000007E-2</v>
      </c>
      <c r="S463" s="2">
        <v>266.71680000000003</v>
      </c>
      <c r="T463">
        <v>7</v>
      </c>
      <c r="U463" t="str">
        <f t="shared" si="23"/>
        <v>Setembro</v>
      </c>
    </row>
    <row r="464" spans="1:21">
      <c r="A464">
        <v>463</v>
      </c>
      <c r="B464" s="1">
        <v>44075</v>
      </c>
      <c r="C464" s="1" t="str">
        <f t="shared" si="21"/>
        <v>setembro</v>
      </c>
      <c r="D464">
        <v>51</v>
      </c>
      <c r="E464" t="s">
        <v>53</v>
      </c>
      <c r="F464" t="s">
        <v>24</v>
      </c>
      <c r="G464" s="8">
        <v>17</v>
      </c>
      <c r="H464" s="2">
        <v>99</v>
      </c>
      <c r="I464" s="2">
        <v>1683</v>
      </c>
      <c r="J464" s="4">
        <v>0.12</v>
      </c>
      <c r="K464" s="2">
        <v>1481.04</v>
      </c>
      <c r="L464" s="2">
        <f t="shared" si="22"/>
        <v>201.96000000000004</v>
      </c>
      <c r="M464" s="1">
        <v>44080</v>
      </c>
      <c r="N464" s="1">
        <v>44080</v>
      </c>
      <c r="O464">
        <v>463</v>
      </c>
      <c r="P464">
        <v>3</v>
      </c>
      <c r="Q464" t="s">
        <v>32</v>
      </c>
      <c r="R464" s="3">
        <v>0.05</v>
      </c>
      <c r="S464" s="2">
        <v>74.052000000000007</v>
      </c>
      <c r="T464">
        <v>1</v>
      </c>
      <c r="U464" t="str">
        <f t="shared" si="23"/>
        <v>Setembro</v>
      </c>
    </row>
    <row r="465" spans="1:21">
      <c r="A465">
        <v>464</v>
      </c>
      <c r="B465" s="1">
        <v>44075</v>
      </c>
      <c r="C465" s="1" t="str">
        <f t="shared" si="21"/>
        <v>setembro</v>
      </c>
      <c r="D465">
        <v>10</v>
      </c>
      <c r="E465" t="s">
        <v>89</v>
      </c>
      <c r="F465" t="s">
        <v>31</v>
      </c>
      <c r="G465" s="8">
        <v>16</v>
      </c>
      <c r="H465" s="2">
        <v>114</v>
      </c>
      <c r="I465" s="2">
        <v>1824</v>
      </c>
      <c r="J465" s="4">
        <v>0.08</v>
      </c>
      <c r="K465" s="2">
        <v>1678.08</v>
      </c>
      <c r="L465" s="2">
        <f t="shared" si="22"/>
        <v>145.92000000000007</v>
      </c>
      <c r="M465" s="1">
        <v>44094</v>
      </c>
      <c r="N465" s="1">
        <v>44094</v>
      </c>
      <c r="O465">
        <v>464</v>
      </c>
      <c r="P465">
        <v>4</v>
      </c>
      <c r="Q465" t="s">
        <v>52</v>
      </c>
      <c r="R465" s="3">
        <v>0.09</v>
      </c>
      <c r="S465" s="2">
        <v>151.02719999999999</v>
      </c>
      <c r="T465">
        <v>2</v>
      </c>
      <c r="U465" t="str">
        <f t="shared" si="23"/>
        <v>Setembro</v>
      </c>
    </row>
    <row r="466" spans="1:21">
      <c r="A466">
        <v>465</v>
      </c>
      <c r="B466" s="1">
        <v>44075</v>
      </c>
      <c r="C466" s="1" t="str">
        <f t="shared" si="21"/>
        <v>setembro</v>
      </c>
      <c r="D466">
        <v>96</v>
      </c>
      <c r="E466" t="s">
        <v>42</v>
      </c>
      <c r="F466" t="s">
        <v>21</v>
      </c>
      <c r="G466" s="8">
        <v>12</v>
      </c>
      <c r="H466" s="2">
        <v>91</v>
      </c>
      <c r="I466" s="2">
        <v>1092</v>
      </c>
      <c r="J466" s="4">
        <v>0.12</v>
      </c>
      <c r="K466" s="2">
        <v>960.96</v>
      </c>
      <c r="L466" s="2">
        <f t="shared" si="22"/>
        <v>131.03999999999996</v>
      </c>
      <c r="M466" s="1">
        <v>44079</v>
      </c>
      <c r="N466" s="1">
        <v>44079</v>
      </c>
      <c r="O466">
        <v>465</v>
      </c>
      <c r="P466">
        <v>4</v>
      </c>
      <c r="Q466" t="s">
        <v>34</v>
      </c>
      <c r="R466" s="3">
        <v>0.08</v>
      </c>
      <c r="S466" s="2">
        <v>76.876800000000003</v>
      </c>
      <c r="T466">
        <v>3</v>
      </c>
      <c r="U466" t="str">
        <f t="shared" si="23"/>
        <v>Setembro</v>
      </c>
    </row>
    <row r="467" spans="1:21">
      <c r="A467">
        <v>466</v>
      </c>
      <c r="B467" s="1">
        <v>44076</v>
      </c>
      <c r="C467" s="1" t="str">
        <f t="shared" si="21"/>
        <v>setembro</v>
      </c>
      <c r="D467">
        <v>100</v>
      </c>
      <c r="E467" t="s">
        <v>38</v>
      </c>
      <c r="F467" t="s">
        <v>41</v>
      </c>
      <c r="G467" s="8">
        <v>28</v>
      </c>
      <c r="H467" s="2">
        <v>95</v>
      </c>
      <c r="I467" s="2">
        <v>2660</v>
      </c>
      <c r="J467" s="4">
        <v>0</v>
      </c>
      <c r="K467" s="2">
        <v>2660</v>
      </c>
      <c r="L467" s="2">
        <f t="shared" si="22"/>
        <v>0</v>
      </c>
      <c r="M467" s="1">
        <v>44099</v>
      </c>
      <c r="N467" s="1">
        <v>44099</v>
      </c>
      <c r="O467">
        <v>466</v>
      </c>
      <c r="P467">
        <v>4</v>
      </c>
      <c r="Q467" t="s">
        <v>47</v>
      </c>
      <c r="R467" s="3">
        <v>0.06</v>
      </c>
      <c r="S467" s="2">
        <v>159.6</v>
      </c>
      <c r="T467">
        <v>4</v>
      </c>
      <c r="U467" t="str">
        <f t="shared" si="23"/>
        <v>Setembro</v>
      </c>
    </row>
    <row r="468" spans="1:21">
      <c r="A468">
        <v>467</v>
      </c>
      <c r="B468" s="1">
        <v>44076</v>
      </c>
      <c r="C468" s="1" t="str">
        <f t="shared" si="21"/>
        <v>setembro</v>
      </c>
      <c r="D468">
        <v>52</v>
      </c>
      <c r="E468" t="s">
        <v>23</v>
      </c>
      <c r="F468" t="s">
        <v>28</v>
      </c>
      <c r="G468" s="8">
        <v>34</v>
      </c>
      <c r="H468" s="2">
        <v>99</v>
      </c>
      <c r="I468" s="2">
        <v>3366</v>
      </c>
      <c r="J468" s="4">
        <v>0.11</v>
      </c>
      <c r="K468" s="2">
        <v>2995.74</v>
      </c>
      <c r="L468" s="2">
        <f t="shared" si="22"/>
        <v>370.26000000000022</v>
      </c>
      <c r="M468" s="1">
        <v>44082</v>
      </c>
      <c r="N468" s="1">
        <v>44082</v>
      </c>
      <c r="O468">
        <v>467</v>
      </c>
      <c r="P468">
        <v>4</v>
      </c>
      <c r="Q468" t="s">
        <v>47</v>
      </c>
      <c r="R468" s="3">
        <v>0.05</v>
      </c>
      <c r="S468" s="2">
        <v>149.78700000000001</v>
      </c>
      <c r="T468">
        <v>5</v>
      </c>
      <c r="U468" t="str">
        <f t="shared" si="23"/>
        <v>Setembro</v>
      </c>
    </row>
    <row r="469" spans="1:21">
      <c r="A469">
        <v>468</v>
      </c>
      <c r="B469" s="1">
        <v>44077</v>
      </c>
      <c r="C469" s="1" t="str">
        <f t="shared" si="21"/>
        <v>setembro</v>
      </c>
      <c r="D469">
        <v>40</v>
      </c>
      <c r="E469" t="s">
        <v>49</v>
      </c>
      <c r="F469" t="s">
        <v>21</v>
      </c>
      <c r="G469" s="8">
        <v>48</v>
      </c>
      <c r="H469" s="2">
        <v>112</v>
      </c>
      <c r="I469" s="2">
        <v>5376</v>
      </c>
      <c r="J469" s="4">
        <v>0.01</v>
      </c>
      <c r="K469" s="2">
        <v>5322.24</v>
      </c>
      <c r="L469" s="2">
        <f t="shared" si="22"/>
        <v>53.760000000000218</v>
      </c>
      <c r="M469" s="1">
        <v>44107</v>
      </c>
      <c r="N469" s="1">
        <v>44107</v>
      </c>
      <c r="O469">
        <v>468</v>
      </c>
      <c r="P469">
        <v>4</v>
      </c>
      <c r="Q469" t="s">
        <v>22</v>
      </c>
      <c r="R469" s="3">
        <v>0.05</v>
      </c>
      <c r="S469" s="2">
        <v>266.11200000000002</v>
      </c>
      <c r="T469">
        <v>6</v>
      </c>
      <c r="U469" t="str">
        <f t="shared" si="23"/>
        <v>Setembro</v>
      </c>
    </row>
    <row r="470" spans="1:21">
      <c r="A470">
        <v>469</v>
      </c>
      <c r="B470" s="1">
        <v>44077</v>
      </c>
      <c r="C470" s="1" t="str">
        <f t="shared" si="21"/>
        <v>setembro</v>
      </c>
      <c r="D470">
        <v>6</v>
      </c>
      <c r="E470" t="s">
        <v>88</v>
      </c>
      <c r="F470" t="s">
        <v>28</v>
      </c>
      <c r="G470" s="8">
        <v>45</v>
      </c>
      <c r="H470" s="2">
        <v>118</v>
      </c>
      <c r="I470" s="2">
        <v>5310</v>
      </c>
      <c r="J470" s="4">
        <v>0.01</v>
      </c>
      <c r="K470" s="2">
        <v>5256.9</v>
      </c>
      <c r="L470" s="2">
        <f t="shared" si="22"/>
        <v>53.100000000000364</v>
      </c>
      <c r="M470" s="1">
        <v>44080</v>
      </c>
      <c r="N470" s="1">
        <v>44080</v>
      </c>
      <c r="O470">
        <v>469</v>
      </c>
      <c r="P470">
        <v>4</v>
      </c>
      <c r="Q470" t="s">
        <v>25</v>
      </c>
      <c r="R470" s="3">
        <v>0.05</v>
      </c>
      <c r="S470" s="2">
        <v>262.84499999999997</v>
      </c>
      <c r="T470">
        <v>7</v>
      </c>
      <c r="U470" t="str">
        <f t="shared" si="23"/>
        <v>Setembro</v>
      </c>
    </row>
    <row r="471" spans="1:21">
      <c r="A471">
        <v>470</v>
      </c>
      <c r="B471" s="1">
        <v>44079</v>
      </c>
      <c r="C471" s="1" t="str">
        <f t="shared" si="21"/>
        <v>setembro</v>
      </c>
      <c r="D471">
        <v>59</v>
      </c>
      <c r="E471" t="s">
        <v>97</v>
      </c>
      <c r="F471" t="s">
        <v>24</v>
      </c>
      <c r="G471" s="8">
        <v>19</v>
      </c>
      <c r="H471" s="2">
        <v>108</v>
      </c>
      <c r="I471" s="2">
        <v>2052</v>
      </c>
      <c r="J471" s="4">
        <v>0.09</v>
      </c>
      <c r="K471" s="2">
        <v>1867.32</v>
      </c>
      <c r="L471" s="2">
        <f t="shared" si="22"/>
        <v>184.68000000000006</v>
      </c>
      <c r="M471" s="1">
        <v>44097</v>
      </c>
      <c r="N471" s="1">
        <v>44097</v>
      </c>
      <c r="O471">
        <v>470</v>
      </c>
      <c r="P471">
        <v>3</v>
      </c>
      <c r="Q471" t="s">
        <v>22</v>
      </c>
      <c r="R471" s="3">
        <v>7.0000000000000007E-2</v>
      </c>
      <c r="S471" s="2">
        <v>130.7124</v>
      </c>
      <c r="T471">
        <v>1</v>
      </c>
      <c r="U471" t="str">
        <f t="shared" si="23"/>
        <v>Setembro</v>
      </c>
    </row>
    <row r="472" spans="1:21">
      <c r="A472">
        <v>471</v>
      </c>
      <c r="B472" s="1">
        <v>44080</v>
      </c>
      <c r="C472" s="1" t="str">
        <f t="shared" si="21"/>
        <v>setembro</v>
      </c>
      <c r="D472">
        <v>20</v>
      </c>
      <c r="E472" t="s">
        <v>39</v>
      </c>
      <c r="F472" t="s">
        <v>46</v>
      </c>
      <c r="G472" s="8">
        <v>47</v>
      </c>
      <c r="H472" s="2">
        <v>91</v>
      </c>
      <c r="I472" s="2">
        <v>4277</v>
      </c>
      <c r="J472" s="4">
        <v>0.13</v>
      </c>
      <c r="K472" s="2">
        <v>3720.99</v>
      </c>
      <c r="L472" s="2">
        <f t="shared" si="22"/>
        <v>556.01000000000022</v>
      </c>
      <c r="M472" s="1">
        <v>44080</v>
      </c>
      <c r="N472" s="1">
        <v>44080</v>
      </c>
      <c r="O472">
        <v>471</v>
      </c>
      <c r="P472">
        <v>5</v>
      </c>
      <c r="Q472" t="s">
        <v>25</v>
      </c>
      <c r="R472" s="3">
        <v>7.0000000000000007E-2</v>
      </c>
      <c r="S472" s="2">
        <v>260.46930000000003</v>
      </c>
      <c r="T472">
        <v>2</v>
      </c>
      <c r="U472" t="str">
        <f t="shared" si="23"/>
        <v>Setembro</v>
      </c>
    </row>
    <row r="473" spans="1:21">
      <c r="A473">
        <v>472</v>
      </c>
      <c r="B473" s="1">
        <v>44080</v>
      </c>
      <c r="C473" s="1" t="str">
        <f t="shared" si="21"/>
        <v>setembro</v>
      </c>
      <c r="D473">
        <v>49</v>
      </c>
      <c r="E473" t="s">
        <v>38</v>
      </c>
      <c r="F473" t="s">
        <v>41</v>
      </c>
      <c r="G473" s="8">
        <v>20</v>
      </c>
      <c r="H473" s="2">
        <v>100</v>
      </c>
      <c r="I473" s="2">
        <v>2000</v>
      </c>
      <c r="J473" s="4">
        <v>0.14000000000000001</v>
      </c>
      <c r="K473" s="2">
        <v>1720</v>
      </c>
      <c r="L473" s="2">
        <f t="shared" si="22"/>
        <v>280</v>
      </c>
      <c r="M473" s="1">
        <v>44102</v>
      </c>
      <c r="N473" s="1">
        <v>44102</v>
      </c>
      <c r="O473">
        <v>472</v>
      </c>
      <c r="P473">
        <v>4</v>
      </c>
      <c r="Q473" t="s">
        <v>47</v>
      </c>
      <c r="R473" s="3">
        <v>0.09</v>
      </c>
      <c r="S473" s="2">
        <v>154.79999999999998</v>
      </c>
      <c r="T473">
        <v>3</v>
      </c>
      <c r="U473" t="str">
        <f t="shared" si="23"/>
        <v>Setembro</v>
      </c>
    </row>
    <row r="474" spans="1:21">
      <c r="A474">
        <v>473</v>
      </c>
      <c r="B474" s="1">
        <v>44081</v>
      </c>
      <c r="C474" s="1" t="str">
        <f t="shared" si="21"/>
        <v>setembro</v>
      </c>
      <c r="D474">
        <v>29</v>
      </c>
      <c r="E474" t="s">
        <v>98</v>
      </c>
      <c r="F474" t="s">
        <v>28</v>
      </c>
      <c r="G474" s="8">
        <v>37</v>
      </c>
      <c r="H474" s="2">
        <v>117</v>
      </c>
      <c r="I474" s="2">
        <v>4329</v>
      </c>
      <c r="J474" s="4">
        <v>0.11</v>
      </c>
      <c r="K474" s="2">
        <v>3852.81</v>
      </c>
      <c r="L474" s="2">
        <f t="shared" si="22"/>
        <v>476.19000000000005</v>
      </c>
      <c r="M474" s="1">
        <v>44097</v>
      </c>
      <c r="N474" s="1">
        <v>44097</v>
      </c>
      <c r="O474">
        <v>473</v>
      </c>
      <c r="P474">
        <v>4</v>
      </c>
      <c r="Q474" t="s">
        <v>37</v>
      </c>
      <c r="R474" s="3">
        <v>7.0000000000000007E-2</v>
      </c>
      <c r="S474" s="2">
        <v>269.69670000000002</v>
      </c>
      <c r="T474">
        <v>4</v>
      </c>
      <c r="U474" t="str">
        <f t="shared" si="23"/>
        <v>Setembro</v>
      </c>
    </row>
    <row r="475" spans="1:21">
      <c r="A475">
        <v>474</v>
      </c>
      <c r="B475" s="1">
        <v>44082</v>
      </c>
      <c r="C475" s="1" t="str">
        <f t="shared" si="21"/>
        <v>setembro</v>
      </c>
      <c r="D475">
        <v>45</v>
      </c>
      <c r="E475" t="s">
        <v>38</v>
      </c>
      <c r="F475" t="s">
        <v>31</v>
      </c>
      <c r="G475" s="8">
        <v>49</v>
      </c>
      <c r="H475" s="2">
        <v>93</v>
      </c>
      <c r="I475" s="2">
        <v>4557</v>
      </c>
      <c r="J475" s="4">
        <v>0</v>
      </c>
      <c r="K475" s="2">
        <v>4557</v>
      </c>
      <c r="L475" s="2">
        <f t="shared" si="22"/>
        <v>0</v>
      </c>
      <c r="M475" s="1">
        <v>44103</v>
      </c>
      <c r="N475" s="1">
        <v>44103</v>
      </c>
      <c r="O475">
        <v>474</v>
      </c>
      <c r="P475">
        <v>4</v>
      </c>
      <c r="Q475" t="s">
        <v>52</v>
      </c>
      <c r="R475" s="3">
        <v>0.1</v>
      </c>
      <c r="S475" s="2">
        <v>455.70000000000005</v>
      </c>
      <c r="T475">
        <v>5</v>
      </c>
      <c r="U475" t="str">
        <f t="shared" si="23"/>
        <v>Setembro</v>
      </c>
    </row>
    <row r="476" spans="1:21">
      <c r="A476">
        <v>475</v>
      </c>
      <c r="B476" s="1">
        <v>44083</v>
      </c>
      <c r="C476" s="1" t="str">
        <f t="shared" si="21"/>
        <v>setembro</v>
      </c>
      <c r="D476">
        <v>8</v>
      </c>
      <c r="E476" t="s">
        <v>38</v>
      </c>
      <c r="F476" t="s">
        <v>31</v>
      </c>
      <c r="G476" s="8">
        <v>21</v>
      </c>
      <c r="H476" s="2">
        <v>117</v>
      </c>
      <c r="I476" s="2">
        <v>2457</v>
      </c>
      <c r="J476" s="4">
        <v>0.12</v>
      </c>
      <c r="K476" s="2">
        <v>2162.16</v>
      </c>
      <c r="L476" s="2">
        <f t="shared" si="22"/>
        <v>294.84000000000015</v>
      </c>
      <c r="M476" s="1">
        <v>44098</v>
      </c>
      <c r="N476" s="1">
        <v>44098</v>
      </c>
      <c r="O476">
        <v>475</v>
      </c>
      <c r="P476">
        <v>4</v>
      </c>
      <c r="Q476" t="s">
        <v>25</v>
      </c>
      <c r="R476" s="3">
        <v>0.08</v>
      </c>
      <c r="S476" s="2">
        <v>172.97279999999998</v>
      </c>
      <c r="T476">
        <v>6</v>
      </c>
      <c r="U476" t="str">
        <f t="shared" si="23"/>
        <v>Setembro</v>
      </c>
    </row>
    <row r="477" spans="1:21">
      <c r="A477">
        <v>476</v>
      </c>
      <c r="B477" s="1">
        <v>44083</v>
      </c>
      <c r="C477" s="1" t="str">
        <f t="shared" si="21"/>
        <v>setembro</v>
      </c>
      <c r="D477">
        <v>71</v>
      </c>
      <c r="E477" t="s">
        <v>20</v>
      </c>
      <c r="F477" t="s">
        <v>28</v>
      </c>
      <c r="G477" s="8">
        <v>27</v>
      </c>
      <c r="H477" s="2">
        <v>111</v>
      </c>
      <c r="I477" s="2">
        <v>2997</v>
      </c>
      <c r="J477" s="4">
        <v>0.15</v>
      </c>
      <c r="K477" s="2">
        <v>2547.4499999999998</v>
      </c>
      <c r="L477" s="2">
        <f t="shared" si="22"/>
        <v>449.55000000000018</v>
      </c>
      <c r="M477" s="1">
        <v>44103</v>
      </c>
      <c r="N477" s="1">
        <v>44103</v>
      </c>
      <c r="O477">
        <v>476</v>
      </c>
      <c r="P477">
        <v>7</v>
      </c>
      <c r="Q477" t="s">
        <v>52</v>
      </c>
      <c r="R477" s="3">
        <v>0.05</v>
      </c>
      <c r="S477" s="2">
        <v>127.3725</v>
      </c>
      <c r="T477">
        <v>7</v>
      </c>
      <c r="U477" t="str">
        <f t="shared" si="23"/>
        <v>Setembro</v>
      </c>
    </row>
    <row r="478" spans="1:21">
      <c r="A478">
        <v>477</v>
      </c>
      <c r="B478" s="1">
        <v>44083</v>
      </c>
      <c r="C478" s="1" t="str">
        <f t="shared" si="21"/>
        <v>setembro</v>
      </c>
      <c r="D478">
        <v>17</v>
      </c>
      <c r="E478" t="s">
        <v>67</v>
      </c>
      <c r="F478" t="s">
        <v>24</v>
      </c>
      <c r="G478" s="8">
        <v>34</v>
      </c>
      <c r="H478" s="2">
        <v>98</v>
      </c>
      <c r="I478" s="2">
        <v>3332</v>
      </c>
      <c r="J478" s="4">
        <v>0.15</v>
      </c>
      <c r="K478" s="2">
        <v>2832.2</v>
      </c>
      <c r="L478" s="2">
        <f t="shared" si="22"/>
        <v>499.80000000000018</v>
      </c>
      <c r="M478" s="1">
        <v>44093</v>
      </c>
      <c r="N478" s="1">
        <v>44093</v>
      </c>
      <c r="O478">
        <v>477</v>
      </c>
      <c r="P478">
        <v>7</v>
      </c>
      <c r="Q478" t="s">
        <v>47</v>
      </c>
      <c r="R478" s="3">
        <v>0.1</v>
      </c>
      <c r="S478" s="2">
        <v>283.21999999999997</v>
      </c>
      <c r="T478">
        <v>1</v>
      </c>
      <c r="U478" t="str">
        <f t="shared" si="23"/>
        <v>Setembro</v>
      </c>
    </row>
    <row r="479" spans="1:21">
      <c r="A479">
        <v>478</v>
      </c>
      <c r="B479" s="1">
        <v>44084</v>
      </c>
      <c r="C479" s="1" t="str">
        <f t="shared" si="21"/>
        <v>setembro</v>
      </c>
      <c r="D479">
        <v>22</v>
      </c>
      <c r="E479" t="s">
        <v>51</v>
      </c>
      <c r="F479" t="s">
        <v>50</v>
      </c>
      <c r="G479" s="8">
        <v>35</v>
      </c>
      <c r="H479" s="2">
        <v>118</v>
      </c>
      <c r="I479" s="2">
        <v>4130</v>
      </c>
      <c r="J479" s="4">
        <v>0.15</v>
      </c>
      <c r="K479" s="2">
        <v>3510.5</v>
      </c>
      <c r="L479" s="2">
        <f t="shared" si="22"/>
        <v>619.5</v>
      </c>
      <c r="M479" s="1">
        <v>44104</v>
      </c>
      <c r="N479" s="1">
        <v>44104</v>
      </c>
      <c r="O479">
        <v>478</v>
      </c>
      <c r="P479">
        <v>7</v>
      </c>
      <c r="Q479" t="s">
        <v>47</v>
      </c>
      <c r="R479" s="3">
        <v>0.09</v>
      </c>
      <c r="S479" s="2">
        <v>315.94499999999999</v>
      </c>
      <c r="T479">
        <v>2</v>
      </c>
      <c r="U479" t="str">
        <f t="shared" si="23"/>
        <v>Setembro</v>
      </c>
    </row>
    <row r="480" spans="1:21">
      <c r="A480">
        <v>479</v>
      </c>
      <c r="B480" s="1">
        <v>44084</v>
      </c>
      <c r="C480" s="1" t="str">
        <f t="shared" si="21"/>
        <v>setembro</v>
      </c>
      <c r="D480">
        <v>3</v>
      </c>
      <c r="E480" t="s">
        <v>91</v>
      </c>
      <c r="F480" t="s">
        <v>24</v>
      </c>
      <c r="G480" s="8">
        <v>34</v>
      </c>
      <c r="H480" s="2">
        <v>96</v>
      </c>
      <c r="I480" s="2">
        <v>3264</v>
      </c>
      <c r="J480" s="4">
        <v>0.1</v>
      </c>
      <c r="K480" s="2">
        <v>2937.6</v>
      </c>
      <c r="L480" s="2">
        <f t="shared" si="22"/>
        <v>326.40000000000009</v>
      </c>
      <c r="M480" s="1">
        <v>44091</v>
      </c>
      <c r="N480" s="1">
        <v>44091</v>
      </c>
      <c r="O480">
        <v>479</v>
      </c>
      <c r="P480">
        <v>7</v>
      </c>
      <c r="Q480" t="s">
        <v>22</v>
      </c>
      <c r="R480" s="3">
        <v>0.1</v>
      </c>
      <c r="S480" s="2">
        <v>293.76</v>
      </c>
      <c r="T480">
        <v>3</v>
      </c>
      <c r="U480" t="str">
        <f t="shared" si="23"/>
        <v>Setembro</v>
      </c>
    </row>
    <row r="481" spans="1:21">
      <c r="A481">
        <v>480</v>
      </c>
      <c r="B481" s="1">
        <v>44085</v>
      </c>
      <c r="C481" s="1" t="str">
        <f t="shared" si="21"/>
        <v>setembro</v>
      </c>
      <c r="D481">
        <v>19</v>
      </c>
      <c r="E481" t="s">
        <v>38</v>
      </c>
      <c r="F481" t="s">
        <v>28</v>
      </c>
      <c r="G481" s="8">
        <v>12</v>
      </c>
      <c r="H481" s="2">
        <v>106</v>
      </c>
      <c r="I481" s="2">
        <v>1272</v>
      </c>
      <c r="J481" s="4">
        <v>0.12</v>
      </c>
      <c r="K481" s="2">
        <v>1119.3600000000001</v>
      </c>
      <c r="L481" s="2">
        <f t="shared" si="22"/>
        <v>152.63999999999987</v>
      </c>
      <c r="M481" s="1">
        <v>44115</v>
      </c>
      <c r="N481" s="1">
        <v>44115</v>
      </c>
      <c r="O481">
        <v>480</v>
      </c>
      <c r="P481">
        <v>1</v>
      </c>
      <c r="Q481" t="s">
        <v>37</v>
      </c>
      <c r="R481" s="3">
        <v>0.1</v>
      </c>
      <c r="S481" s="2">
        <v>111.93600000000002</v>
      </c>
      <c r="T481">
        <v>4</v>
      </c>
      <c r="U481" t="str">
        <f t="shared" si="23"/>
        <v>Setembro</v>
      </c>
    </row>
    <row r="482" spans="1:21">
      <c r="A482">
        <v>481</v>
      </c>
      <c r="B482" s="1">
        <v>44085</v>
      </c>
      <c r="C482" s="1" t="str">
        <f t="shared" si="21"/>
        <v>setembro</v>
      </c>
      <c r="D482">
        <v>18</v>
      </c>
      <c r="E482" t="s">
        <v>83</v>
      </c>
      <c r="F482" t="s">
        <v>50</v>
      </c>
      <c r="G482" s="8">
        <v>46</v>
      </c>
      <c r="H482" s="2">
        <v>105</v>
      </c>
      <c r="I482" s="2">
        <v>4830</v>
      </c>
      <c r="J482" s="4">
        <v>0.06</v>
      </c>
      <c r="K482" s="2">
        <v>4540.2</v>
      </c>
      <c r="L482" s="2">
        <f t="shared" si="22"/>
        <v>289.80000000000018</v>
      </c>
      <c r="M482" s="1">
        <v>44114</v>
      </c>
      <c r="N482" s="1">
        <v>44114</v>
      </c>
      <c r="O482">
        <v>481</v>
      </c>
      <c r="P482">
        <v>1</v>
      </c>
      <c r="Q482" t="s">
        <v>37</v>
      </c>
      <c r="R482" s="3">
        <v>7.0000000000000007E-2</v>
      </c>
      <c r="S482" s="2">
        <v>317.81400000000002</v>
      </c>
      <c r="T482">
        <v>5</v>
      </c>
      <c r="U482" t="str">
        <f t="shared" si="23"/>
        <v>Setembro</v>
      </c>
    </row>
    <row r="483" spans="1:21">
      <c r="A483">
        <v>482</v>
      </c>
      <c r="B483" s="1">
        <v>44086</v>
      </c>
      <c r="C483" s="1" t="str">
        <f t="shared" si="21"/>
        <v>setembro</v>
      </c>
      <c r="D483">
        <v>27</v>
      </c>
      <c r="E483" t="s">
        <v>101</v>
      </c>
      <c r="F483" t="s">
        <v>55</v>
      </c>
      <c r="G483" s="8">
        <v>42</v>
      </c>
      <c r="H483" s="2">
        <v>95</v>
      </c>
      <c r="I483" s="2">
        <v>3990</v>
      </c>
      <c r="J483" s="4">
        <v>0.02</v>
      </c>
      <c r="K483" s="2">
        <v>3910.2</v>
      </c>
      <c r="L483" s="2">
        <f t="shared" si="22"/>
        <v>79.800000000000182</v>
      </c>
      <c r="M483" s="1">
        <v>44095</v>
      </c>
      <c r="N483" s="1">
        <v>44095</v>
      </c>
      <c r="O483">
        <v>482</v>
      </c>
      <c r="P483">
        <v>4</v>
      </c>
      <c r="Q483" t="s">
        <v>43</v>
      </c>
      <c r="R483" s="3">
        <v>0.05</v>
      </c>
      <c r="S483" s="2">
        <v>195.51</v>
      </c>
      <c r="T483">
        <v>6</v>
      </c>
      <c r="U483" t="str">
        <f t="shared" si="23"/>
        <v>Setembro</v>
      </c>
    </row>
    <row r="484" spans="1:21">
      <c r="A484">
        <v>483</v>
      </c>
      <c r="B484" s="1">
        <v>44086</v>
      </c>
      <c r="C484" s="1" t="str">
        <f t="shared" si="21"/>
        <v>setembro</v>
      </c>
      <c r="D484">
        <v>61</v>
      </c>
      <c r="E484" t="s">
        <v>56</v>
      </c>
      <c r="F484" t="s">
        <v>46</v>
      </c>
      <c r="G484" s="8">
        <v>36</v>
      </c>
      <c r="H484" s="2">
        <v>104</v>
      </c>
      <c r="I484" s="2">
        <v>3744</v>
      </c>
      <c r="J484" s="4">
        <v>0.13</v>
      </c>
      <c r="K484" s="2">
        <v>3257.2799999999997</v>
      </c>
      <c r="L484" s="2">
        <f t="shared" si="22"/>
        <v>486.72000000000025</v>
      </c>
      <c r="M484" s="1">
        <v>44097</v>
      </c>
      <c r="N484" s="1">
        <v>44097</v>
      </c>
      <c r="O484">
        <v>483</v>
      </c>
      <c r="P484">
        <v>6</v>
      </c>
      <c r="Q484" t="s">
        <v>25</v>
      </c>
      <c r="R484" s="3">
        <v>0.09</v>
      </c>
      <c r="S484" s="2">
        <v>293.15519999999998</v>
      </c>
      <c r="T484">
        <v>7</v>
      </c>
      <c r="U484" t="str">
        <f t="shared" si="23"/>
        <v>Setembro</v>
      </c>
    </row>
    <row r="485" spans="1:21">
      <c r="A485">
        <v>484</v>
      </c>
      <c r="B485" s="1">
        <v>44086</v>
      </c>
      <c r="C485" s="1" t="str">
        <f t="shared" si="21"/>
        <v>setembro</v>
      </c>
      <c r="D485">
        <v>72</v>
      </c>
      <c r="E485" t="s">
        <v>38</v>
      </c>
      <c r="F485" t="s">
        <v>50</v>
      </c>
      <c r="G485" s="8">
        <v>24</v>
      </c>
      <c r="H485" s="2">
        <v>112</v>
      </c>
      <c r="I485" s="2">
        <v>2688</v>
      </c>
      <c r="J485" s="4">
        <v>7.0000000000000007E-2</v>
      </c>
      <c r="K485" s="2">
        <v>2499.84</v>
      </c>
      <c r="L485" s="2">
        <f t="shared" si="22"/>
        <v>188.15999999999985</v>
      </c>
      <c r="M485" s="1">
        <v>44109</v>
      </c>
      <c r="N485" s="1">
        <v>44109</v>
      </c>
      <c r="O485">
        <v>484</v>
      </c>
      <c r="P485">
        <v>7</v>
      </c>
      <c r="Q485" t="s">
        <v>32</v>
      </c>
      <c r="R485" s="3">
        <v>0.08</v>
      </c>
      <c r="S485" s="2">
        <v>199.98720000000003</v>
      </c>
      <c r="T485">
        <v>1</v>
      </c>
      <c r="U485" t="str">
        <f t="shared" si="23"/>
        <v>Setembro</v>
      </c>
    </row>
    <row r="486" spans="1:21">
      <c r="A486">
        <v>485</v>
      </c>
      <c r="B486" s="1">
        <v>44087</v>
      </c>
      <c r="C486" s="1" t="str">
        <f t="shared" si="21"/>
        <v>setembro</v>
      </c>
      <c r="D486">
        <v>77</v>
      </c>
      <c r="E486" t="s">
        <v>65</v>
      </c>
      <c r="F486" t="s">
        <v>46</v>
      </c>
      <c r="G486" s="8">
        <v>11</v>
      </c>
      <c r="H486" s="2">
        <v>90</v>
      </c>
      <c r="I486" s="2">
        <v>990</v>
      </c>
      <c r="J486" s="4">
        <v>0.08</v>
      </c>
      <c r="K486" s="2">
        <v>910.8</v>
      </c>
      <c r="L486" s="2">
        <f t="shared" si="22"/>
        <v>79.200000000000045</v>
      </c>
      <c r="M486" s="1">
        <v>44102</v>
      </c>
      <c r="N486" s="1">
        <v>44102</v>
      </c>
      <c r="O486">
        <v>485</v>
      </c>
      <c r="P486">
        <v>5</v>
      </c>
      <c r="Q486" t="s">
        <v>34</v>
      </c>
      <c r="R486" s="3">
        <v>0.09</v>
      </c>
      <c r="S486" s="2">
        <v>81.971999999999994</v>
      </c>
      <c r="T486">
        <v>2</v>
      </c>
      <c r="U486" t="str">
        <f t="shared" si="23"/>
        <v>Setembro</v>
      </c>
    </row>
    <row r="487" spans="1:21">
      <c r="A487">
        <v>486</v>
      </c>
      <c r="B487" s="1">
        <v>44088</v>
      </c>
      <c r="C487" s="1" t="str">
        <f t="shared" si="21"/>
        <v>setembro</v>
      </c>
      <c r="D487">
        <v>77</v>
      </c>
      <c r="E487" t="s">
        <v>65</v>
      </c>
      <c r="F487" t="s">
        <v>31</v>
      </c>
      <c r="G487" s="8">
        <v>44</v>
      </c>
      <c r="H487" s="2">
        <v>98</v>
      </c>
      <c r="I487" s="2">
        <v>4312</v>
      </c>
      <c r="J487" s="4">
        <v>0.13</v>
      </c>
      <c r="K487" s="2">
        <v>3751.44</v>
      </c>
      <c r="L487" s="2">
        <f t="shared" si="22"/>
        <v>560.55999999999995</v>
      </c>
      <c r="M487" s="1">
        <v>44106</v>
      </c>
      <c r="N487" s="1">
        <v>44106</v>
      </c>
      <c r="O487">
        <v>486</v>
      </c>
      <c r="P487">
        <v>4</v>
      </c>
      <c r="Q487" t="s">
        <v>47</v>
      </c>
      <c r="R487" s="3">
        <v>0.05</v>
      </c>
      <c r="S487" s="2">
        <v>187.572</v>
      </c>
      <c r="T487">
        <v>3</v>
      </c>
      <c r="U487" t="str">
        <f t="shared" si="23"/>
        <v>Setembro</v>
      </c>
    </row>
    <row r="488" spans="1:21">
      <c r="A488">
        <v>487</v>
      </c>
      <c r="B488" s="1">
        <v>44088</v>
      </c>
      <c r="C488" s="1" t="str">
        <f t="shared" si="21"/>
        <v>setembro</v>
      </c>
      <c r="D488">
        <v>70</v>
      </c>
      <c r="E488" t="s">
        <v>67</v>
      </c>
      <c r="F488" t="s">
        <v>28</v>
      </c>
      <c r="G488" s="8">
        <v>41</v>
      </c>
      <c r="H488" s="2">
        <v>99</v>
      </c>
      <c r="I488" s="2">
        <v>4059</v>
      </c>
      <c r="J488" s="4">
        <v>0.01</v>
      </c>
      <c r="K488" s="2">
        <v>4018.41</v>
      </c>
      <c r="L488" s="2">
        <f t="shared" si="22"/>
        <v>40.590000000000146</v>
      </c>
      <c r="M488" s="1">
        <v>44109</v>
      </c>
      <c r="N488" s="1">
        <v>44109</v>
      </c>
      <c r="O488">
        <v>487</v>
      </c>
      <c r="P488">
        <v>1</v>
      </c>
      <c r="Q488" t="s">
        <v>69</v>
      </c>
      <c r="R488" s="3">
        <v>0.08</v>
      </c>
      <c r="S488" s="2">
        <v>321.47280000000001</v>
      </c>
      <c r="T488">
        <v>4</v>
      </c>
      <c r="U488" t="str">
        <f t="shared" si="23"/>
        <v>Setembro</v>
      </c>
    </row>
    <row r="489" spans="1:21">
      <c r="A489">
        <v>488</v>
      </c>
      <c r="B489" s="1">
        <v>44088</v>
      </c>
      <c r="C489" s="1" t="str">
        <f t="shared" si="21"/>
        <v>setembro</v>
      </c>
      <c r="D489">
        <v>35</v>
      </c>
      <c r="E489" t="s">
        <v>38</v>
      </c>
      <c r="F489" t="s">
        <v>41</v>
      </c>
      <c r="G489" s="8">
        <v>45</v>
      </c>
      <c r="H489" s="2">
        <v>117</v>
      </c>
      <c r="I489" s="2">
        <v>5265</v>
      </c>
      <c r="J489" s="4">
        <v>0.09</v>
      </c>
      <c r="K489" s="2">
        <v>4791.1499999999996</v>
      </c>
      <c r="L489" s="2">
        <f t="shared" si="22"/>
        <v>473.85000000000036</v>
      </c>
      <c r="M489" s="1">
        <v>44108</v>
      </c>
      <c r="N489" s="1">
        <v>44108</v>
      </c>
      <c r="O489">
        <v>488</v>
      </c>
      <c r="P489">
        <v>2</v>
      </c>
      <c r="Q489" t="s">
        <v>69</v>
      </c>
      <c r="R489" s="3">
        <v>0.1</v>
      </c>
      <c r="S489" s="2">
        <v>479.11500000000001</v>
      </c>
      <c r="T489">
        <v>5</v>
      </c>
      <c r="U489" t="str">
        <f t="shared" si="23"/>
        <v>Setembro</v>
      </c>
    </row>
    <row r="490" spans="1:21">
      <c r="A490">
        <v>489</v>
      </c>
      <c r="B490" s="1">
        <v>44089</v>
      </c>
      <c r="C490" s="1" t="str">
        <f t="shared" si="21"/>
        <v>setembro</v>
      </c>
      <c r="D490">
        <v>89</v>
      </c>
      <c r="E490" t="s">
        <v>49</v>
      </c>
      <c r="F490" t="s">
        <v>50</v>
      </c>
      <c r="G490" s="8">
        <v>21</v>
      </c>
      <c r="H490" s="2">
        <v>95</v>
      </c>
      <c r="I490" s="2">
        <v>1995</v>
      </c>
      <c r="J490" s="4">
        <v>0.01</v>
      </c>
      <c r="K490" s="2">
        <v>1975.05</v>
      </c>
      <c r="L490" s="2">
        <f t="shared" si="22"/>
        <v>19.950000000000045</v>
      </c>
      <c r="M490" s="1">
        <v>44113</v>
      </c>
      <c r="N490" s="1">
        <v>44113</v>
      </c>
      <c r="O490">
        <v>489</v>
      </c>
      <c r="P490">
        <v>3</v>
      </c>
      <c r="Q490" t="s">
        <v>69</v>
      </c>
      <c r="R490" s="3">
        <v>0.08</v>
      </c>
      <c r="S490" s="2">
        <v>158.00399999999999</v>
      </c>
      <c r="T490">
        <v>6</v>
      </c>
      <c r="U490" t="str">
        <f t="shared" si="23"/>
        <v>Setembro</v>
      </c>
    </row>
    <row r="491" spans="1:21">
      <c r="A491">
        <v>490</v>
      </c>
      <c r="B491" s="1">
        <v>44090</v>
      </c>
      <c r="C491" s="1" t="str">
        <f t="shared" si="21"/>
        <v>setembro</v>
      </c>
      <c r="D491">
        <v>85</v>
      </c>
      <c r="E491" t="s">
        <v>57</v>
      </c>
      <c r="F491" t="s">
        <v>46</v>
      </c>
      <c r="G491" s="8">
        <v>17</v>
      </c>
      <c r="H491" s="2">
        <v>114</v>
      </c>
      <c r="I491" s="2">
        <v>1938</v>
      </c>
      <c r="J491" s="4">
        <v>0.06</v>
      </c>
      <c r="K491" s="2">
        <v>1821.72</v>
      </c>
      <c r="L491" s="2">
        <f t="shared" si="22"/>
        <v>116.27999999999997</v>
      </c>
      <c r="M491" s="1">
        <v>44093</v>
      </c>
      <c r="N491" s="1">
        <v>44093</v>
      </c>
      <c r="O491">
        <v>490</v>
      </c>
      <c r="P491">
        <v>6</v>
      </c>
      <c r="Q491" t="s">
        <v>32</v>
      </c>
      <c r="R491" s="3">
        <v>0.1</v>
      </c>
      <c r="S491" s="2">
        <v>182.17200000000003</v>
      </c>
      <c r="T491">
        <v>7</v>
      </c>
      <c r="U491" t="str">
        <f t="shared" si="23"/>
        <v>Setembro</v>
      </c>
    </row>
    <row r="492" spans="1:21">
      <c r="A492">
        <v>491</v>
      </c>
      <c r="B492" s="1">
        <v>44091</v>
      </c>
      <c r="C492" s="1" t="str">
        <f t="shared" si="21"/>
        <v>setembro</v>
      </c>
      <c r="D492">
        <v>84</v>
      </c>
      <c r="E492" t="s">
        <v>44</v>
      </c>
      <c r="F492" t="s">
        <v>46</v>
      </c>
      <c r="G492" s="8">
        <v>44</v>
      </c>
      <c r="H492" s="2">
        <v>93</v>
      </c>
      <c r="I492" s="2">
        <v>4092</v>
      </c>
      <c r="J492" s="4">
        <v>0.13</v>
      </c>
      <c r="K492" s="2">
        <v>3560.04</v>
      </c>
      <c r="L492" s="2">
        <f t="shared" si="22"/>
        <v>531.96</v>
      </c>
      <c r="M492" s="1">
        <v>44113</v>
      </c>
      <c r="N492" s="1">
        <v>44113</v>
      </c>
      <c r="O492">
        <v>491</v>
      </c>
      <c r="P492">
        <v>5</v>
      </c>
      <c r="Q492" t="s">
        <v>43</v>
      </c>
      <c r="R492" s="3">
        <v>0.1</v>
      </c>
      <c r="S492" s="2">
        <v>356.00400000000002</v>
      </c>
      <c r="T492">
        <v>1</v>
      </c>
      <c r="U492" t="str">
        <f t="shared" si="23"/>
        <v>Setembro</v>
      </c>
    </row>
    <row r="493" spans="1:21">
      <c r="A493">
        <v>492</v>
      </c>
      <c r="B493" s="1">
        <v>44091</v>
      </c>
      <c r="C493" s="1" t="str">
        <f t="shared" si="21"/>
        <v>setembro</v>
      </c>
      <c r="D493">
        <v>83</v>
      </c>
      <c r="E493" t="s">
        <v>100</v>
      </c>
      <c r="F493" t="s">
        <v>54</v>
      </c>
      <c r="G493" s="8">
        <v>16</v>
      </c>
      <c r="H493" s="2">
        <v>119</v>
      </c>
      <c r="I493" s="2">
        <v>1904</v>
      </c>
      <c r="J493" s="4">
        <v>0.02</v>
      </c>
      <c r="K493" s="2">
        <v>1865.92</v>
      </c>
      <c r="L493" s="2">
        <f t="shared" si="22"/>
        <v>38.079999999999927</v>
      </c>
      <c r="M493" s="1">
        <v>44094</v>
      </c>
      <c r="N493" s="1">
        <v>44094</v>
      </c>
      <c r="O493">
        <v>492</v>
      </c>
      <c r="P493">
        <v>5</v>
      </c>
      <c r="Q493" t="s">
        <v>34</v>
      </c>
      <c r="R493" s="3">
        <v>0.1</v>
      </c>
      <c r="S493" s="2">
        <v>186.59200000000001</v>
      </c>
      <c r="T493">
        <v>2</v>
      </c>
      <c r="U493" t="str">
        <f t="shared" si="23"/>
        <v>Setembro</v>
      </c>
    </row>
    <row r="494" spans="1:21">
      <c r="A494">
        <v>493</v>
      </c>
      <c r="B494" s="1">
        <v>44092</v>
      </c>
      <c r="C494" s="1" t="str">
        <f t="shared" si="21"/>
        <v>setembro</v>
      </c>
      <c r="D494">
        <v>6</v>
      </c>
      <c r="E494" t="s">
        <v>88</v>
      </c>
      <c r="F494" t="s">
        <v>50</v>
      </c>
      <c r="G494" s="8">
        <v>49</v>
      </c>
      <c r="H494" s="2">
        <v>112</v>
      </c>
      <c r="I494" s="2">
        <v>5488</v>
      </c>
      <c r="J494" s="4">
        <v>0.01</v>
      </c>
      <c r="K494" s="2">
        <v>5433.12</v>
      </c>
      <c r="L494" s="2">
        <f t="shared" si="22"/>
        <v>54.880000000000109</v>
      </c>
      <c r="M494" s="1">
        <v>44111</v>
      </c>
      <c r="N494" s="1">
        <v>44111</v>
      </c>
      <c r="O494">
        <v>493</v>
      </c>
      <c r="P494">
        <v>5</v>
      </c>
      <c r="Q494" t="s">
        <v>29</v>
      </c>
      <c r="R494" s="3">
        <v>0.05</v>
      </c>
      <c r="S494" s="2">
        <v>271.65600000000001</v>
      </c>
      <c r="T494">
        <v>3</v>
      </c>
      <c r="U494" t="str">
        <f t="shared" si="23"/>
        <v>Setembro</v>
      </c>
    </row>
    <row r="495" spans="1:21">
      <c r="A495">
        <v>494</v>
      </c>
      <c r="B495" s="1">
        <v>44092</v>
      </c>
      <c r="C495" s="1" t="str">
        <f t="shared" si="21"/>
        <v>setembro</v>
      </c>
      <c r="D495">
        <v>94</v>
      </c>
      <c r="E495" t="s">
        <v>49</v>
      </c>
      <c r="F495" t="s">
        <v>55</v>
      </c>
      <c r="G495" s="8">
        <v>33</v>
      </c>
      <c r="H495" s="2">
        <v>115</v>
      </c>
      <c r="I495" s="2">
        <v>3795</v>
      </c>
      <c r="J495" s="4">
        <v>0.02</v>
      </c>
      <c r="K495" s="2">
        <v>3719.1</v>
      </c>
      <c r="L495" s="2">
        <f t="shared" si="22"/>
        <v>75.900000000000091</v>
      </c>
      <c r="M495" s="1">
        <v>44117</v>
      </c>
      <c r="N495" s="1">
        <v>44117</v>
      </c>
      <c r="O495">
        <v>494</v>
      </c>
      <c r="P495">
        <v>7</v>
      </c>
      <c r="Q495" t="s">
        <v>47</v>
      </c>
      <c r="R495" s="3">
        <v>0.1</v>
      </c>
      <c r="S495" s="2">
        <v>371.91</v>
      </c>
      <c r="T495">
        <v>4</v>
      </c>
      <c r="U495" t="str">
        <f t="shared" si="23"/>
        <v>Setembro</v>
      </c>
    </row>
    <row r="496" spans="1:21">
      <c r="A496">
        <v>495</v>
      </c>
      <c r="B496" s="1">
        <v>44093</v>
      </c>
      <c r="C496" s="1" t="str">
        <f t="shared" si="21"/>
        <v>setembro</v>
      </c>
      <c r="D496">
        <v>97</v>
      </c>
      <c r="E496" t="s">
        <v>66</v>
      </c>
      <c r="F496" t="s">
        <v>54</v>
      </c>
      <c r="G496" s="8">
        <v>33</v>
      </c>
      <c r="H496" s="2">
        <v>102</v>
      </c>
      <c r="I496" s="2">
        <v>3366</v>
      </c>
      <c r="J496" s="4">
        <v>0.14000000000000001</v>
      </c>
      <c r="K496" s="2">
        <v>2894.7599999999998</v>
      </c>
      <c r="L496" s="2">
        <f t="shared" si="22"/>
        <v>471.24000000000024</v>
      </c>
      <c r="M496" s="1">
        <v>44095</v>
      </c>
      <c r="N496" s="1">
        <v>44095</v>
      </c>
      <c r="O496">
        <v>495</v>
      </c>
      <c r="P496">
        <v>7</v>
      </c>
      <c r="Q496" t="s">
        <v>47</v>
      </c>
      <c r="R496" s="3">
        <v>7.0000000000000007E-2</v>
      </c>
      <c r="S496" s="2">
        <v>202.63320000000002</v>
      </c>
      <c r="T496">
        <v>5</v>
      </c>
      <c r="U496" t="str">
        <f t="shared" si="23"/>
        <v>Setembro</v>
      </c>
    </row>
    <row r="497" spans="1:21">
      <c r="A497">
        <v>496</v>
      </c>
      <c r="B497" s="1">
        <v>44094</v>
      </c>
      <c r="C497" s="1" t="str">
        <f t="shared" si="21"/>
        <v>setembro</v>
      </c>
      <c r="D497">
        <v>74</v>
      </c>
      <c r="E497" t="s">
        <v>38</v>
      </c>
      <c r="F497" t="s">
        <v>59</v>
      </c>
      <c r="G497" s="8">
        <v>15</v>
      </c>
      <c r="H497" s="2">
        <v>116</v>
      </c>
      <c r="I497" s="2">
        <v>1740</v>
      </c>
      <c r="J497" s="4">
        <v>0.05</v>
      </c>
      <c r="K497" s="2">
        <v>1653</v>
      </c>
      <c r="L497" s="2">
        <f t="shared" si="22"/>
        <v>87</v>
      </c>
      <c r="M497" s="1">
        <v>44113</v>
      </c>
      <c r="N497" s="1">
        <v>44113</v>
      </c>
      <c r="O497">
        <v>496</v>
      </c>
      <c r="P497">
        <v>5</v>
      </c>
      <c r="Q497" t="s">
        <v>47</v>
      </c>
      <c r="R497" s="3">
        <v>0.06</v>
      </c>
      <c r="S497" s="2">
        <v>99.179999999999993</v>
      </c>
      <c r="T497">
        <v>6</v>
      </c>
      <c r="U497" t="str">
        <f t="shared" si="23"/>
        <v>Setembro</v>
      </c>
    </row>
    <row r="498" spans="1:21">
      <c r="A498">
        <v>497</v>
      </c>
      <c r="B498" s="1">
        <v>44094</v>
      </c>
      <c r="C498" s="1" t="str">
        <f t="shared" si="21"/>
        <v>setembro</v>
      </c>
      <c r="D498">
        <v>89</v>
      </c>
      <c r="E498" t="s">
        <v>49</v>
      </c>
      <c r="F498" t="s">
        <v>50</v>
      </c>
      <c r="G498" s="8">
        <v>14</v>
      </c>
      <c r="H498" s="2">
        <v>113</v>
      </c>
      <c r="I498" s="2">
        <v>1582</v>
      </c>
      <c r="J498" s="4">
        <v>0.13</v>
      </c>
      <c r="K498" s="2">
        <v>1376.34</v>
      </c>
      <c r="L498" s="2">
        <f t="shared" si="22"/>
        <v>205.66000000000008</v>
      </c>
      <c r="M498" s="1">
        <v>44106</v>
      </c>
      <c r="N498" s="1">
        <v>44106</v>
      </c>
      <c r="O498">
        <v>497</v>
      </c>
      <c r="P498">
        <v>6</v>
      </c>
      <c r="Q498" t="s">
        <v>69</v>
      </c>
      <c r="R498" s="3">
        <v>0.09</v>
      </c>
      <c r="S498" s="2">
        <v>123.87059999999998</v>
      </c>
      <c r="T498">
        <v>7</v>
      </c>
      <c r="U498" t="str">
        <f t="shared" si="23"/>
        <v>Setembro</v>
      </c>
    </row>
    <row r="499" spans="1:21">
      <c r="A499">
        <v>498</v>
      </c>
      <c r="B499" s="1">
        <v>44094</v>
      </c>
      <c r="C499" s="1" t="str">
        <f t="shared" si="21"/>
        <v>setembro</v>
      </c>
      <c r="D499">
        <v>55</v>
      </c>
      <c r="E499" t="s">
        <v>44</v>
      </c>
      <c r="F499" t="s">
        <v>28</v>
      </c>
      <c r="G499" s="8">
        <v>23</v>
      </c>
      <c r="H499" s="2">
        <v>100</v>
      </c>
      <c r="I499" s="2">
        <v>2300</v>
      </c>
      <c r="J499" s="4">
        <v>0.11</v>
      </c>
      <c r="K499" s="2">
        <v>2047</v>
      </c>
      <c r="L499" s="2">
        <f t="shared" si="22"/>
        <v>253</v>
      </c>
      <c r="M499" s="1">
        <v>44117</v>
      </c>
      <c r="N499" s="1">
        <v>44117</v>
      </c>
      <c r="O499">
        <v>498</v>
      </c>
      <c r="P499">
        <v>1</v>
      </c>
      <c r="Q499" t="s">
        <v>47</v>
      </c>
      <c r="R499" s="3">
        <v>0.08</v>
      </c>
      <c r="S499" s="2">
        <v>163.76</v>
      </c>
      <c r="T499">
        <v>1</v>
      </c>
      <c r="U499" t="str">
        <f t="shared" si="23"/>
        <v>Setembro</v>
      </c>
    </row>
    <row r="500" spans="1:21">
      <c r="A500">
        <v>499</v>
      </c>
      <c r="B500" s="1">
        <v>44097</v>
      </c>
      <c r="C500" s="1" t="str">
        <f t="shared" si="21"/>
        <v>setembro</v>
      </c>
      <c r="D500">
        <v>2</v>
      </c>
      <c r="E500" t="s">
        <v>35</v>
      </c>
      <c r="F500" t="s">
        <v>46</v>
      </c>
      <c r="G500" s="8">
        <v>40</v>
      </c>
      <c r="H500" s="2">
        <v>93</v>
      </c>
      <c r="I500" s="2">
        <v>3720</v>
      </c>
      <c r="J500" s="4">
        <v>0.06</v>
      </c>
      <c r="K500" s="2">
        <v>3496.8</v>
      </c>
      <c r="L500" s="2">
        <f t="shared" si="22"/>
        <v>223.19999999999982</v>
      </c>
      <c r="M500" s="1">
        <v>44102</v>
      </c>
      <c r="N500" s="1">
        <v>44102</v>
      </c>
      <c r="O500">
        <v>499</v>
      </c>
      <c r="P500">
        <v>7</v>
      </c>
      <c r="Q500" t="s">
        <v>25</v>
      </c>
      <c r="R500" s="3">
        <v>0.09</v>
      </c>
      <c r="S500" s="2">
        <v>314.71199999999999</v>
      </c>
      <c r="T500">
        <v>2</v>
      </c>
      <c r="U500" t="str">
        <f t="shared" si="23"/>
        <v>Setembro</v>
      </c>
    </row>
    <row r="501" spans="1:21">
      <c r="A501">
        <v>500</v>
      </c>
      <c r="B501" s="1">
        <v>44098</v>
      </c>
      <c r="C501" s="1" t="str">
        <f t="shared" si="21"/>
        <v>setembro</v>
      </c>
      <c r="D501">
        <v>67</v>
      </c>
      <c r="E501" t="s">
        <v>106</v>
      </c>
      <c r="F501" t="s">
        <v>55</v>
      </c>
      <c r="G501" s="8">
        <v>34</v>
      </c>
      <c r="H501" s="2">
        <v>114</v>
      </c>
      <c r="I501" s="2">
        <v>3876</v>
      </c>
      <c r="J501" s="4">
        <v>0.05</v>
      </c>
      <c r="K501" s="2">
        <v>3682.2</v>
      </c>
      <c r="L501" s="2">
        <f t="shared" si="22"/>
        <v>193.80000000000018</v>
      </c>
      <c r="M501" s="1">
        <v>44101</v>
      </c>
      <c r="N501" s="1">
        <v>44101</v>
      </c>
      <c r="O501">
        <v>500</v>
      </c>
      <c r="P501">
        <v>7</v>
      </c>
      <c r="Q501" t="s">
        <v>47</v>
      </c>
      <c r="R501" s="3">
        <v>7.0000000000000007E-2</v>
      </c>
      <c r="S501" s="2">
        <v>257.75400000000002</v>
      </c>
      <c r="T501">
        <v>3</v>
      </c>
      <c r="U501" t="str">
        <f t="shared" si="23"/>
        <v>Setembro</v>
      </c>
    </row>
    <row r="502" spans="1:21">
      <c r="A502">
        <v>501</v>
      </c>
      <c r="B502" s="1">
        <v>44099</v>
      </c>
      <c r="C502" s="1" t="str">
        <f t="shared" si="21"/>
        <v>setembro</v>
      </c>
      <c r="D502">
        <v>6</v>
      </c>
      <c r="E502" t="s">
        <v>88</v>
      </c>
      <c r="F502" t="s">
        <v>50</v>
      </c>
      <c r="G502" s="8">
        <v>44</v>
      </c>
      <c r="H502" s="2">
        <v>96</v>
      </c>
      <c r="I502" s="2">
        <v>4224</v>
      </c>
      <c r="J502" s="4">
        <v>0.09</v>
      </c>
      <c r="K502" s="2">
        <v>3843.84</v>
      </c>
      <c r="L502" s="2">
        <f t="shared" si="22"/>
        <v>380.15999999999985</v>
      </c>
      <c r="M502" s="1">
        <v>44103</v>
      </c>
      <c r="N502" s="1">
        <v>44103</v>
      </c>
      <c r="O502">
        <v>501</v>
      </c>
      <c r="P502">
        <v>1</v>
      </c>
      <c r="Q502" t="s">
        <v>43</v>
      </c>
      <c r="R502" s="3">
        <v>0.05</v>
      </c>
      <c r="S502" s="2">
        <v>192.19200000000001</v>
      </c>
      <c r="T502">
        <v>4</v>
      </c>
      <c r="U502" t="str">
        <f t="shared" si="23"/>
        <v>Setembro</v>
      </c>
    </row>
    <row r="503" spans="1:21">
      <c r="A503">
        <v>502</v>
      </c>
      <c r="B503" s="1">
        <v>44099</v>
      </c>
      <c r="C503" s="1" t="str">
        <f t="shared" si="21"/>
        <v>setembro</v>
      </c>
      <c r="D503">
        <v>97</v>
      </c>
      <c r="E503" t="s">
        <v>66</v>
      </c>
      <c r="F503" t="s">
        <v>28</v>
      </c>
      <c r="G503" s="8">
        <v>36</v>
      </c>
      <c r="H503" s="2">
        <v>98</v>
      </c>
      <c r="I503" s="2">
        <v>3528</v>
      </c>
      <c r="J503" s="4">
        <v>0.1</v>
      </c>
      <c r="K503" s="2">
        <v>3175.2</v>
      </c>
      <c r="L503" s="2">
        <f t="shared" si="22"/>
        <v>352.80000000000018</v>
      </c>
      <c r="M503" s="1">
        <v>44116</v>
      </c>
      <c r="N503" s="1">
        <v>44116</v>
      </c>
      <c r="O503">
        <v>502</v>
      </c>
      <c r="P503">
        <v>7</v>
      </c>
      <c r="Q503" t="s">
        <v>29</v>
      </c>
      <c r="R503" s="3">
        <v>7.0000000000000007E-2</v>
      </c>
      <c r="S503" s="2">
        <v>222.26400000000001</v>
      </c>
      <c r="T503">
        <v>5</v>
      </c>
      <c r="U503" t="str">
        <f t="shared" si="23"/>
        <v>Setembro</v>
      </c>
    </row>
    <row r="504" spans="1:21">
      <c r="A504">
        <v>503</v>
      </c>
      <c r="B504" s="1">
        <v>44099</v>
      </c>
      <c r="C504" s="1" t="str">
        <f t="shared" si="21"/>
        <v>setembro</v>
      </c>
      <c r="D504">
        <v>27</v>
      </c>
      <c r="E504" t="s">
        <v>101</v>
      </c>
      <c r="F504" t="s">
        <v>59</v>
      </c>
      <c r="G504" s="8">
        <v>34</v>
      </c>
      <c r="H504" s="2">
        <v>116</v>
      </c>
      <c r="I504" s="2">
        <v>3944</v>
      </c>
      <c r="J504" s="4">
        <v>0</v>
      </c>
      <c r="K504" s="2">
        <v>3944</v>
      </c>
      <c r="L504" s="2">
        <f t="shared" si="22"/>
        <v>0</v>
      </c>
      <c r="M504" s="1">
        <v>44126</v>
      </c>
      <c r="N504" s="1">
        <v>44126</v>
      </c>
      <c r="O504">
        <v>503</v>
      </c>
      <c r="P504">
        <v>7</v>
      </c>
      <c r="Q504" t="s">
        <v>47</v>
      </c>
      <c r="R504" s="3">
        <v>7.0000000000000007E-2</v>
      </c>
      <c r="S504" s="2">
        <v>276.08000000000004</v>
      </c>
      <c r="T504">
        <v>6</v>
      </c>
      <c r="U504" t="str">
        <f t="shared" si="23"/>
        <v>Setembro</v>
      </c>
    </row>
    <row r="505" spans="1:21">
      <c r="A505">
        <v>504</v>
      </c>
      <c r="B505" s="1">
        <v>44100</v>
      </c>
      <c r="C505" s="1" t="str">
        <f t="shared" si="21"/>
        <v>setembro</v>
      </c>
      <c r="D505">
        <v>27</v>
      </c>
      <c r="E505" t="s">
        <v>101</v>
      </c>
      <c r="F505" t="s">
        <v>24</v>
      </c>
      <c r="G505" s="8">
        <v>44</v>
      </c>
      <c r="H505" s="2">
        <v>95</v>
      </c>
      <c r="I505" s="2">
        <v>4180</v>
      </c>
      <c r="J505" s="4">
        <v>0</v>
      </c>
      <c r="K505" s="2">
        <v>4180</v>
      </c>
      <c r="L505" s="2">
        <f t="shared" si="22"/>
        <v>0</v>
      </c>
      <c r="M505" s="1">
        <v>44102</v>
      </c>
      <c r="N505" s="1">
        <v>44102</v>
      </c>
      <c r="O505">
        <v>504</v>
      </c>
      <c r="P505">
        <v>5</v>
      </c>
      <c r="Q505" t="s">
        <v>47</v>
      </c>
      <c r="R505" s="3">
        <v>0.06</v>
      </c>
      <c r="S505" s="2">
        <v>250.79999999999998</v>
      </c>
      <c r="T505">
        <v>7</v>
      </c>
      <c r="U505" t="str">
        <f t="shared" si="23"/>
        <v>Setembro</v>
      </c>
    </row>
    <row r="506" spans="1:21">
      <c r="A506">
        <v>505</v>
      </c>
      <c r="B506" s="1">
        <v>44100</v>
      </c>
      <c r="C506" s="1" t="str">
        <f t="shared" si="21"/>
        <v>setembro</v>
      </c>
      <c r="D506">
        <v>22</v>
      </c>
      <c r="E506" t="s">
        <v>51</v>
      </c>
      <c r="F506" t="s">
        <v>28</v>
      </c>
      <c r="G506" s="8">
        <v>35</v>
      </c>
      <c r="H506" s="2">
        <v>98</v>
      </c>
      <c r="I506" s="2">
        <v>3430</v>
      </c>
      <c r="J506" s="4">
        <v>0.04</v>
      </c>
      <c r="K506" s="2">
        <v>3292.8</v>
      </c>
      <c r="L506" s="2">
        <f t="shared" si="22"/>
        <v>137.19999999999982</v>
      </c>
      <c r="M506" s="1">
        <v>44102</v>
      </c>
      <c r="N506" s="1">
        <v>44102</v>
      </c>
      <c r="O506">
        <v>505</v>
      </c>
      <c r="P506">
        <v>7</v>
      </c>
      <c r="Q506" t="s">
        <v>22</v>
      </c>
      <c r="R506" s="3">
        <v>0.05</v>
      </c>
      <c r="S506" s="2">
        <v>164.64000000000001</v>
      </c>
      <c r="T506">
        <v>1</v>
      </c>
      <c r="U506" t="str">
        <f t="shared" si="23"/>
        <v>Setembro</v>
      </c>
    </row>
    <row r="507" spans="1:21">
      <c r="A507">
        <v>506</v>
      </c>
      <c r="B507" s="1">
        <v>44102</v>
      </c>
      <c r="C507" s="1" t="str">
        <f t="shared" si="21"/>
        <v>setembro</v>
      </c>
      <c r="D507">
        <v>47</v>
      </c>
      <c r="E507" t="s">
        <v>40</v>
      </c>
      <c r="F507" t="s">
        <v>28</v>
      </c>
      <c r="G507" s="8">
        <v>44</v>
      </c>
      <c r="H507" s="2">
        <v>107</v>
      </c>
      <c r="I507" s="2">
        <v>4708</v>
      </c>
      <c r="J507" s="4">
        <v>0.01</v>
      </c>
      <c r="K507" s="2">
        <v>4660.92</v>
      </c>
      <c r="L507" s="2">
        <f t="shared" si="22"/>
        <v>47.079999999999927</v>
      </c>
      <c r="M507" s="1">
        <v>44122</v>
      </c>
      <c r="N507" s="1">
        <v>44122</v>
      </c>
      <c r="O507">
        <v>506</v>
      </c>
      <c r="P507">
        <v>2</v>
      </c>
      <c r="Q507" t="s">
        <v>29</v>
      </c>
      <c r="R507" s="3">
        <v>0.1</v>
      </c>
      <c r="S507" s="2">
        <v>466.09200000000004</v>
      </c>
      <c r="T507">
        <v>2</v>
      </c>
      <c r="U507" t="str">
        <f t="shared" si="23"/>
        <v>Setembro</v>
      </c>
    </row>
    <row r="508" spans="1:21">
      <c r="A508">
        <v>507</v>
      </c>
      <c r="B508" s="1">
        <v>44104</v>
      </c>
      <c r="C508" s="1" t="str">
        <f t="shared" si="21"/>
        <v>setembro</v>
      </c>
      <c r="D508">
        <v>99</v>
      </c>
      <c r="E508" t="s">
        <v>84</v>
      </c>
      <c r="F508" t="s">
        <v>24</v>
      </c>
      <c r="G508" s="8">
        <v>19</v>
      </c>
      <c r="H508" s="2">
        <v>120</v>
      </c>
      <c r="I508" s="2">
        <v>2280</v>
      </c>
      <c r="J508" s="4">
        <v>0.13</v>
      </c>
      <c r="K508" s="2">
        <v>1983.6</v>
      </c>
      <c r="L508" s="2">
        <f t="shared" si="22"/>
        <v>296.40000000000009</v>
      </c>
      <c r="M508" s="1">
        <v>44118</v>
      </c>
      <c r="N508" s="1">
        <v>44118</v>
      </c>
      <c r="O508">
        <v>507</v>
      </c>
      <c r="P508">
        <v>4</v>
      </c>
      <c r="Q508" t="s">
        <v>34</v>
      </c>
      <c r="R508" s="3">
        <v>0.09</v>
      </c>
      <c r="S508" s="2">
        <v>178.52399999999997</v>
      </c>
      <c r="T508">
        <v>3</v>
      </c>
      <c r="U508" t="str">
        <f t="shared" si="23"/>
        <v>Setembro</v>
      </c>
    </row>
    <row r="509" spans="1:21">
      <c r="A509">
        <v>508</v>
      </c>
      <c r="B509" s="1">
        <v>44104</v>
      </c>
      <c r="C509" s="1" t="str">
        <f t="shared" si="21"/>
        <v>setembro</v>
      </c>
      <c r="D509">
        <v>96</v>
      </c>
      <c r="E509" t="s">
        <v>42</v>
      </c>
      <c r="F509" t="s">
        <v>28</v>
      </c>
      <c r="G509" s="8">
        <v>10</v>
      </c>
      <c r="H509" s="2">
        <v>111</v>
      </c>
      <c r="I509" s="2">
        <v>1110</v>
      </c>
      <c r="J509" s="4">
        <v>0.04</v>
      </c>
      <c r="K509" s="2">
        <v>1065.5999999999999</v>
      </c>
      <c r="L509" s="2">
        <f t="shared" si="22"/>
        <v>44.400000000000091</v>
      </c>
      <c r="M509" s="1">
        <v>44115</v>
      </c>
      <c r="N509" s="1">
        <v>44115</v>
      </c>
      <c r="O509">
        <v>508</v>
      </c>
      <c r="P509">
        <v>2</v>
      </c>
      <c r="Q509" t="s">
        <v>37</v>
      </c>
      <c r="R509" s="3">
        <v>0.06</v>
      </c>
      <c r="S509" s="2">
        <v>63.935999999999993</v>
      </c>
      <c r="T509">
        <v>4</v>
      </c>
      <c r="U509" t="str">
        <f t="shared" si="23"/>
        <v>Setembro</v>
      </c>
    </row>
    <row r="510" spans="1:21">
      <c r="A510">
        <v>509</v>
      </c>
      <c r="B510" s="1">
        <v>44105</v>
      </c>
      <c r="C510" s="1" t="str">
        <f t="shared" si="21"/>
        <v>outubro</v>
      </c>
      <c r="D510">
        <v>50</v>
      </c>
      <c r="E510" t="s">
        <v>81</v>
      </c>
      <c r="F510" t="s">
        <v>24</v>
      </c>
      <c r="G510" s="8">
        <v>37</v>
      </c>
      <c r="H510" s="2">
        <v>110</v>
      </c>
      <c r="I510" s="2">
        <v>4070</v>
      </c>
      <c r="J510" s="4">
        <v>0.06</v>
      </c>
      <c r="K510" s="2">
        <v>3825.8</v>
      </c>
      <c r="L510" s="2">
        <f t="shared" si="22"/>
        <v>244.19999999999982</v>
      </c>
      <c r="M510" s="1">
        <v>44118</v>
      </c>
      <c r="N510" s="1">
        <v>44118</v>
      </c>
      <c r="O510">
        <v>509</v>
      </c>
      <c r="P510">
        <v>6</v>
      </c>
      <c r="Q510" t="s">
        <v>29</v>
      </c>
      <c r="R510" s="3">
        <v>0.08</v>
      </c>
      <c r="S510" s="2">
        <v>306.06400000000002</v>
      </c>
      <c r="T510">
        <v>5</v>
      </c>
      <c r="U510" t="str">
        <f t="shared" si="23"/>
        <v>Outubro</v>
      </c>
    </row>
    <row r="511" spans="1:21">
      <c r="A511">
        <v>510</v>
      </c>
      <c r="B511" s="1">
        <v>44105</v>
      </c>
      <c r="C511" s="1" t="str">
        <f t="shared" si="21"/>
        <v>outubro</v>
      </c>
      <c r="D511">
        <v>20</v>
      </c>
      <c r="E511" t="s">
        <v>39</v>
      </c>
      <c r="F511" t="s">
        <v>41</v>
      </c>
      <c r="G511" s="8">
        <v>22</v>
      </c>
      <c r="H511" s="2">
        <v>110</v>
      </c>
      <c r="I511" s="2">
        <v>2420</v>
      </c>
      <c r="J511" s="4">
        <v>0.05</v>
      </c>
      <c r="K511" s="2">
        <v>2299</v>
      </c>
      <c r="L511" s="2">
        <f t="shared" si="22"/>
        <v>121</v>
      </c>
      <c r="M511" s="1">
        <v>44130</v>
      </c>
      <c r="N511" s="1">
        <v>44130</v>
      </c>
      <c r="O511">
        <v>510</v>
      </c>
      <c r="P511">
        <v>3</v>
      </c>
      <c r="Q511" t="s">
        <v>47</v>
      </c>
      <c r="R511" s="3">
        <v>0.05</v>
      </c>
      <c r="S511" s="2">
        <v>114.95</v>
      </c>
      <c r="T511">
        <v>6</v>
      </c>
      <c r="U511" t="str">
        <f t="shared" si="23"/>
        <v>Outubro</v>
      </c>
    </row>
    <row r="512" spans="1:21">
      <c r="A512">
        <v>511</v>
      </c>
      <c r="B512" s="1">
        <v>44106</v>
      </c>
      <c r="C512" s="1" t="str">
        <f t="shared" si="21"/>
        <v>outubro</v>
      </c>
      <c r="D512">
        <v>73</v>
      </c>
      <c r="E512" t="s">
        <v>38</v>
      </c>
      <c r="F512" t="s">
        <v>59</v>
      </c>
      <c r="G512" s="8">
        <v>43</v>
      </c>
      <c r="H512" s="2">
        <v>108</v>
      </c>
      <c r="I512" s="2">
        <v>4644</v>
      </c>
      <c r="J512" s="4">
        <v>0.1</v>
      </c>
      <c r="K512" s="2">
        <v>4179.6000000000004</v>
      </c>
      <c r="L512" s="2">
        <f t="shared" si="22"/>
        <v>464.39999999999964</v>
      </c>
      <c r="M512" s="1">
        <v>44127</v>
      </c>
      <c r="N512" s="1">
        <v>44127</v>
      </c>
      <c r="O512">
        <v>511</v>
      </c>
      <c r="P512">
        <v>1</v>
      </c>
      <c r="Q512" t="s">
        <v>43</v>
      </c>
      <c r="R512" s="3">
        <v>0.1</v>
      </c>
      <c r="S512" s="2">
        <v>417.96000000000004</v>
      </c>
      <c r="T512">
        <v>7</v>
      </c>
      <c r="U512" t="str">
        <f t="shared" si="23"/>
        <v>Outubro</v>
      </c>
    </row>
    <row r="513" spans="1:21">
      <c r="A513">
        <v>512</v>
      </c>
      <c r="B513" s="1">
        <v>44106</v>
      </c>
      <c r="C513" s="1" t="str">
        <f t="shared" si="21"/>
        <v>outubro</v>
      </c>
      <c r="D513">
        <v>12</v>
      </c>
      <c r="E513" t="s">
        <v>45</v>
      </c>
      <c r="F513" t="s">
        <v>46</v>
      </c>
      <c r="G513" s="8">
        <v>40</v>
      </c>
      <c r="H513" s="2">
        <v>107</v>
      </c>
      <c r="I513" s="2">
        <v>4280</v>
      </c>
      <c r="J513" s="4">
        <v>0.12</v>
      </c>
      <c r="K513" s="2">
        <v>3766.4</v>
      </c>
      <c r="L513" s="2">
        <f t="shared" si="22"/>
        <v>513.59999999999991</v>
      </c>
      <c r="M513" s="1">
        <v>44120</v>
      </c>
      <c r="N513" s="1">
        <v>44120</v>
      </c>
      <c r="O513">
        <v>512</v>
      </c>
      <c r="P513">
        <v>7</v>
      </c>
      <c r="Q513" t="s">
        <v>43</v>
      </c>
      <c r="R513" s="3">
        <v>0.1</v>
      </c>
      <c r="S513" s="2">
        <v>376.64000000000004</v>
      </c>
      <c r="T513">
        <v>1</v>
      </c>
      <c r="U513" t="str">
        <f t="shared" si="23"/>
        <v>Outubro</v>
      </c>
    </row>
    <row r="514" spans="1:21">
      <c r="A514">
        <v>513</v>
      </c>
      <c r="B514" s="1">
        <v>44106</v>
      </c>
      <c r="C514" s="1" t="str">
        <f t="shared" si="21"/>
        <v>outubro</v>
      </c>
      <c r="D514">
        <v>99</v>
      </c>
      <c r="E514" t="s">
        <v>84</v>
      </c>
      <c r="F514" t="s">
        <v>21</v>
      </c>
      <c r="G514" s="8">
        <v>13</v>
      </c>
      <c r="H514" s="2">
        <v>120</v>
      </c>
      <c r="I514" s="2">
        <v>1560</v>
      </c>
      <c r="J514" s="4">
        <v>0</v>
      </c>
      <c r="K514" s="2">
        <v>1560</v>
      </c>
      <c r="L514" s="2">
        <f t="shared" si="22"/>
        <v>0</v>
      </c>
      <c r="M514" s="1">
        <v>44133</v>
      </c>
      <c r="N514" s="1">
        <v>44133</v>
      </c>
      <c r="O514">
        <v>513</v>
      </c>
      <c r="P514">
        <v>1</v>
      </c>
      <c r="Q514" t="s">
        <v>29</v>
      </c>
      <c r="R514" s="3">
        <v>7.0000000000000007E-2</v>
      </c>
      <c r="S514" s="2">
        <v>109.20000000000002</v>
      </c>
      <c r="T514">
        <v>2</v>
      </c>
      <c r="U514" t="str">
        <f t="shared" si="23"/>
        <v>Outubro</v>
      </c>
    </row>
    <row r="515" spans="1:21">
      <c r="A515">
        <v>514</v>
      </c>
      <c r="B515" s="1">
        <v>44107</v>
      </c>
      <c r="C515" s="1" t="str">
        <f t="shared" ref="C515:C578" si="24">TEXT(B515,"mmmm")</f>
        <v>outubro</v>
      </c>
      <c r="D515">
        <v>91</v>
      </c>
      <c r="E515" t="s">
        <v>62</v>
      </c>
      <c r="F515" t="s">
        <v>28</v>
      </c>
      <c r="G515" s="8">
        <v>46</v>
      </c>
      <c r="H515" s="2">
        <v>111</v>
      </c>
      <c r="I515" s="2">
        <v>5106</v>
      </c>
      <c r="J515" s="4">
        <v>0.04</v>
      </c>
      <c r="K515" s="2">
        <v>4901.76</v>
      </c>
      <c r="L515" s="2">
        <f t="shared" ref="L515:L578" si="25">I515-K515</f>
        <v>204.23999999999978</v>
      </c>
      <c r="M515" s="1">
        <v>44132</v>
      </c>
      <c r="N515" s="1">
        <v>44132</v>
      </c>
      <c r="O515">
        <v>514</v>
      </c>
      <c r="P515">
        <v>2</v>
      </c>
      <c r="Q515" t="s">
        <v>37</v>
      </c>
      <c r="R515" s="3">
        <v>0.09</v>
      </c>
      <c r="S515" s="2">
        <v>441.15840000000003</v>
      </c>
      <c r="T515">
        <v>3</v>
      </c>
      <c r="U515" t="str">
        <f t="shared" ref="U515:U578" si="26">PROPER(TEXT(B515,"mmmm"))</f>
        <v>Outubro</v>
      </c>
    </row>
    <row r="516" spans="1:21">
      <c r="A516">
        <v>515</v>
      </c>
      <c r="B516" s="1">
        <v>44107</v>
      </c>
      <c r="C516" s="1" t="str">
        <f t="shared" si="24"/>
        <v>outubro</v>
      </c>
      <c r="D516">
        <v>13</v>
      </c>
      <c r="E516" t="s">
        <v>75</v>
      </c>
      <c r="F516" t="s">
        <v>50</v>
      </c>
      <c r="G516" s="8">
        <v>48</v>
      </c>
      <c r="H516" s="2">
        <v>118</v>
      </c>
      <c r="I516" s="2">
        <v>5664</v>
      </c>
      <c r="J516" s="4">
        <v>0.03</v>
      </c>
      <c r="K516" s="2">
        <v>5494.08</v>
      </c>
      <c r="L516" s="2">
        <f t="shared" si="25"/>
        <v>169.92000000000007</v>
      </c>
      <c r="M516" s="1">
        <v>44122</v>
      </c>
      <c r="N516" s="1">
        <v>44122</v>
      </c>
      <c r="O516">
        <v>515</v>
      </c>
      <c r="P516">
        <v>6</v>
      </c>
      <c r="Q516" t="s">
        <v>43</v>
      </c>
      <c r="R516" s="3">
        <v>0.06</v>
      </c>
      <c r="S516" s="2">
        <v>329.64479999999998</v>
      </c>
      <c r="T516">
        <v>4</v>
      </c>
      <c r="U516" t="str">
        <f t="shared" si="26"/>
        <v>Outubro</v>
      </c>
    </row>
    <row r="517" spans="1:21">
      <c r="A517">
        <v>516</v>
      </c>
      <c r="B517" s="1">
        <v>44107</v>
      </c>
      <c r="C517" s="1" t="str">
        <f t="shared" si="24"/>
        <v>outubro</v>
      </c>
      <c r="D517">
        <v>56</v>
      </c>
      <c r="E517" t="s">
        <v>67</v>
      </c>
      <c r="F517" t="s">
        <v>59</v>
      </c>
      <c r="G517" s="8">
        <v>25</v>
      </c>
      <c r="H517" s="2">
        <v>99</v>
      </c>
      <c r="I517" s="2">
        <v>2475</v>
      </c>
      <c r="J517" s="4">
        <v>0.1</v>
      </c>
      <c r="K517" s="2">
        <v>2227.5</v>
      </c>
      <c r="L517" s="2">
        <f t="shared" si="25"/>
        <v>247.5</v>
      </c>
      <c r="M517" s="1">
        <v>44122</v>
      </c>
      <c r="N517" s="1">
        <v>44122</v>
      </c>
      <c r="O517">
        <v>516</v>
      </c>
      <c r="P517">
        <v>4</v>
      </c>
      <c r="Q517" t="s">
        <v>25</v>
      </c>
      <c r="R517" s="3">
        <v>0.05</v>
      </c>
      <c r="S517" s="2">
        <v>111.375</v>
      </c>
      <c r="T517">
        <v>5</v>
      </c>
      <c r="U517" t="str">
        <f t="shared" si="26"/>
        <v>Outubro</v>
      </c>
    </row>
    <row r="518" spans="1:21">
      <c r="A518">
        <v>517</v>
      </c>
      <c r="B518" s="1">
        <v>44107</v>
      </c>
      <c r="C518" s="1" t="str">
        <f t="shared" si="24"/>
        <v>outubro</v>
      </c>
      <c r="D518">
        <v>58</v>
      </c>
      <c r="E518" t="s">
        <v>72</v>
      </c>
      <c r="F518" t="s">
        <v>50</v>
      </c>
      <c r="G518" s="8">
        <v>49</v>
      </c>
      <c r="H518" s="2">
        <v>102</v>
      </c>
      <c r="I518" s="2">
        <v>4998</v>
      </c>
      <c r="J518" s="4">
        <v>0.04</v>
      </c>
      <c r="K518" s="2">
        <v>4798.08</v>
      </c>
      <c r="L518" s="2">
        <f t="shared" si="25"/>
        <v>199.92000000000007</v>
      </c>
      <c r="M518" s="1">
        <v>44132</v>
      </c>
      <c r="N518" s="1">
        <v>44132</v>
      </c>
      <c r="O518">
        <v>517</v>
      </c>
      <c r="P518">
        <v>5</v>
      </c>
      <c r="Q518" t="s">
        <v>52</v>
      </c>
      <c r="R518" s="3">
        <v>0.09</v>
      </c>
      <c r="S518" s="2">
        <v>431.8272</v>
      </c>
      <c r="T518">
        <v>6</v>
      </c>
      <c r="U518" t="str">
        <f t="shared" si="26"/>
        <v>Outubro</v>
      </c>
    </row>
    <row r="519" spans="1:21">
      <c r="A519">
        <v>518</v>
      </c>
      <c r="B519" s="1">
        <v>44108</v>
      </c>
      <c r="C519" s="1" t="str">
        <f t="shared" si="24"/>
        <v>outubro</v>
      </c>
      <c r="D519">
        <v>55</v>
      </c>
      <c r="E519" t="s">
        <v>44</v>
      </c>
      <c r="F519" t="s">
        <v>21</v>
      </c>
      <c r="G519" s="8">
        <v>20</v>
      </c>
      <c r="H519" s="2">
        <v>98</v>
      </c>
      <c r="I519" s="2">
        <v>1960</v>
      </c>
      <c r="J519" s="4">
        <v>0.03</v>
      </c>
      <c r="K519" s="2">
        <v>1901.2</v>
      </c>
      <c r="L519" s="2">
        <f t="shared" si="25"/>
        <v>58.799999999999955</v>
      </c>
      <c r="M519" s="1">
        <v>44130</v>
      </c>
      <c r="N519" s="1">
        <v>44130</v>
      </c>
      <c r="O519">
        <v>518</v>
      </c>
      <c r="P519">
        <v>6</v>
      </c>
      <c r="Q519" t="s">
        <v>22</v>
      </c>
      <c r="R519" s="3">
        <v>0.09</v>
      </c>
      <c r="S519" s="2">
        <v>171.108</v>
      </c>
      <c r="T519">
        <v>7</v>
      </c>
      <c r="U519" t="str">
        <f t="shared" si="26"/>
        <v>Outubro</v>
      </c>
    </row>
    <row r="520" spans="1:21">
      <c r="A520">
        <v>519</v>
      </c>
      <c r="B520" s="1">
        <v>44108</v>
      </c>
      <c r="C520" s="1" t="str">
        <f t="shared" si="24"/>
        <v>outubro</v>
      </c>
      <c r="D520">
        <v>51</v>
      </c>
      <c r="E520" t="s">
        <v>53</v>
      </c>
      <c r="F520" t="s">
        <v>46</v>
      </c>
      <c r="G520" s="8">
        <v>36</v>
      </c>
      <c r="H520" s="2">
        <v>113</v>
      </c>
      <c r="I520" s="2">
        <v>4068</v>
      </c>
      <c r="J520" s="4">
        <v>0.1</v>
      </c>
      <c r="K520" s="2">
        <v>3661.2</v>
      </c>
      <c r="L520" s="2">
        <f t="shared" si="25"/>
        <v>406.80000000000018</v>
      </c>
      <c r="M520" s="1">
        <v>44116</v>
      </c>
      <c r="N520" s="1">
        <v>44116</v>
      </c>
      <c r="O520">
        <v>519</v>
      </c>
      <c r="P520">
        <v>3</v>
      </c>
      <c r="Q520" t="s">
        <v>25</v>
      </c>
      <c r="R520" s="3">
        <v>0.08</v>
      </c>
      <c r="S520" s="2">
        <v>292.89600000000002</v>
      </c>
      <c r="T520">
        <v>1</v>
      </c>
      <c r="U520" t="str">
        <f t="shared" si="26"/>
        <v>Outubro</v>
      </c>
    </row>
    <row r="521" spans="1:21">
      <c r="A521">
        <v>520</v>
      </c>
      <c r="B521" s="1">
        <v>44111</v>
      </c>
      <c r="C521" s="1" t="str">
        <f t="shared" si="24"/>
        <v>outubro</v>
      </c>
      <c r="D521">
        <v>82</v>
      </c>
      <c r="E521" t="s">
        <v>67</v>
      </c>
      <c r="F521" t="s">
        <v>50</v>
      </c>
      <c r="G521" s="8">
        <v>26</v>
      </c>
      <c r="H521" s="2">
        <v>107</v>
      </c>
      <c r="I521" s="2">
        <v>2782</v>
      </c>
      <c r="J521" s="4">
        <v>0.06</v>
      </c>
      <c r="K521" s="2">
        <v>2615.08</v>
      </c>
      <c r="L521" s="2">
        <f t="shared" si="25"/>
        <v>166.92000000000007</v>
      </c>
      <c r="M521" s="1">
        <v>44130</v>
      </c>
      <c r="N521" s="1">
        <v>44130</v>
      </c>
      <c r="O521">
        <v>520</v>
      </c>
      <c r="P521">
        <v>3</v>
      </c>
      <c r="Q521" t="s">
        <v>47</v>
      </c>
      <c r="R521" s="3">
        <v>0.05</v>
      </c>
      <c r="S521" s="2">
        <v>130.75399999999999</v>
      </c>
      <c r="T521">
        <v>2</v>
      </c>
      <c r="U521" t="str">
        <f t="shared" si="26"/>
        <v>Outubro</v>
      </c>
    </row>
    <row r="522" spans="1:21">
      <c r="A522">
        <v>521</v>
      </c>
      <c r="B522" s="1">
        <v>44112</v>
      </c>
      <c r="C522" s="1" t="str">
        <f t="shared" si="24"/>
        <v>outubro</v>
      </c>
      <c r="D522">
        <v>69</v>
      </c>
      <c r="E522" t="s">
        <v>67</v>
      </c>
      <c r="F522" t="s">
        <v>28</v>
      </c>
      <c r="G522" s="8">
        <v>50</v>
      </c>
      <c r="H522" s="2">
        <v>117</v>
      </c>
      <c r="I522" s="2">
        <v>5850</v>
      </c>
      <c r="J522" s="4">
        <v>0.14000000000000001</v>
      </c>
      <c r="K522" s="2">
        <v>5031</v>
      </c>
      <c r="L522" s="2">
        <f t="shared" si="25"/>
        <v>819</v>
      </c>
      <c r="M522" s="1">
        <v>44141</v>
      </c>
      <c r="N522" s="1">
        <v>44141</v>
      </c>
      <c r="O522">
        <v>521</v>
      </c>
      <c r="P522">
        <v>2</v>
      </c>
      <c r="Q522" t="s">
        <v>29</v>
      </c>
      <c r="R522" s="3">
        <v>0.06</v>
      </c>
      <c r="S522" s="2">
        <v>301.86</v>
      </c>
      <c r="T522">
        <v>3</v>
      </c>
      <c r="U522" t="str">
        <f t="shared" si="26"/>
        <v>Outubro</v>
      </c>
    </row>
    <row r="523" spans="1:21">
      <c r="A523">
        <v>522</v>
      </c>
      <c r="B523" s="1">
        <v>44113</v>
      </c>
      <c r="C523" s="1" t="str">
        <f t="shared" si="24"/>
        <v>outubro</v>
      </c>
      <c r="D523">
        <v>66</v>
      </c>
      <c r="E523" t="s">
        <v>30</v>
      </c>
      <c r="F523" t="s">
        <v>28</v>
      </c>
      <c r="G523" s="8">
        <v>16</v>
      </c>
      <c r="H523" s="2">
        <v>90</v>
      </c>
      <c r="I523" s="2">
        <v>1440</v>
      </c>
      <c r="J523" s="4">
        <v>0.09</v>
      </c>
      <c r="K523" s="2">
        <v>1310.4000000000001</v>
      </c>
      <c r="L523" s="2">
        <f t="shared" si="25"/>
        <v>129.59999999999991</v>
      </c>
      <c r="M523" s="1">
        <v>44114</v>
      </c>
      <c r="N523" s="1">
        <v>44114</v>
      </c>
      <c r="O523">
        <v>522</v>
      </c>
      <c r="P523">
        <v>4</v>
      </c>
      <c r="Q523" t="s">
        <v>25</v>
      </c>
      <c r="R523" s="3">
        <v>0.09</v>
      </c>
      <c r="S523" s="2">
        <v>117.93600000000001</v>
      </c>
      <c r="T523">
        <v>4</v>
      </c>
      <c r="U523" t="str">
        <f t="shared" si="26"/>
        <v>Outubro</v>
      </c>
    </row>
    <row r="524" spans="1:21">
      <c r="A524">
        <v>523</v>
      </c>
      <c r="B524" s="1">
        <v>44113</v>
      </c>
      <c r="C524" s="1" t="str">
        <f t="shared" si="24"/>
        <v>outubro</v>
      </c>
      <c r="D524">
        <v>61</v>
      </c>
      <c r="E524" t="s">
        <v>56</v>
      </c>
      <c r="F524" t="s">
        <v>46</v>
      </c>
      <c r="G524" s="8">
        <v>40</v>
      </c>
      <c r="H524" s="2">
        <v>116</v>
      </c>
      <c r="I524" s="2">
        <v>4640</v>
      </c>
      <c r="J524" s="4">
        <v>0.05</v>
      </c>
      <c r="K524" s="2">
        <v>4408</v>
      </c>
      <c r="L524" s="2">
        <f t="shared" si="25"/>
        <v>232</v>
      </c>
      <c r="M524" s="1">
        <v>44126</v>
      </c>
      <c r="N524" s="1">
        <v>44126</v>
      </c>
      <c r="O524">
        <v>523</v>
      </c>
      <c r="P524">
        <v>1</v>
      </c>
      <c r="Q524" t="s">
        <v>22</v>
      </c>
      <c r="R524" s="3">
        <v>0.1</v>
      </c>
      <c r="S524" s="2">
        <v>440.8</v>
      </c>
      <c r="T524">
        <v>5</v>
      </c>
      <c r="U524" t="str">
        <f t="shared" si="26"/>
        <v>Outubro</v>
      </c>
    </row>
    <row r="525" spans="1:21">
      <c r="A525">
        <v>524</v>
      </c>
      <c r="B525" s="1">
        <v>44113</v>
      </c>
      <c r="C525" s="1" t="str">
        <f t="shared" si="24"/>
        <v>outubro</v>
      </c>
      <c r="D525">
        <v>63</v>
      </c>
      <c r="E525" t="s">
        <v>80</v>
      </c>
      <c r="F525" t="s">
        <v>46</v>
      </c>
      <c r="G525" s="8">
        <v>40</v>
      </c>
      <c r="H525" s="2">
        <v>108</v>
      </c>
      <c r="I525" s="2">
        <v>4320</v>
      </c>
      <c r="J525" s="4">
        <v>0.04</v>
      </c>
      <c r="K525" s="2">
        <v>4147.2</v>
      </c>
      <c r="L525" s="2">
        <f t="shared" si="25"/>
        <v>172.80000000000018</v>
      </c>
      <c r="M525" s="1">
        <v>44128</v>
      </c>
      <c r="N525" s="1">
        <v>44128</v>
      </c>
      <c r="O525">
        <v>524</v>
      </c>
      <c r="P525">
        <v>3</v>
      </c>
      <c r="Q525" t="s">
        <v>29</v>
      </c>
      <c r="R525" s="3">
        <v>7.0000000000000007E-2</v>
      </c>
      <c r="S525" s="2">
        <v>290.30400000000003</v>
      </c>
      <c r="T525">
        <v>6</v>
      </c>
      <c r="U525" t="str">
        <f t="shared" si="26"/>
        <v>Outubro</v>
      </c>
    </row>
    <row r="526" spans="1:21">
      <c r="A526">
        <v>525</v>
      </c>
      <c r="B526" s="1">
        <v>44114</v>
      </c>
      <c r="C526" s="1" t="str">
        <f t="shared" si="24"/>
        <v>outubro</v>
      </c>
      <c r="D526">
        <v>8</v>
      </c>
      <c r="E526" t="s">
        <v>38</v>
      </c>
      <c r="F526" t="s">
        <v>31</v>
      </c>
      <c r="G526" s="8">
        <v>42</v>
      </c>
      <c r="H526" s="2">
        <v>103</v>
      </c>
      <c r="I526" s="2">
        <v>4326</v>
      </c>
      <c r="J526" s="4">
        <v>0.01</v>
      </c>
      <c r="K526" s="2">
        <v>4282.74</v>
      </c>
      <c r="L526" s="2">
        <f t="shared" si="25"/>
        <v>43.260000000000218</v>
      </c>
      <c r="M526" s="1">
        <v>44133</v>
      </c>
      <c r="N526" s="1">
        <v>44133</v>
      </c>
      <c r="O526">
        <v>525</v>
      </c>
      <c r="P526">
        <v>5</v>
      </c>
      <c r="Q526" t="s">
        <v>34</v>
      </c>
      <c r="R526" s="3">
        <v>0.09</v>
      </c>
      <c r="S526" s="2">
        <v>385.44659999999999</v>
      </c>
      <c r="T526">
        <v>7</v>
      </c>
      <c r="U526" t="str">
        <f t="shared" si="26"/>
        <v>Outubro</v>
      </c>
    </row>
    <row r="527" spans="1:21">
      <c r="A527">
        <v>526</v>
      </c>
      <c r="B527" s="1">
        <v>44114</v>
      </c>
      <c r="C527" s="1" t="str">
        <f t="shared" si="24"/>
        <v>outubro</v>
      </c>
      <c r="D527">
        <v>33</v>
      </c>
      <c r="E527" t="s">
        <v>76</v>
      </c>
      <c r="F527" t="s">
        <v>28</v>
      </c>
      <c r="G527" s="8">
        <v>39</v>
      </c>
      <c r="H527" s="2">
        <v>120</v>
      </c>
      <c r="I527" s="2">
        <v>4680</v>
      </c>
      <c r="J527" s="4">
        <v>0.11</v>
      </c>
      <c r="K527" s="2">
        <v>4165.2</v>
      </c>
      <c r="L527" s="2">
        <f t="shared" si="25"/>
        <v>514.80000000000018</v>
      </c>
      <c r="M527" s="1">
        <v>44131</v>
      </c>
      <c r="N527" s="1">
        <v>44131</v>
      </c>
      <c r="O527">
        <v>526</v>
      </c>
      <c r="P527">
        <v>4</v>
      </c>
      <c r="Q527" t="s">
        <v>32</v>
      </c>
      <c r="R527" s="3">
        <v>0.05</v>
      </c>
      <c r="S527" s="2">
        <v>208.26</v>
      </c>
      <c r="T527">
        <v>1</v>
      </c>
      <c r="U527" t="str">
        <f t="shared" si="26"/>
        <v>Outubro</v>
      </c>
    </row>
    <row r="528" spans="1:21">
      <c r="A528">
        <v>527</v>
      </c>
      <c r="B528" s="1">
        <v>44114</v>
      </c>
      <c r="C528" s="1" t="str">
        <f t="shared" si="24"/>
        <v>outubro</v>
      </c>
      <c r="D528">
        <v>24</v>
      </c>
      <c r="E528" t="s">
        <v>74</v>
      </c>
      <c r="F528" t="s">
        <v>55</v>
      </c>
      <c r="G528" s="8">
        <v>38</v>
      </c>
      <c r="H528" s="2">
        <v>96</v>
      </c>
      <c r="I528" s="2">
        <v>3648</v>
      </c>
      <c r="J528" s="4">
        <v>0.03</v>
      </c>
      <c r="K528" s="2">
        <v>3538.56</v>
      </c>
      <c r="L528" s="2">
        <f t="shared" si="25"/>
        <v>109.44000000000005</v>
      </c>
      <c r="M528" s="1">
        <v>44125</v>
      </c>
      <c r="N528" s="1">
        <v>44125</v>
      </c>
      <c r="O528">
        <v>527</v>
      </c>
      <c r="P528">
        <v>1</v>
      </c>
      <c r="Q528" t="s">
        <v>25</v>
      </c>
      <c r="R528" s="3">
        <v>0.05</v>
      </c>
      <c r="S528" s="2">
        <v>176.928</v>
      </c>
      <c r="T528">
        <v>2</v>
      </c>
      <c r="U528" t="str">
        <f t="shared" si="26"/>
        <v>Outubro</v>
      </c>
    </row>
    <row r="529" spans="1:21">
      <c r="A529">
        <v>528</v>
      </c>
      <c r="B529" s="1">
        <v>44115</v>
      </c>
      <c r="C529" s="1" t="str">
        <f t="shared" si="24"/>
        <v>outubro</v>
      </c>
      <c r="D529">
        <v>5</v>
      </c>
      <c r="E529" t="s">
        <v>38</v>
      </c>
      <c r="F529" t="s">
        <v>55</v>
      </c>
      <c r="G529" s="8">
        <v>32</v>
      </c>
      <c r="H529" s="2">
        <v>112</v>
      </c>
      <c r="I529" s="2">
        <v>3584</v>
      </c>
      <c r="J529" s="4">
        <v>0.04</v>
      </c>
      <c r="K529" s="2">
        <v>3440.64</v>
      </c>
      <c r="L529" s="2">
        <f t="shared" si="25"/>
        <v>143.36000000000013</v>
      </c>
      <c r="M529" s="1">
        <v>44127</v>
      </c>
      <c r="N529" s="1">
        <v>44127</v>
      </c>
      <c r="O529">
        <v>528</v>
      </c>
      <c r="P529">
        <v>5</v>
      </c>
      <c r="Q529" t="s">
        <v>47</v>
      </c>
      <c r="R529" s="3">
        <v>0.09</v>
      </c>
      <c r="S529" s="2">
        <v>309.6576</v>
      </c>
      <c r="T529">
        <v>3</v>
      </c>
      <c r="U529" t="str">
        <f t="shared" si="26"/>
        <v>Outubro</v>
      </c>
    </row>
    <row r="530" spans="1:21">
      <c r="A530">
        <v>529</v>
      </c>
      <c r="B530" s="1">
        <v>44115</v>
      </c>
      <c r="C530" s="1" t="str">
        <f t="shared" si="24"/>
        <v>outubro</v>
      </c>
      <c r="D530">
        <v>29</v>
      </c>
      <c r="E530" t="s">
        <v>98</v>
      </c>
      <c r="F530" t="s">
        <v>31</v>
      </c>
      <c r="G530" s="8">
        <v>20</v>
      </c>
      <c r="H530" s="2">
        <v>108</v>
      </c>
      <c r="I530" s="2">
        <v>2160</v>
      </c>
      <c r="J530" s="4">
        <v>0</v>
      </c>
      <c r="K530" s="2">
        <v>2160</v>
      </c>
      <c r="L530" s="2">
        <f t="shared" si="25"/>
        <v>0</v>
      </c>
      <c r="M530" s="1">
        <v>44135</v>
      </c>
      <c r="N530" s="1">
        <v>44135</v>
      </c>
      <c r="O530">
        <v>529</v>
      </c>
      <c r="P530">
        <v>6</v>
      </c>
      <c r="Q530" t="s">
        <v>47</v>
      </c>
      <c r="R530" s="3">
        <v>7.0000000000000007E-2</v>
      </c>
      <c r="S530" s="2">
        <v>151.20000000000002</v>
      </c>
      <c r="T530">
        <v>4</v>
      </c>
      <c r="U530" t="str">
        <f t="shared" si="26"/>
        <v>Outubro</v>
      </c>
    </row>
    <row r="531" spans="1:21">
      <c r="A531">
        <v>530</v>
      </c>
      <c r="B531" s="1">
        <v>44115</v>
      </c>
      <c r="C531" s="1" t="str">
        <f t="shared" si="24"/>
        <v>outubro</v>
      </c>
      <c r="D531">
        <v>56</v>
      </c>
      <c r="E531" t="s">
        <v>67</v>
      </c>
      <c r="F531" t="s">
        <v>55</v>
      </c>
      <c r="G531" s="8">
        <v>22</v>
      </c>
      <c r="H531" s="2">
        <v>101</v>
      </c>
      <c r="I531" s="2">
        <v>2222</v>
      </c>
      <c r="J531" s="4">
        <v>0.15</v>
      </c>
      <c r="K531" s="2">
        <v>1888.7</v>
      </c>
      <c r="L531" s="2">
        <f t="shared" si="25"/>
        <v>333.29999999999995</v>
      </c>
      <c r="M531" s="1">
        <v>44128</v>
      </c>
      <c r="N531" s="1">
        <v>44128</v>
      </c>
      <c r="O531">
        <v>530</v>
      </c>
      <c r="P531">
        <v>7</v>
      </c>
      <c r="Q531" t="s">
        <v>43</v>
      </c>
      <c r="R531" s="3">
        <v>0.06</v>
      </c>
      <c r="S531" s="2">
        <v>113.322</v>
      </c>
      <c r="T531">
        <v>5</v>
      </c>
      <c r="U531" t="str">
        <f t="shared" si="26"/>
        <v>Outubro</v>
      </c>
    </row>
    <row r="532" spans="1:21">
      <c r="A532">
        <v>531</v>
      </c>
      <c r="B532" s="1">
        <v>44116</v>
      </c>
      <c r="C532" s="1" t="str">
        <f t="shared" si="24"/>
        <v>outubro</v>
      </c>
      <c r="D532">
        <v>22</v>
      </c>
      <c r="E532" t="s">
        <v>51</v>
      </c>
      <c r="F532" t="s">
        <v>24</v>
      </c>
      <c r="G532" s="8">
        <v>42</v>
      </c>
      <c r="H532" s="2">
        <v>91</v>
      </c>
      <c r="I532" s="2">
        <v>3822</v>
      </c>
      <c r="J532" s="4">
        <v>0.09</v>
      </c>
      <c r="K532" s="2">
        <v>3478.02</v>
      </c>
      <c r="L532" s="2">
        <f t="shared" si="25"/>
        <v>343.98</v>
      </c>
      <c r="M532" s="1">
        <v>44145</v>
      </c>
      <c r="N532" s="1">
        <v>44145</v>
      </c>
      <c r="O532">
        <v>531</v>
      </c>
      <c r="P532">
        <v>4</v>
      </c>
      <c r="Q532" t="s">
        <v>34</v>
      </c>
      <c r="R532" s="3">
        <v>7.0000000000000007E-2</v>
      </c>
      <c r="S532" s="2">
        <v>243.46140000000003</v>
      </c>
      <c r="T532">
        <v>6</v>
      </c>
      <c r="U532" t="str">
        <f t="shared" si="26"/>
        <v>Outubro</v>
      </c>
    </row>
    <row r="533" spans="1:21">
      <c r="A533">
        <v>532</v>
      </c>
      <c r="B533" s="1">
        <v>44116</v>
      </c>
      <c r="C533" s="1" t="str">
        <f t="shared" si="24"/>
        <v>outubro</v>
      </c>
      <c r="D533">
        <v>89</v>
      </c>
      <c r="E533" t="s">
        <v>49</v>
      </c>
      <c r="F533" t="s">
        <v>24</v>
      </c>
      <c r="G533" s="8">
        <v>48</v>
      </c>
      <c r="H533" s="2">
        <v>98</v>
      </c>
      <c r="I533" s="2">
        <v>4704</v>
      </c>
      <c r="J533" s="4">
        <v>0.04</v>
      </c>
      <c r="K533" s="2">
        <v>4515.84</v>
      </c>
      <c r="L533" s="2">
        <f t="shared" si="25"/>
        <v>188.15999999999985</v>
      </c>
      <c r="M533" s="1">
        <v>44123</v>
      </c>
      <c r="N533" s="1">
        <v>44123</v>
      </c>
      <c r="O533">
        <v>532</v>
      </c>
      <c r="P533">
        <v>3</v>
      </c>
      <c r="Q533" t="s">
        <v>52</v>
      </c>
      <c r="R533" s="3">
        <v>0.1</v>
      </c>
      <c r="S533" s="2">
        <v>451.58400000000006</v>
      </c>
      <c r="T533">
        <v>7</v>
      </c>
      <c r="U533" t="str">
        <f t="shared" si="26"/>
        <v>Outubro</v>
      </c>
    </row>
    <row r="534" spans="1:21">
      <c r="A534">
        <v>533</v>
      </c>
      <c r="B534" s="1">
        <v>44116</v>
      </c>
      <c r="C534" s="1" t="str">
        <f t="shared" si="24"/>
        <v>outubro</v>
      </c>
      <c r="D534">
        <v>90</v>
      </c>
      <c r="E534" t="s">
        <v>60</v>
      </c>
      <c r="F534" t="s">
        <v>24</v>
      </c>
      <c r="G534" s="8">
        <v>42</v>
      </c>
      <c r="H534" s="2">
        <v>116</v>
      </c>
      <c r="I534" s="2">
        <v>4872</v>
      </c>
      <c r="J534" s="4">
        <v>0.02</v>
      </c>
      <c r="K534" s="2">
        <v>4774.5600000000004</v>
      </c>
      <c r="L534" s="2">
        <f t="shared" si="25"/>
        <v>97.4399999999996</v>
      </c>
      <c r="M534" s="1">
        <v>44138</v>
      </c>
      <c r="N534" s="1">
        <v>44138</v>
      </c>
      <c r="O534">
        <v>533</v>
      </c>
      <c r="P534">
        <v>1</v>
      </c>
      <c r="Q534" t="s">
        <v>69</v>
      </c>
      <c r="R534" s="3">
        <v>0.05</v>
      </c>
      <c r="S534" s="2">
        <v>238.72800000000004</v>
      </c>
      <c r="T534">
        <v>1</v>
      </c>
      <c r="U534" t="str">
        <f t="shared" si="26"/>
        <v>Outubro</v>
      </c>
    </row>
    <row r="535" spans="1:21">
      <c r="A535">
        <v>534</v>
      </c>
      <c r="B535" s="1">
        <v>44116</v>
      </c>
      <c r="C535" s="1" t="str">
        <f t="shared" si="24"/>
        <v>outubro</v>
      </c>
      <c r="D535">
        <v>77</v>
      </c>
      <c r="E535" t="s">
        <v>65</v>
      </c>
      <c r="F535" t="s">
        <v>24</v>
      </c>
      <c r="G535" s="8">
        <v>17</v>
      </c>
      <c r="H535" s="2">
        <v>113</v>
      </c>
      <c r="I535" s="2">
        <v>1921</v>
      </c>
      <c r="J535" s="4">
        <v>0.13</v>
      </c>
      <c r="K535" s="2">
        <v>1671.27</v>
      </c>
      <c r="L535" s="2">
        <f t="shared" si="25"/>
        <v>249.73000000000002</v>
      </c>
      <c r="M535" s="1">
        <v>44135</v>
      </c>
      <c r="N535" s="1">
        <v>44135</v>
      </c>
      <c r="O535">
        <v>534</v>
      </c>
      <c r="P535">
        <v>7</v>
      </c>
      <c r="Q535" t="s">
        <v>34</v>
      </c>
      <c r="R535" s="3">
        <v>7.0000000000000007E-2</v>
      </c>
      <c r="S535" s="2">
        <v>116.98890000000002</v>
      </c>
      <c r="T535">
        <v>2</v>
      </c>
      <c r="U535" t="str">
        <f t="shared" si="26"/>
        <v>Outubro</v>
      </c>
    </row>
    <row r="536" spans="1:21">
      <c r="A536">
        <v>535</v>
      </c>
      <c r="B536" s="1">
        <v>44118</v>
      </c>
      <c r="C536" s="1" t="str">
        <f t="shared" si="24"/>
        <v>outubro</v>
      </c>
      <c r="D536">
        <v>13</v>
      </c>
      <c r="E536" t="s">
        <v>75</v>
      </c>
      <c r="F536" t="s">
        <v>54</v>
      </c>
      <c r="G536" s="8">
        <v>19</v>
      </c>
      <c r="H536" s="2">
        <v>109</v>
      </c>
      <c r="I536" s="2">
        <v>2071</v>
      </c>
      <c r="J536" s="4">
        <v>0.11</v>
      </c>
      <c r="K536" s="2">
        <v>1843.19</v>
      </c>
      <c r="L536" s="2">
        <f t="shared" si="25"/>
        <v>227.80999999999995</v>
      </c>
      <c r="M536" s="1">
        <v>44144</v>
      </c>
      <c r="N536" s="1">
        <v>44144</v>
      </c>
      <c r="O536">
        <v>535</v>
      </c>
      <c r="P536">
        <v>5</v>
      </c>
      <c r="Q536" t="s">
        <v>34</v>
      </c>
      <c r="R536" s="3">
        <v>0.1</v>
      </c>
      <c r="S536" s="2">
        <v>184.31900000000002</v>
      </c>
      <c r="T536">
        <v>3</v>
      </c>
      <c r="U536" t="str">
        <f t="shared" si="26"/>
        <v>Outubro</v>
      </c>
    </row>
    <row r="537" spans="1:21">
      <c r="A537">
        <v>536</v>
      </c>
      <c r="B537" s="1">
        <v>44118</v>
      </c>
      <c r="C537" s="1" t="str">
        <f t="shared" si="24"/>
        <v>outubro</v>
      </c>
      <c r="D537">
        <v>40</v>
      </c>
      <c r="E537" t="s">
        <v>49</v>
      </c>
      <c r="F537" t="s">
        <v>31</v>
      </c>
      <c r="G537" s="8">
        <v>12</v>
      </c>
      <c r="H537" s="2">
        <v>103</v>
      </c>
      <c r="I537" s="2">
        <v>1236</v>
      </c>
      <c r="J537" s="4">
        <v>0.06</v>
      </c>
      <c r="K537" s="2">
        <v>1161.8399999999999</v>
      </c>
      <c r="L537" s="2">
        <f t="shared" si="25"/>
        <v>74.160000000000082</v>
      </c>
      <c r="M537" s="1">
        <v>44142</v>
      </c>
      <c r="N537" s="1">
        <v>44142</v>
      </c>
      <c r="O537">
        <v>536</v>
      </c>
      <c r="P537">
        <v>7</v>
      </c>
      <c r="Q537" t="s">
        <v>47</v>
      </c>
      <c r="R537" s="3">
        <v>0.1</v>
      </c>
      <c r="S537" s="2">
        <v>116.184</v>
      </c>
      <c r="T537">
        <v>4</v>
      </c>
      <c r="U537" t="str">
        <f t="shared" si="26"/>
        <v>Outubro</v>
      </c>
    </row>
    <row r="538" spans="1:21">
      <c r="A538">
        <v>537</v>
      </c>
      <c r="B538" s="1">
        <v>44118</v>
      </c>
      <c r="C538" s="1" t="str">
        <f t="shared" si="24"/>
        <v>outubro</v>
      </c>
      <c r="D538">
        <v>62</v>
      </c>
      <c r="E538" t="s">
        <v>38</v>
      </c>
      <c r="F538" t="s">
        <v>31</v>
      </c>
      <c r="G538" s="8">
        <v>15</v>
      </c>
      <c r="H538" s="2">
        <v>92</v>
      </c>
      <c r="I538" s="2">
        <v>1380</v>
      </c>
      <c r="J538" s="4">
        <v>0.12</v>
      </c>
      <c r="K538" s="2">
        <v>1214.4000000000001</v>
      </c>
      <c r="L538" s="2">
        <f t="shared" si="25"/>
        <v>165.59999999999991</v>
      </c>
      <c r="M538" s="1">
        <v>44144</v>
      </c>
      <c r="N538" s="1">
        <v>44144</v>
      </c>
      <c r="O538">
        <v>537</v>
      </c>
      <c r="P538">
        <v>6</v>
      </c>
      <c r="Q538" t="s">
        <v>69</v>
      </c>
      <c r="R538" s="3">
        <v>0.09</v>
      </c>
      <c r="S538" s="2">
        <v>109.29600000000001</v>
      </c>
      <c r="T538">
        <v>5</v>
      </c>
      <c r="U538" t="str">
        <f t="shared" si="26"/>
        <v>Outubro</v>
      </c>
    </row>
    <row r="539" spans="1:21">
      <c r="A539">
        <v>538</v>
      </c>
      <c r="B539" s="1">
        <v>44119</v>
      </c>
      <c r="C539" s="1" t="str">
        <f t="shared" si="24"/>
        <v>outubro</v>
      </c>
      <c r="D539">
        <v>39</v>
      </c>
      <c r="E539" t="s">
        <v>38</v>
      </c>
      <c r="F539" t="s">
        <v>59</v>
      </c>
      <c r="G539" s="8">
        <v>49</v>
      </c>
      <c r="H539" s="2">
        <v>113</v>
      </c>
      <c r="I539" s="2">
        <v>5537</v>
      </c>
      <c r="J539" s="4">
        <v>0.09</v>
      </c>
      <c r="K539" s="2">
        <v>5038.67</v>
      </c>
      <c r="L539" s="2">
        <f t="shared" si="25"/>
        <v>498.32999999999993</v>
      </c>
      <c r="M539" s="1">
        <v>44124</v>
      </c>
      <c r="N539" s="1">
        <v>44124</v>
      </c>
      <c r="O539">
        <v>538</v>
      </c>
      <c r="P539">
        <v>2</v>
      </c>
      <c r="Q539" t="s">
        <v>34</v>
      </c>
      <c r="R539" s="3">
        <v>0.09</v>
      </c>
      <c r="S539" s="2">
        <v>453.4803</v>
      </c>
      <c r="T539">
        <v>6</v>
      </c>
      <c r="U539" t="str">
        <f t="shared" si="26"/>
        <v>Outubro</v>
      </c>
    </row>
    <row r="540" spans="1:21">
      <c r="A540">
        <v>539</v>
      </c>
      <c r="B540" s="1">
        <v>44119</v>
      </c>
      <c r="C540" s="1" t="str">
        <f t="shared" si="24"/>
        <v>outubro</v>
      </c>
      <c r="D540">
        <v>76</v>
      </c>
      <c r="E540" t="s">
        <v>104</v>
      </c>
      <c r="F540" t="s">
        <v>46</v>
      </c>
      <c r="G540" s="8">
        <v>15</v>
      </c>
      <c r="H540" s="2">
        <v>102</v>
      </c>
      <c r="I540" s="2">
        <v>1530</v>
      </c>
      <c r="J540" s="4">
        <v>0.06</v>
      </c>
      <c r="K540" s="2">
        <v>1438.2</v>
      </c>
      <c r="L540" s="2">
        <f t="shared" si="25"/>
        <v>91.799999999999955</v>
      </c>
      <c r="M540" s="1">
        <v>44135</v>
      </c>
      <c r="N540" s="1">
        <v>44135</v>
      </c>
      <c r="O540">
        <v>539</v>
      </c>
      <c r="P540">
        <v>2</v>
      </c>
      <c r="Q540" t="s">
        <v>25</v>
      </c>
      <c r="R540" s="3">
        <v>0.1</v>
      </c>
      <c r="S540" s="2">
        <v>143.82000000000002</v>
      </c>
      <c r="T540">
        <v>7</v>
      </c>
      <c r="U540" t="str">
        <f t="shared" si="26"/>
        <v>Outubro</v>
      </c>
    </row>
    <row r="541" spans="1:21">
      <c r="A541">
        <v>540</v>
      </c>
      <c r="B541" s="1">
        <v>44121</v>
      </c>
      <c r="C541" s="1" t="str">
        <f t="shared" si="24"/>
        <v>outubro</v>
      </c>
      <c r="D541">
        <v>54</v>
      </c>
      <c r="E541" t="s">
        <v>79</v>
      </c>
      <c r="F541" t="s">
        <v>55</v>
      </c>
      <c r="G541" s="8">
        <v>18</v>
      </c>
      <c r="H541" s="2">
        <v>94</v>
      </c>
      <c r="I541" s="2">
        <v>1692</v>
      </c>
      <c r="J541" s="4">
        <v>0.12</v>
      </c>
      <c r="K541" s="2">
        <v>1488.96</v>
      </c>
      <c r="L541" s="2">
        <f t="shared" si="25"/>
        <v>203.03999999999996</v>
      </c>
      <c r="M541" s="1">
        <v>44136</v>
      </c>
      <c r="N541" s="1">
        <v>44136</v>
      </c>
      <c r="O541">
        <v>540</v>
      </c>
      <c r="P541">
        <v>7</v>
      </c>
      <c r="Q541" t="s">
        <v>43</v>
      </c>
      <c r="R541" s="3">
        <v>0.06</v>
      </c>
      <c r="S541" s="2">
        <v>89.337599999999995</v>
      </c>
      <c r="T541">
        <v>1</v>
      </c>
      <c r="U541" t="str">
        <f t="shared" si="26"/>
        <v>Outubro</v>
      </c>
    </row>
    <row r="542" spans="1:21">
      <c r="A542">
        <v>541</v>
      </c>
      <c r="B542" s="1">
        <v>44121</v>
      </c>
      <c r="C542" s="1" t="str">
        <f t="shared" si="24"/>
        <v>outubro</v>
      </c>
      <c r="D542">
        <v>6</v>
      </c>
      <c r="E542" t="s">
        <v>88</v>
      </c>
      <c r="F542" t="s">
        <v>50</v>
      </c>
      <c r="G542" s="8">
        <v>28</v>
      </c>
      <c r="H542" s="2">
        <v>102</v>
      </c>
      <c r="I542" s="2">
        <v>2856</v>
      </c>
      <c r="J542" s="4">
        <v>0.08</v>
      </c>
      <c r="K542" s="2">
        <v>2627.52</v>
      </c>
      <c r="L542" s="2">
        <f t="shared" si="25"/>
        <v>228.48000000000002</v>
      </c>
      <c r="M542" s="1">
        <v>44151</v>
      </c>
      <c r="N542" s="1">
        <v>44151</v>
      </c>
      <c r="O542">
        <v>541</v>
      </c>
      <c r="P542">
        <v>2</v>
      </c>
      <c r="Q542" t="s">
        <v>34</v>
      </c>
      <c r="R542" s="3">
        <v>7.0000000000000007E-2</v>
      </c>
      <c r="S542" s="2">
        <v>183.92640000000003</v>
      </c>
      <c r="T542">
        <v>2</v>
      </c>
      <c r="U542" t="str">
        <f t="shared" si="26"/>
        <v>Outubro</v>
      </c>
    </row>
    <row r="543" spans="1:21">
      <c r="A543">
        <v>542</v>
      </c>
      <c r="B543" s="1">
        <v>44121</v>
      </c>
      <c r="C543" s="1" t="str">
        <f t="shared" si="24"/>
        <v>outubro</v>
      </c>
      <c r="D543">
        <v>52</v>
      </c>
      <c r="E543" t="s">
        <v>23</v>
      </c>
      <c r="F543" t="s">
        <v>50</v>
      </c>
      <c r="G543" s="8">
        <v>32</v>
      </c>
      <c r="H543" s="2">
        <v>97</v>
      </c>
      <c r="I543" s="2">
        <v>3104</v>
      </c>
      <c r="J543" s="4">
        <v>0</v>
      </c>
      <c r="K543" s="2">
        <v>3104</v>
      </c>
      <c r="L543" s="2">
        <f t="shared" si="25"/>
        <v>0</v>
      </c>
      <c r="M543" s="1">
        <v>44140</v>
      </c>
      <c r="N543" s="1">
        <v>44140</v>
      </c>
      <c r="O543">
        <v>542</v>
      </c>
      <c r="P543">
        <v>5</v>
      </c>
      <c r="Q543" t="s">
        <v>29</v>
      </c>
      <c r="R543" s="3">
        <v>7.0000000000000007E-2</v>
      </c>
      <c r="S543" s="2">
        <v>217.28000000000003</v>
      </c>
      <c r="T543">
        <v>3</v>
      </c>
      <c r="U543" t="str">
        <f t="shared" si="26"/>
        <v>Outubro</v>
      </c>
    </row>
    <row r="544" spans="1:21">
      <c r="A544">
        <v>543</v>
      </c>
      <c r="B544" s="1">
        <v>44121</v>
      </c>
      <c r="C544" s="1" t="str">
        <f t="shared" si="24"/>
        <v>outubro</v>
      </c>
      <c r="D544">
        <v>99</v>
      </c>
      <c r="E544" t="s">
        <v>84</v>
      </c>
      <c r="F544" t="s">
        <v>46</v>
      </c>
      <c r="G544" s="8">
        <v>29</v>
      </c>
      <c r="H544" s="2">
        <v>102</v>
      </c>
      <c r="I544" s="2">
        <v>2958</v>
      </c>
      <c r="J544" s="4">
        <v>0.15</v>
      </c>
      <c r="K544" s="2">
        <v>2514.3000000000002</v>
      </c>
      <c r="L544" s="2">
        <f t="shared" si="25"/>
        <v>443.69999999999982</v>
      </c>
      <c r="M544" s="1">
        <v>44130</v>
      </c>
      <c r="N544" s="1">
        <v>44130</v>
      </c>
      <c r="O544">
        <v>543</v>
      </c>
      <c r="P544">
        <v>6</v>
      </c>
      <c r="Q544" t="s">
        <v>52</v>
      </c>
      <c r="R544" s="3">
        <v>0.09</v>
      </c>
      <c r="S544" s="2">
        <v>226.28700000000001</v>
      </c>
      <c r="T544">
        <v>4</v>
      </c>
      <c r="U544" t="str">
        <f t="shared" si="26"/>
        <v>Outubro</v>
      </c>
    </row>
    <row r="545" spans="1:21">
      <c r="A545">
        <v>544</v>
      </c>
      <c r="B545" s="1">
        <v>44122</v>
      </c>
      <c r="C545" s="1" t="str">
        <f t="shared" si="24"/>
        <v>outubro</v>
      </c>
      <c r="D545">
        <v>18</v>
      </c>
      <c r="E545" t="s">
        <v>83</v>
      </c>
      <c r="F545" t="s">
        <v>28</v>
      </c>
      <c r="G545" s="8">
        <v>29</v>
      </c>
      <c r="H545" s="2">
        <v>119</v>
      </c>
      <c r="I545" s="2">
        <v>3451</v>
      </c>
      <c r="J545" s="4">
        <v>0.12</v>
      </c>
      <c r="K545" s="2">
        <v>3036.88</v>
      </c>
      <c r="L545" s="2">
        <f t="shared" si="25"/>
        <v>414.11999999999989</v>
      </c>
      <c r="M545" s="1">
        <v>44136</v>
      </c>
      <c r="N545" s="1">
        <v>44136</v>
      </c>
      <c r="O545">
        <v>544</v>
      </c>
      <c r="P545">
        <v>4</v>
      </c>
      <c r="Q545" t="s">
        <v>32</v>
      </c>
      <c r="R545" s="3">
        <v>0.06</v>
      </c>
      <c r="S545" s="2">
        <v>182.21279999999999</v>
      </c>
      <c r="T545">
        <v>5</v>
      </c>
      <c r="U545" t="str">
        <f t="shared" si="26"/>
        <v>Outubro</v>
      </c>
    </row>
    <row r="546" spans="1:21">
      <c r="A546">
        <v>545</v>
      </c>
      <c r="B546" s="1">
        <v>44123</v>
      </c>
      <c r="C546" s="1" t="str">
        <f t="shared" si="24"/>
        <v>outubro</v>
      </c>
      <c r="D546">
        <v>22</v>
      </c>
      <c r="E546" t="s">
        <v>51</v>
      </c>
      <c r="F546" t="s">
        <v>28</v>
      </c>
      <c r="G546" s="8">
        <v>24</v>
      </c>
      <c r="H546" s="2">
        <v>103</v>
      </c>
      <c r="I546" s="2">
        <v>2472</v>
      </c>
      <c r="J546" s="4">
        <v>0.05</v>
      </c>
      <c r="K546" s="2">
        <v>2348.4</v>
      </c>
      <c r="L546" s="2">
        <f t="shared" si="25"/>
        <v>123.59999999999991</v>
      </c>
      <c r="M546" s="1">
        <v>44148</v>
      </c>
      <c r="N546" s="1">
        <v>44148</v>
      </c>
      <c r="O546">
        <v>545</v>
      </c>
      <c r="P546">
        <v>5</v>
      </c>
      <c r="Q546" t="s">
        <v>43</v>
      </c>
      <c r="R546" s="3">
        <v>0.09</v>
      </c>
      <c r="S546" s="2">
        <v>211.35599999999999</v>
      </c>
      <c r="T546">
        <v>6</v>
      </c>
      <c r="U546" t="str">
        <f t="shared" si="26"/>
        <v>Outubro</v>
      </c>
    </row>
    <row r="547" spans="1:21">
      <c r="A547">
        <v>546</v>
      </c>
      <c r="B547" s="1">
        <v>44124</v>
      </c>
      <c r="C547" s="1" t="str">
        <f t="shared" si="24"/>
        <v>outubro</v>
      </c>
      <c r="D547">
        <v>62</v>
      </c>
      <c r="E547" t="s">
        <v>38</v>
      </c>
      <c r="F547" t="s">
        <v>24</v>
      </c>
      <c r="G547" s="8">
        <v>28</v>
      </c>
      <c r="H547" s="2">
        <v>107</v>
      </c>
      <c r="I547" s="2">
        <v>2996</v>
      </c>
      <c r="J547" s="4">
        <v>0.04</v>
      </c>
      <c r="K547" s="2">
        <v>2876.16</v>
      </c>
      <c r="L547" s="2">
        <f t="shared" si="25"/>
        <v>119.84000000000015</v>
      </c>
      <c r="M547" s="1">
        <v>44144</v>
      </c>
      <c r="N547" s="1">
        <v>44144</v>
      </c>
      <c r="O547">
        <v>546</v>
      </c>
      <c r="P547">
        <v>7</v>
      </c>
      <c r="Q547" t="s">
        <v>22</v>
      </c>
      <c r="R547" s="3">
        <v>0.06</v>
      </c>
      <c r="S547" s="2">
        <v>172.56959999999998</v>
      </c>
      <c r="T547">
        <v>7</v>
      </c>
      <c r="U547" t="str">
        <f t="shared" si="26"/>
        <v>Outubro</v>
      </c>
    </row>
    <row r="548" spans="1:21">
      <c r="A548">
        <v>547</v>
      </c>
      <c r="B548" s="1">
        <v>44124</v>
      </c>
      <c r="C548" s="1" t="str">
        <f t="shared" si="24"/>
        <v>outubro</v>
      </c>
      <c r="D548">
        <v>39</v>
      </c>
      <c r="E548" t="s">
        <v>38</v>
      </c>
      <c r="F548" t="s">
        <v>41</v>
      </c>
      <c r="G548" s="8">
        <v>33</v>
      </c>
      <c r="H548" s="2">
        <v>90</v>
      </c>
      <c r="I548" s="2">
        <v>2970</v>
      </c>
      <c r="J548" s="4">
        <v>0.08</v>
      </c>
      <c r="K548" s="2">
        <v>2732.4</v>
      </c>
      <c r="L548" s="2">
        <f t="shared" si="25"/>
        <v>237.59999999999991</v>
      </c>
      <c r="M548" s="1">
        <v>44132</v>
      </c>
      <c r="N548" s="1">
        <v>44132</v>
      </c>
      <c r="O548">
        <v>547</v>
      </c>
      <c r="P548">
        <v>3</v>
      </c>
      <c r="Q548" t="s">
        <v>25</v>
      </c>
      <c r="R548" s="3">
        <v>0.06</v>
      </c>
      <c r="S548" s="2">
        <v>163.94399999999999</v>
      </c>
      <c r="T548">
        <v>1</v>
      </c>
      <c r="U548" t="str">
        <f t="shared" si="26"/>
        <v>Outubro</v>
      </c>
    </row>
    <row r="549" spans="1:21">
      <c r="A549">
        <v>548</v>
      </c>
      <c r="B549" s="1">
        <v>44124</v>
      </c>
      <c r="C549" s="1" t="str">
        <f t="shared" si="24"/>
        <v>outubro</v>
      </c>
      <c r="D549">
        <v>66</v>
      </c>
      <c r="E549" t="s">
        <v>30</v>
      </c>
      <c r="F549" t="s">
        <v>31</v>
      </c>
      <c r="G549" s="8">
        <v>11</v>
      </c>
      <c r="H549" s="2">
        <v>113</v>
      </c>
      <c r="I549" s="2">
        <v>1243</v>
      </c>
      <c r="J549" s="4">
        <v>0.06</v>
      </c>
      <c r="K549" s="2">
        <v>1168.42</v>
      </c>
      <c r="L549" s="2">
        <f t="shared" si="25"/>
        <v>74.579999999999927</v>
      </c>
      <c r="M549" s="1">
        <v>44124</v>
      </c>
      <c r="N549" s="1">
        <v>44124</v>
      </c>
      <c r="O549">
        <v>548</v>
      </c>
      <c r="P549">
        <v>6</v>
      </c>
      <c r="Q549" t="s">
        <v>29</v>
      </c>
      <c r="R549" s="3">
        <v>0.06</v>
      </c>
      <c r="S549" s="2">
        <v>70.105199999999996</v>
      </c>
      <c r="T549">
        <v>2</v>
      </c>
      <c r="U549" t="str">
        <f t="shared" si="26"/>
        <v>Outubro</v>
      </c>
    </row>
    <row r="550" spans="1:21">
      <c r="A550">
        <v>549</v>
      </c>
      <c r="B550" s="1">
        <v>44125</v>
      </c>
      <c r="C550" s="1" t="str">
        <f t="shared" si="24"/>
        <v>outubro</v>
      </c>
      <c r="D550">
        <v>42</v>
      </c>
      <c r="E550" t="s">
        <v>92</v>
      </c>
      <c r="F550" t="s">
        <v>41</v>
      </c>
      <c r="G550" s="8">
        <v>36</v>
      </c>
      <c r="H550" s="2">
        <v>117</v>
      </c>
      <c r="I550" s="2">
        <v>4212</v>
      </c>
      <c r="J550" s="4">
        <v>0.14000000000000001</v>
      </c>
      <c r="K550" s="2">
        <v>3622.3199999999997</v>
      </c>
      <c r="L550" s="2">
        <f t="shared" si="25"/>
        <v>589.68000000000029</v>
      </c>
      <c r="M550" s="1">
        <v>44126</v>
      </c>
      <c r="N550" s="1">
        <v>44126</v>
      </c>
      <c r="O550">
        <v>549</v>
      </c>
      <c r="P550">
        <v>1</v>
      </c>
      <c r="Q550" t="s">
        <v>32</v>
      </c>
      <c r="R550" s="3">
        <v>7.0000000000000007E-2</v>
      </c>
      <c r="S550" s="2">
        <v>253.5624</v>
      </c>
      <c r="T550">
        <v>3</v>
      </c>
      <c r="U550" t="str">
        <f t="shared" si="26"/>
        <v>Outubro</v>
      </c>
    </row>
    <row r="551" spans="1:21">
      <c r="A551">
        <v>550</v>
      </c>
      <c r="B551" s="1">
        <v>44125</v>
      </c>
      <c r="C551" s="1" t="str">
        <f t="shared" si="24"/>
        <v>outubro</v>
      </c>
      <c r="D551">
        <v>81</v>
      </c>
      <c r="E551" t="s">
        <v>103</v>
      </c>
      <c r="F551" t="s">
        <v>54</v>
      </c>
      <c r="G551" s="8">
        <v>26</v>
      </c>
      <c r="H551" s="2">
        <v>98</v>
      </c>
      <c r="I551" s="2">
        <v>2548</v>
      </c>
      <c r="J551" s="4">
        <v>0.14000000000000001</v>
      </c>
      <c r="K551" s="2">
        <v>2191.2799999999997</v>
      </c>
      <c r="L551" s="2">
        <f t="shared" si="25"/>
        <v>356.72000000000025</v>
      </c>
      <c r="M551" s="1">
        <v>44136</v>
      </c>
      <c r="N551" s="1">
        <v>44136</v>
      </c>
      <c r="O551">
        <v>550</v>
      </c>
      <c r="P551">
        <v>5</v>
      </c>
      <c r="Q551" t="s">
        <v>37</v>
      </c>
      <c r="R551" s="3">
        <v>0.09</v>
      </c>
      <c r="S551" s="2">
        <v>197.21519999999998</v>
      </c>
      <c r="T551">
        <v>4</v>
      </c>
      <c r="U551" t="str">
        <f t="shared" si="26"/>
        <v>Outubro</v>
      </c>
    </row>
    <row r="552" spans="1:21">
      <c r="A552">
        <v>551</v>
      </c>
      <c r="B552" s="1">
        <v>44129</v>
      </c>
      <c r="C552" s="1" t="str">
        <f t="shared" si="24"/>
        <v>outubro</v>
      </c>
      <c r="D552">
        <v>42</v>
      </c>
      <c r="E552" t="s">
        <v>92</v>
      </c>
      <c r="F552" t="s">
        <v>50</v>
      </c>
      <c r="G552" s="8">
        <v>24</v>
      </c>
      <c r="H552" s="2">
        <v>104</v>
      </c>
      <c r="I552" s="2">
        <v>2496</v>
      </c>
      <c r="J552" s="4">
        <v>0.11</v>
      </c>
      <c r="K552" s="2">
        <v>2221.44</v>
      </c>
      <c r="L552" s="2">
        <f t="shared" si="25"/>
        <v>274.55999999999995</v>
      </c>
      <c r="M552" s="1">
        <v>44143</v>
      </c>
      <c r="N552" s="1">
        <v>44143</v>
      </c>
      <c r="O552">
        <v>551</v>
      </c>
      <c r="P552">
        <v>4</v>
      </c>
      <c r="Q552" t="s">
        <v>52</v>
      </c>
      <c r="R552" s="3">
        <v>0.1</v>
      </c>
      <c r="S552" s="2">
        <v>222.14400000000001</v>
      </c>
      <c r="T552">
        <v>5</v>
      </c>
      <c r="U552" t="str">
        <f t="shared" si="26"/>
        <v>Outubro</v>
      </c>
    </row>
    <row r="553" spans="1:21">
      <c r="A553">
        <v>552</v>
      </c>
      <c r="B553" s="1">
        <v>44130</v>
      </c>
      <c r="C553" s="1" t="str">
        <f t="shared" si="24"/>
        <v>outubro</v>
      </c>
      <c r="D553">
        <v>35</v>
      </c>
      <c r="E553" t="s">
        <v>38</v>
      </c>
      <c r="F553" t="s">
        <v>24</v>
      </c>
      <c r="G553" s="8">
        <v>41</v>
      </c>
      <c r="H553" s="2">
        <v>120</v>
      </c>
      <c r="I553" s="2">
        <v>4920</v>
      </c>
      <c r="J553" s="4">
        <v>0.04</v>
      </c>
      <c r="K553" s="2">
        <v>4723.2</v>
      </c>
      <c r="L553" s="2">
        <f t="shared" si="25"/>
        <v>196.80000000000018</v>
      </c>
      <c r="M553" s="1">
        <v>44146</v>
      </c>
      <c r="N553" s="1">
        <v>44146</v>
      </c>
      <c r="O553">
        <v>552</v>
      </c>
      <c r="P553">
        <v>5</v>
      </c>
      <c r="Q553" t="s">
        <v>69</v>
      </c>
      <c r="R553" s="3">
        <v>0.06</v>
      </c>
      <c r="S553" s="2">
        <v>283.392</v>
      </c>
      <c r="T553">
        <v>6</v>
      </c>
      <c r="U553" t="str">
        <f t="shared" si="26"/>
        <v>Outubro</v>
      </c>
    </row>
    <row r="554" spans="1:21">
      <c r="A554">
        <v>553</v>
      </c>
      <c r="B554" s="1">
        <v>44130</v>
      </c>
      <c r="C554" s="1" t="str">
        <f t="shared" si="24"/>
        <v>outubro</v>
      </c>
      <c r="D554">
        <v>32</v>
      </c>
      <c r="E554" t="s">
        <v>77</v>
      </c>
      <c r="F554" t="s">
        <v>50</v>
      </c>
      <c r="G554" s="8">
        <v>15</v>
      </c>
      <c r="H554" s="2">
        <v>114</v>
      </c>
      <c r="I554" s="2">
        <v>1710</v>
      </c>
      <c r="J554" s="4">
        <v>0.06</v>
      </c>
      <c r="K554" s="2">
        <v>1607.4</v>
      </c>
      <c r="L554" s="2">
        <f t="shared" si="25"/>
        <v>102.59999999999991</v>
      </c>
      <c r="M554" s="1">
        <v>44155</v>
      </c>
      <c r="N554" s="1">
        <v>44155</v>
      </c>
      <c r="O554">
        <v>553</v>
      </c>
      <c r="P554">
        <v>7</v>
      </c>
      <c r="Q554" t="s">
        <v>52</v>
      </c>
      <c r="R554" s="3">
        <v>0.08</v>
      </c>
      <c r="S554" s="2">
        <v>128.59200000000001</v>
      </c>
      <c r="T554">
        <v>7</v>
      </c>
      <c r="U554" t="str">
        <f t="shared" si="26"/>
        <v>Outubro</v>
      </c>
    </row>
    <row r="555" spans="1:21">
      <c r="A555">
        <v>554</v>
      </c>
      <c r="B555" s="1">
        <v>44131</v>
      </c>
      <c r="C555" s="1" t="str">
        <f t="shared" si="24"/>
        <v>outubro</v>
      </c>
      <c r="D555">
        <v>73</v>
      </c>
      <c r="E555" t="s">
        <v>38</v>
      </c>
      <c r="F555" t="s">
        <v>31</v>
      </c>
      <c r="G555" s="8">
        <v>14</v>
      </c>
      <c r="H555" s="2">
        <v>94</v>
      </c>
      <c r="I555" s="2">
        <v>1316</v>
      </c>
      <c r="J555" s="4">
        <v>0.03</v>
      </c>
      <c r="K555" s="2">
        <v>1276.52</v>
      </c>
      <c r="L555" s="2">
        <f t="shared" si="25"/>
        <v>39.480000000000018</v>
      </c>
      <c r="M555" s="1">
        <v>44150</v>
      </c>
      <c r="N555" s="1">
        <v>44150</v>
      </c>
      <c r="O555">
        <v>554</v>
      </c>
      <c r="P555">
        <v>2</v>
      </c>
      <c r="Q555" t="s">
        <v>43</v>
      </c>
      <c r="R555" s="3">
        <v>0.05</v>
      </c>
      <c r="S555" s="2">
        <v>63.826000000000001</v>
      </c>
      <c r="T555">
        <v>1</v>
      </c>
      <c r="U555" t="str">
        <f t="shared" si="26"/>
        <v>Outubro</v>
      </c>
    </row>
    <row r="556" spans="1:21">
      <c r="A556">
        <v>555</v>
      </c>
      <c r="B556" s="1">
        <v>44131</v>
      </c>
      <c r="C556" s="1" t="str">
        <f t="shared" si="24"/>
        <v>outubro</v>
      </c>
      <c r="D556">
        <v>18</v>
      </c>
      <c r="E556" t="s">
        <v>83</v>
      </c>
      <c r="F556" t="s">
        <v>50</v>
      </c>
      <c r="G556" s="8">
        <v>25</v>
      </c>
      <c r="H556" s="2">
        <v>98</v>
      </c>
      <c r="I556" s="2">
        <v>2450</v>
      </c>
      <c r="J556" s="4">
        <v>0.1</v>
      </c>
      <c r="K556" s="2">
        <v>2205</v>
      </c>
      <c r="L556" s="2">
        <f t="shared" si="25"/>
        <v>245</v>
      </c>
      <c r="M556" s="1">
        <v>44140</v>
      </c>
      <c r="N556" s="1">
        <v>44140</v>
      </c>
      <c r="O556">
        <v>555</v>
      </c>
      <c r="P556">
        <v>7</v>
      </c>
      <c r="Q556" t="s">
        <v>34</v>
      </c>
      <c r="R556" s="3">
        <v>0.09</v>
      </c>
      <c r="S556" s="2">
        <v>198.45</v>
      </c>
      <c r="T556">
        <v>2</v>
      </c>
      <c r="U556" t="str">
        <f t="shared" si="26"/>
        <v>Outubro</v>
      </c>
    </row>
    <row r="557" spans="1:21">
      <c r="A557">
        <v>556</v>
      </c>
      <c r="B557" s="1">
        <v>44132</v>
      </c>
      <c r="C557" s="1" t="str">
        <f t="shared" si="24"/>
        <v>outubro</v>
      </c>
      <c r="D557">
        <v>27</v>
      </c>
      <c r="E557" t="s">
        <v>101</v>
      </c>
      <c r="F557" t="s">
        <v>28</v>
      </c>
      <c r="G557" s="8">
        <v>43</v>
      </c>
      <c r="H557" s="2">
        <v>101</v>
      </c>
      <c r="I557" s="2">
        <v>4343</v>
      </c>
      <c r="J557" s="4">
        <v>0.13</v>
      </c>
      <c r="K557" s="2">
        <v>3778.41</v>
      </c>
      <c r="L557" s="2">
        <f t="shared" si="25"/>
        <v>564.59000000000015</v>
      </c>
      <c r="M557" s="1">
        <v>44152</v>
      </c>
      <c r="N557" s="1">
        <v>44152</v>
      </c>
      <c r="O557">
        <v>556</v>
      </c>
      <c r="P557">
        <v>2</v>
      </c>
      <c r="Q557" t="s">
        <v>43</v>
      </c>
      <c r="R557" s="3">
        <v>0.1</v>
      </c>
      <c r="S557" s="2">
        <v>377.84100000000001</v>
      </c>
      <c r="T557">
        <v>3</v>
      </c>
      <c r="U557" t="str">
        <f t="shared" si="26"/>
        <v>Outubro</v>
      </c>
    </row>
    <row r="558" spans="1:21">
      <c r="A558">
        <v>557</v>
      </c>
      <c r="B558" s="1">
        <v>44133</v>
      </c>
      <c r="C558" s="1" t="str">
        <f t="shared" si="24"/>
        <v>outubro</v>
      </c>
      <c r="D558">
        <v>86</v>
      </c>
      <c r="E558" t="s">
        <v>90</v>
      </c>
      <c r="F558" t="s">
        <v>21</v>
      </c>
      <c r="G558" s="8">
        <v>45</v>
      </c>
      <c r="H558" s="2">
        <v>108</v>
      </c>
      <c r="I558" s="2">
        <v>4860</v>
      </c>
      <c r="J558" s="4">
        <v>0.06</v>
      </c>
      <c r="K558" s="2">
        <v>4568.3999999999996</v>
      </c>
      <c r="L558" s="2">
        <f t="shared" si="25"/>
        <v>291.60000000000036</v>
      </c>
      <c r="M558" s="1">
        <v>44138</v>
      </c>
      <c r="N558" s="1">
        <v>44138</v>
      </c>
      <c r="O558">
        <v>557</v>
      </c>
      <c r="P558">
        <v>3</v>
      </c>
      <c r="Q558" t="s">
        <v>22</v>
      </c>
      <c r="R558" s="3">
        <v>0.1</v>
      </c>
      <c r="S558" s="2">
        <v>456.84</v>
      </c>
      <c r="T558">
        <v>4</v>
      </c>
      <c r="U558" t="str">
        <f t="shared" si="26"/>
        <v>Outubro</v>
      </c>
    </row>
    <row r="559" spans="1:21">
      <c r="A559">
        <v>558</v>
      </c>
      <c r="B559" s="1">
        <v>44133</v>
      </c>
      <c r="C559" s="1" t="str">
        <f t="shared" si="24"/>
        <v>outubro</v>
      </c>
      <c r="D559">
        <v>18</v>
      </c>
      <c r="E559" t="s">
        <v>83</v>
      </c>
      <c r="F559" t="s">
        <v>50</v>
      </c>
      <c r="G559" s="8">
        <v>38</v>
      </c>
      <c r="H559" s="2">
        <v>97</v>
      </c>
      <c r="I559" s="2">
        <v>3686</v>
      </c>
      <c r="J559" s="4">
        <v>0.09</v>
      </c>
      <c r="K559" s="2">
        <v>3354.26</v>
      </c>
      <c r="L559" s="2">
        <f t="shared" si="25"/>
        <v>331.73999999999978</v>
      </c>
      <c r="M559" s="1">
        <v>44144</v>
      </c>
      <c r="N559" s="1">
        <v>44144</v>
      </c>
      <c r="O559">
        <v>558</v>
      </c>
      <c r="P559">
        <v>7</v>
      </c>
      <c r="Q559" t="s">
        <v>43</v>
      </c>
      <c r="R559" s="3">
        <v>7.0000000000000007E-2</v>
      </c>
      <c r="S559" s="2">
        <v>234.79820000000004</v>
      </c>
      <c r="T559">
        <v>5</v>
      </c>
      <c r="U559" t="str">
        <f t="shared" si="26"/>
        <v>Outubro</v>
      </c>
    </row>
    <row r="560" spans="1:21">
      <c r="A560">
        <v>559</v>
      </c>
      <c r="B560" s="1">
        <v>44133</v>
      </c>
      <c r="C560" s="1" t="str">
        <f t="shared" si="24"/>
        <v>outubro</v>
      </c>
      <c r="D560">
        <v>73</v>
      </c>
      <c r="E560" t="s">
        <v>38</v>
      </c>
      <c r="F560" t="s">
        <v>59</v>
      </c>
      <c r="G560" s="8">
        <v>31</v>
      </c>
      <c r="H560" s="2">
        <v>113</v>
      </c>
      <c r="I560" s="2">
        <v>3503</v>
      </c>
      <c r="J560" s="4">
        <v>0</v>
      </c>
      <c r="K560" s="2">
        <v>3503</v>
      </c>
      <c r="L560" s="2">
        <f t="shared" si="25"/>
        <v>0</v>
      </c>
      <c r="M560" s="1">
        <v>44158</v>
      </c>
      <c r="N560" s="1">
        <v>44158</v>
      </c>
      <c r="O560">
        <v>559</v>
      </c>
      <c r="P560">
        <v>3</v>
      </c>
      <c r="Q560" t="s">
        <v>29</v>
      </c>
      <c r="R560" s="3">
        <v>0.08</v>
      </c>
      <c r="S560" s="2">
        <v>280.24</v>
      </c>
      <c r="T560">
        <v>6</v>
      </c>
      <c r="U560" t="str">
        <f t="shared" si="26"/>
        <v>Outubro</v>
      </c>
    </row>
    <row r="561" spans="1:21">
      <c r="A561">
        <v>560</v>
      </c>
      <c r="B561" s="1">
        <v>44134</v>
      </c>
      <c r="C561" s="1" t="str">
        <f t="shared" si="24"/>
        <v>outubro</v>
      </c>
      <c r="D561">
        <v>83</v>
      </c>
      <c r="E561" t="s">
        <v>100</v>
      </c>
      <c r="F561" t="s">
        <v>21</v>
      </c>
      <c r="G561" s="8">
        <v>12</v>
      </c>
      <c r="H561" s="2">
        <v>114</v>
      </c>
      <c r="I561" s="2">
        <v>1368</v>
      </c>
      <c r="J561" s="4">
        <v>0.08</v>
      </c>
      <c r="K561" s="2">
        <v>1258.56</v>
      </c>
      <c r="L561" s="2">
        <f t="shared" si="25"/>
        <v>109.44000000000005</v>
      </c>
      <c r="M561" s="1">
        <v>44161</v>
      </c>
      <c r="N561" s="1">
        <v>44161</v>
      </c>
      <c r="O561">
        <v>560</v>
      </c>
      <c r="P561">
        <v>1</v>
      </c>
      <c r="Q561" t="s">
        <v>34</v>
      </c>
      <c r="R561" s="3">
        <v>7.0000000000000007E-2</v>
      </c>
      <c r="S561" s="2">
        <v>88.09920000000001</v>
      </c>
      <c r="T561">
        <v>7</v>
      </c>
      <c r="U561" t="str">
        <f t="shared" si="26"/>
        <v>Outubro</v>
      </c>
    </row>
    <row r="562" spans="1:21">
      <c r="A562">
        <v>561</v>
      </c>
      <c r="B562" s="1">
        <v>44134</v>
      </c>
      <c r="C562" s="1" t="str">
        <f t="shared" si="24"/>
        <v>outubro</v>
      </c>
      <c r="D562">
        <v>93</v>
      </c>
      <c r="E562" t="s">
        <v>33</v>
      </c>
      <c r="F562" t="s">
        <v>31</v>
      </c>
      <c r="G562" s="8">
        <v>40</v>
      </c>
      <c r="H562" s="2">
        <v>92</v>
      </c>
      <c r="I562" s="2">
        <v>3680</v>
      </c>
      <c r="J562" s="4">
        <v>0.13</v>
      </c>
      <c r="K562" s="2">
        <v>3201.6</v>
      </c>
      <c r="L562" s="2">
        <f t="shared" si="25"/>
        <v>478.40000000000009</v>
      </c>
      <c r="M562" s="1">
        <v>44148</v>
      </c>
      <c r="N562" s="1">
        <v>44148</v>
      </c>
      <c r="O562">
        <v>561</v>
      </c>
      <c r="P562">
        <v>5</v>
      </c>
      <c r="Q562" t="s">
        <v>69</v>
      </c>
      <c r="R562" s="3">
        <v>0.1</v>
      </c>
      <c r="S562" s="2">
        <v>320.16000000000003</v>
      </c>
      <c r="T562">
        <v>1</v>
      </c>
      <c r="U562" t="str">
        <f t="shared" si="26"/>
        <v>Outubro</v>
      </c>
    </row>
    <row r="563" spans="1:21">
      <c r="A563">
        <v>562</v>
      </c>
      <c r="B563" s="1">
        <v>44136</v>
      </c>
      <c r="C563" s="1" t="str">
        <f t="shared" si="24"/>
        <v>novembro</v>
      </c>
      <c r="D563">
        <v>97</v>
      </c>
      <c r="E563" t="s">
        <v>66</v>
      </c>
      <c r="F563" t="s">
        <v>31</v>
      </c>
      <c r="G563" s="8">
        <v>26</v>
      </c>
      <c r="H563" s="2">
        <v>115</v>
      </c>
      <c r="I563" s="2">
        <v>2990</v>
      </c>
      <c r="J563" s="4">
        <v>0.12</v>
      </c>
      <c r="K563" s="2">
        <v>2631.2</v>
      </c>
      <c r="L563" s="2">
        <f t="shared" si="25"/>
        <v>358.80000000000018</v>
      </c>
      <c r="M563" s="1">
        <v>44162</v>
      </c>
      <c r="N563" s="1">
        <v>44162</v>
      </c>
      <c r="O563">
        <v>562</v>
      </c>
      <c r="P563">
        <v>2</v>
      </c>
      <c r="Q563" t="s">
        <v>32</v>
      </c>
      <c r="R563" s="3">
        <v>0.06</v>
      </c>
      <c r="S563" s="2">
        <v>157.87199999999999</v>
      </c>
      <c r="T563">
        <v>2</v>
      </c>
      <c r="U563" t="str">
        <f t="shared" si="26"/>
        <v>Novembro</v>
      </c>
    </row>
    <row r="564" spans="1:21">
      <c r="A564">
        <v>563</v>
      </c>
      <c r="B564" s="1">
        <v>44137</v>
      </c>
      <c r="C564" s="1" t="str">
        <f t="shared" si="24"/>
        <v>novembro</v>
      </c>
      <c r="D564">
        <v>57</v>
      </c>
      <c r="E564" t="s">
        <v>89</v>
      </c>
      <c r="F564" t="s">
        <v>24</v>
      </c>
      <c r="G564" s="8">
        <v>20</v>
      </c>
      <c r="H564" s="2">
        <v>94</v>
      </c>
      <c r="I564" s="2">
        <v>1880</v>
      </c>
      <c r="J564" s="4">
        <v>0.04</v>
      </c>
      <c r="K564" s="2">
        <v>1804.8</v>
      </c>
      <c r="L564" s="2">
        <f t="shared" si="25"/>
        <v>75.200000000000045</v>
      </c>
      <c r="M564" s="1">
        <v>44151</v>
      </c>
      <c r="N564" s="1">
        <v>44151</v>
      </c>
      <c r="O564">
        <v>563</v>
      </c>
      <c r="P564">
        <v>5</v>
      </c>
      <c r="Q564" t="s">
        <v>22</v>
      </c>
      <c r="R564" s="3">
        <v>0.1</v>
      </c>
      <c r="S564" s="2">
        <v>180.48000000000002</v>
      </c>
      <c r="T564">
        <v>3</v>
      </c>
      <c r="U564" t="str">
        <f t="shared" si="26"/>
        <v>Novembro</v>
      </c>
    </row>
    <row r="565" spans="1:21">
      <c r="A565">
        <v>564</v>
      </c>
      <c r="B565" s="1">
        <v>44138</v>
      </c>
      <c r="C565" s="1" t="str">
        <f t="shared" si="24"/>
        <v>novembro</v>
      </c>
      <c r="D565">
        <v>24</v>
      </c>
      <c r="E565" t="s">
        <v>74</v>
      </c>
      <c r="F565" t="s">
        <v>24</v>
      </c>
      <c r="G565" s="8">
        <v>42</v>
      </c>
      <c r="H565" s="2">
        <v>101</v>
      </c>
      <c r="I565" s="2">
        <v>4242</v>
      </c>
      <c r="J565" s="4">
        <v>0.08</v>
      </c>
      <c r="K565" s="2">
        <v>3902.64</v>
      </c>
      <c r="L565" s="2">
        <f t="shared" si="25"/>
        <v>339.36000000000013</v>
      </c>
      <c r="M565" s="1">
        <v>44166</v>
      </c>
      <c r="N565" s="1">
        <v>44166</v>
      </c>
      <c r="O565">
        <v>564</v>
      </c>
      <c r="P565">
        <v>2</v>
      </c>
      <c r="Q565" t="s">
        <v>34</v>
      </c>
      <c r="R565" s="3">
        <v>7.0000000000000007E-2</v>
      </c>
      <c r="S565" s="2">
        <v>273.1848</v>
      </c>
      <c r="T565">
        <v>4</v>
      </c>
      <c r="U565" t="str">
        <f t="shared" si="26"/>
        <v>Novembro</v>
      </c>
    </row>
    <row r="566" spans="1:21">
      <c r="A566">
        <v>565</v>
      </c>
      <c r="B566" s="1">
        <v>44138</v>
      </c>
      <c r="C566" s="1" t="str">
        <f t="shared" si="24"/>
        <v>novembro</v>
      </c>
      <c r="D566">
        <v>34</v>
      </c>
      <c r="E566" t="s">
        <v>58</v>
      </c>
      <c r="F566" t="s">
        <v>46</v>
      </c>
      <c r="G566" s="8">
        <v>24</v>
      </c>
      <c r="H566" s="2">
        <v>117</v>
      </c>
      <c r="I566" s="2">
        <v>2808</v>
      </c>
      <c r="J566" s="4">
        <v>0.14000000000000001</v>
      </c>
      <c r="K566" s="2">
        <v>2414.88</v>
      </c>
      <c r="L566" s="2">
        <f t="shared" si="25"/>
        <v>393.11999999999989</v>
      </c>
      <c r="M566" s="1">
        <v>44165</v>
      </c>
      <c r="N566" s="1">
        <v>44165</v>
      </c>
      <c r="O566">
        <v>565</v>
      </c>
      <c r="P566">
        <v>6</v>
      </c>
      <c r="Q566" t="s">
        <v>47</v>
      </c>
      <c r="R566" s="3">
        <v>0.1</v>
      </c>
      <c r="S566" s="2">
        <v>241.48800000000003</v>
      </c>
      <c r="T566">
        <v>5</v>
      </c>
      <c r="U566" t="str">
        <f t="shared" si="26"/>
        <v>Novembro</v>
      </c>
    </row>
    <row r="567" spans="1:21">
      <c r="A567">
        <v>566</v>
      </c>
      <c r="B567" s="1">
        <v>44138</v>
      </c>
      <c r="C567" s="1" t="str">
        <f t="shared" si="24"/>
        <v>novembro</v>
      </c>
      <c r="D567">
        <v>92</v>
      </c>
      <c r="E567" t="s">
        <v>26</v>
      </c>
      <c r="F567" t="s">
        <v>46</v>
      </c>
      <c r="G567" s="8">
        <v>15</v>
      </c>
      <c r="H567" s="2">
        <v>116</v>
      </c>
      <c r="I567" s="2">
        <v>1740</v>
      </c>
      <c r="J567" s="4">
        <v>0.01</v>
      </c>
      <c r="K567" s="2">
        <v>1722.6</v>
      </c>
      <c r="L567" s="2">
        <f t="shared" si="25"/>
        <v>17.400000000000091</v>
      </c>
      <c r="M567" s="1">
        <v>44152</v>
      </c>
      <c r="N567" s="1">
        <v>44152</v>
      </c>
      <c r="O567">
        <v>566</v>
      </c>
      <c r="P567">
        <v>6</v>
      </c>
      <c r="Q567" t="s">
        <v>43</v>
      </c>
      <c r="R567" s="3">
        <v>0.08</v>
      </c>
      <c r="S567" s="2">
        <v>137.80799999999999</v>
      </c>
      <c r="T567">
        <v>6</v>
      </c>
      <c r="U567" t="str">
        <f t="shared" si="26"/>
        <v>Novembro</v>
      </c>
    </row>
    <row r="568" spans="1:21">
      <c r="A568">
        <v>567</v>
      </c>
      <c r="B568" s="1">
        <v>44138</v>
      </c>
      <c r="C568" s="1" t="str">
        <f t="shared" si="24"/>
        <v>novembro</v>
      </c>
      <c r="D568">
        <v>25</v>
      </c>
      <c r="E568" t="s">
        <v>63</v>
      </c>
      <c r="F568" t="s">
        <v>24</v>
      </c>
      <c r="G568" s="8">
        <v>37</v>
      </c>
      <c r="H568" s="2">
        <v>95</v>
      </c>
      <c r="I568" s="2">
        <v>3515</v>
      </c>
      <c r="J568" s="4">
        <v>0.05</v>
      </c>
      <c r="K568" s="2">
        <v>3339.25</v>
      </c>
      <c r="L568" s="2">
        <f t="shared" si="25"/>
        <v>175.75</v>
      </c>
      <c r="M568" s="1">
        <v>44164</v>
      </c>
      <c r="N568" s="1">
        <v>44164</v>
      </c>
      <c r="O568">
        <v>567</v>
      </c>
      <c r="P568">
        <v>2</v>
      </c>
      <c r="Q568" t="s">
        <v>69</v>
      </c>
      <c r="R568" s="3">
        <v>0.1</v>
      </c>
      <c r="S568" s="2">
        <v>333.92500000000001</v>
      </c>
      <c r="T568">
        <v>7</v>
      </c>
      <c r="U568" t="str">
        <f t="shared" si="26"/>
        <v>Novembro</v>
      </c>
    </row>
    <row r="569" spans="1:21">
      <c r="A569">
        <v>568</v>
      </c>
      <c r="B569" s="1">
        <v>44139</v>
      </c>
      <c r="C569" s="1" t="str">
        <f t="shared" si="24"/>
        <v>novembro</v>
      </c>
      <c r="D569">
        <v>87</v>
      </c>
      <c r="E569" t="s">
        <v>40</v>
      </c>
      <c r="F569" t="s">
        <v>55</v>
      </c>
      <c r="G569" s="8">
        <v>19</v>
      </c>
      <c r="H569" s="2">
        <v>103</v>
      </c>
      <c r="I569" s="2">
        <v>1957</v>
      </c>
      <c r="J569" s="4">
        <v>0.08</v>
      </c>
      <c r="K569" s="2">
        <v>1800.44</v>
      </c>
      <c r="L569" s="2">
        <f t="shared" si="25"/>
        <v>156.55999999999995</v>
      </c>
      <c r="M569" s="1">
        <v>44140</v>
      </c>
      <c r="N569" s="1">
        <v>44140</v>
      </c>
      <c r="O569">
        <v>568</v>
      </c>
      <c r="P569">
        <v>5</v>
      </c>
      <c r="Q569" t="s">
        <v>43</v>
      </c>
      <c r="R569" s="3">
        <v>0.09</v>
      </c>
      <c r="S569" s="2">
        <v>162.03960000000001</v>
      </c>
      <c r="T569">
        <v>1</v>
      </c>
      <c r="U569" t="str">
        <f t="shared" si="26"/>
        <v>Novembro</v>
      </c>
    </row>
    <row r="570" spans="1:21">
      <c r="A570">
        <v>569</v>
      </c>
      <c r="B570" s="1">
        <v>44139</v>
      </c>
      <c r="C570" s="1" t="str">
        <f t="shared" si="24"/>
        <v>novembro</v>
      </c>
      <c r="D570">
        <v>68</v>
      </c>
      <c r="E570" t="s">
        <v>49</v>
      </c>
      <c r="F570" t="s">
        <v>50</v>
      </c>
      <c r="G570" s="8">
        <v>46</v>
      </c>
      <c r="H570" s="2">
        <v>102</v>
      </c>
      <c r="I570" s="2">
        <v>4692</v>
      </c>
      <c r="J570" s="4">
        <v>0.09</v>
      </c>
      <c r="K570" s="2">
        <v>4269.72</v>
      </c>
      <c r="L570" s="2">
        <f t="shared" si="25"/>
        <v>422.27999999999975</v>
      </c>
      <c r="M570" s="1">
        <v>44158</v>
      </c>
      <c r="N570" s="1">
        <v>44158</v>
      </c>
      <c r="O570">
        <v>569</v>
      </c>
      <c r="P570">
        <v>5</v>
      </c>
      <c r="Q570" t="s">
        <v>47</v>
      </c>
      <c r="R570" s="3">
        <v>0.06</v>
      </c>
      <c r="S570" s="2">
        <v>256.1832</v>
      </c>
      <c r="T570">
        <v>2</v>
      </c>
      <c r="U570" t="str">
        <f t="shared" si="26"/>
        <v>Novembro</v>
      </c>
    </row>
    <row r="571" spans="1:21">
      <c r="A571">
        <v>570</v>
      </c>
      <c r="B571" s="1">
        <v>44140</v>
      </c>
      <c r="C571" s="1" t="str">
        <f t="shared" si="24"/>
        <v>novembro</v>
      </c>
      <c r="D571">
        <v>59</v>
      </c>
      <c r="E571" t="s">
        <v>97</v>
      </c>
      <c r="F571" t="s">
        <v>41</v>
      </c>
      <c r="G571" s="8">
        <v>45</v>
      </c>
      <c r="H571" s="2">
        <v>98</v>
      </c>
      <c r="I571" s="2">
        <v>4410</v>
      </c>
      <c r="J571" s="4">
        <v>0.08</v>
      </c>
      <c r="K571" s="2">
        <v>4057.2</v>
      </c>
      <c r="L571" s="2">
        <f t="shared" si="25"/>
        <v>352.80000000000018</v>
      </c>
      <c r="M571" s="1">
        <v>44167</v>
      </c>
      <c r="N571" s="1">
        <v>44167</v>
      </c>
      <c r="O571">
        <v>570</v>
      </c>
      <c r="P571">
        <v>4</v>
      </c>
      <c r="Q571" t="s">
        <v>25</v>
      </c>
      <c r="R571" s="3">
        <v>7.0000000000000007E-2</v>
      </c>
      <c r="S571" s="2">
        <v>284.00400000000002</v>
      </c>
      <c r="T571">
        <v>3</v>
      </c>
      <c r="U571" t="str">
        <f t="shared" si="26"/>
        <v>Novembro</v>
      </c>
    </row>
    <row r="572" spans="1:21">
      <c r="A572">
        <v>571</v>
      </c>
      <c r="B572" s="1">
        <v>44141</v>
      </c>
      <c r="C572" s="1" t="str">
        <f t="shared" si="24"/>
        <v>novembro</v>
      </c>
      <c r="D572">
        <v>38</v>
      </c>
      <c r="E572" t="s">
        <v>73</v>
      </c>
      <c r="F572" t="s">
        <v>59</v>
      </c>
      <c r="G572" s="8">
        <v>40</v>
      </c>
      <c r="H572" s="2">
        <v>112</v>
      </c>
      <c r="I572" s="2">
        <v>4480</v>
      </c>
      <c r="J572" s="4">
        <v>0.01</v>
      </c>
      <c r="K572" s="2">
        <v>4435.2</v>
      </c>
      <c r="L572" s="2">
        <f t="shared" si="25"/>
        <v>44.800000000000182</v>
      </c>
      <c r="M572" s="1">
        <v>44161</v>
      </c>
      <c r="N572" s="1">
        <v>44161</v>
      </c>
      <c r="O572">
        <v>571</v>
      </c>
      <c r="P572">
        <v>7</v>
      </c>
      <c r="Q572" t="s">
        <v>22</v>
      </c>
      <c r="R572" s="3">
        <v>0.05</v>
      </c>
      <c r="S572" s="2">
        <v>221.76</v>
      </c>
      <c r="T572">
        <v>4</v>
      </c>
      <c r="U572" t="str">
        <f t="shared" si="26"/>
        <v>Novembro</v>
      </c>
    </row>
    <row r="573" spans="1:21">
      <c r="A573">
        <v>572</v>
      </c>
      <c r="B573" s="1">
        <v>44142</v>
      </c>
      <c r="C573" s="1" t="str">
        <f t="shared" si="24"/>
        <v>novembro</v>
      </c>
      <c r="D573">
        <v>94</v>
      </c>
      <c r="E573" t="s">
        <v>49</v>
      </c>
      <c r="F573" t="s">
        <v>50</v>
      </c>
      <c r="G573" s="8">
        <v>38</v>
      </c>
      <c r="H573" s="2">
        <v>99</v>
      </c>
      <c r="I573" s="2">
        <v>3762</v>
      </c>
      <c r="J573" s="4">
        <v>0</v>
      </c>
      <c r="K573" s="2">
        <v>3762</v>
      </c>
      <c r="L573" s="2">
        <f t="shared" si="25"/>
        <v>0</v>
      </c>
      <c r="M573" s="1">
        <v>44162</v>
      </c>
      <c r="N573" s="1">
        <v>44162</v>
      </c>
      <c r="O573">
        <v>572</v>
      </c>
      <c r="P573">
        <v>6</v>
      </c>
      <c r="Q573" t="s">
        <v>37</v>
      </c>
      <c r="R573" s="3">
        <v>0.09</v>
      </c>
      <c r="S573" s="2">
        <v>338.58</v>
      </c>
      <c r="T573">
        <v>5</v>
      </c>
      <c r="U573" t="str">
        <f t="shared" si="26"/>
        <v>Novembro</v>
      </c>
    </row>
    <row r="574" spans="1:21">
      <c r="A574">
        <v>573</v>
      </c>
      <c r="B574" s="1">
        <v>44143</v>
      </c>
      <c r="C574" s="1" t="str">
        <f t="shared" si="24"/>
        <v>novembro</v>
      </c>
      <c r="D574">
        <v>17</v>
      </c>
      <c r="E574" t="s">
        <v>67</v>
      </c>
      <c r="F574" t="s">
        <v>31</v>
      </c>
      <c r="G574" s="8">
        <v>32</v>
      </c>
      <c r="H574" s="2">
        <v>99</v>
      </c>
      <c r="I574" s="2">
        <v>3168</v>
      </c>
      <c r="J574" s="4">
        <v>0.02</v>
      </c>
      <c r="K574" s="2">
        <v>3104.64</v>
      </c>
      <c r="L574" s="2">
        <f t="shared" si="25"/>
        <v>63.360000000000127</v>
      </c>
      <c r="M574" s="1">
        <v>44162</v>
      </c>
      <c r="N574" s="1">
        <v>44162</v>
      </c>
      <c r="O574">
        <v>573</v>
      </c>
      <c r="P574">
        <v>6</v>
      </c>
      <c r="Q574" t="s">
        <v>34</v>
      </c>
      <c r="R574" s="3">
        <v>0.09</v>
      </c>
      <c r="S574" s="2">
        <v>279.41759999999999</v>
      </c>
      <c r="T574">
        <v>6</v>
      </c>
      <c r="U574" t="str">
        <f t="shared" si="26"/>
        <v>Novembro</v>
      </c>
    </row>
    <row r="575" spans="1:21">
      <c r="A575">
        <v>574</v>
      </c>
      <c r="B575" s="1">
        <v>44143</v>
      </c>
      <c r="C575" s="1" t="str">
        <f t="shared" si="24"/>
        <v>novembro</v>
      </c>
      <c r="D575">
        <v>85</v>
      </c>
      <c r="E575" t="s">
        <v>57</v>
      </c>
      <c r="F575" t="s">
        <v>41</v>
      </c>
      <c r="G575" s="8">
        <v>31</v>
      </c>
      <c r="H575" s="2">
        <v>96</v>
      </c>
      <c r="I575" s="2">
        <v>2976</v>
      </c>
      <c r="J575" s="4">
        <v>0.1</v>
      </c>
      <c r="K575" s="2">
        <v>2678.4</v>
      </c>
      <c r="L575" s="2">
        <f t="shared" si="25"/>
        <v>297.59999999999991</v>
      </c>
      <c r="M575" s="1">
        <v>44146</v>
      </c>
      <c r="N575" s="1">
        <v>44146</v>
      </c>
      <c r="O575">
        <v>574</v>
      </c>
      <c r="P575">
        <v>5</v>
      </c>
      <c r="Q575" t="s">
        <v>47</v>
      </c>
      <c r="R575" s="3">
        <v>0.05</v>
      </c>
      <c r="S575" s="2">
        <v>133.92000000000002</v>
      </c>
      <c r="T575">
        <v>7</v>
      </c>
      <c r="U575" t="str">
        <f t="shared" si="26"/>
        <v>Novembro</v>
      </c>
    </row>
    <row r="576" spans="1:21">
      <c r="A576">
        <v>575</v>
      </c>
      <c r="B576" s="1">
        <v>44143</v>
      </c>
      <c r="C576" s="1" t="str">
        <f t="shared" si="24"/>
        <v>novembro</v>
      </c>
      <c r="D576">
        <v>68</v>
      </c>
      <c r="E576" t="s">
        <v>49</v>
      </c>
      <c r="F576" t="s">
        <v>50</v>
      </c>
      <c r="G576" s="8">
        <v>47</v>
      </c>
      <c r="H576" s="2">
        <v>103</v>
      </c>
      <c r="I576" s="2">
        <v>4841</v>
      </c>
      <c r="J576" s="4">
        <v>0.11</v>
      </c>
      <c r="K576" s="2">
        <v>4308.49</v>
      </c>
      <c r="L576" s="2">
        <f t="shared" si="25"/>
        <v>532.51000000000022</v>
      </c>
      <c r="M576" s="1">
        <v>44173</v>
      </c>
      <c r="N576" s="1">
        <v>44173</v>
      </c>
      <c r="O576">
        <v>575</v>
      </c>
      <c r="P576">
        <v>6</v>
      </c>
      <c r="Q576" t="s">
        <v>69</v>
      </c>
      <c r="R576" s="3">
        <v>0.06</v>
      </c>
      <c r="S576" s="2">
        <v>258.50939999999997</v>
      </c>
      <c r="T576">
        <v>1</v>
      </c>
      <c r="U576" t="str">
        <f t="shared" si="26"/>
        <v>Novembro</v>
      </c>
    </row>
    <row r="577" spans="1:21">
      <c r="A577">
        <v>576</v>
      </c>
      <c r="B577" s="1">
        <v>44144</v>
      </c>
      <c r="C577" s="1" t="str">
        <f t="shared" si="24"/>
        <v>novembro</v>
      </c>
      <c r="D577">
        <v>31</v>
      </c>
      <c r="E577" t="s">
        <v>85</v>
      </c>
      <c r="F577" t="s">
        <v>46</v>
      </c>
      <c r="G577" s="8">
        <v>45</v>
      </c>
      <c r="H577" s="2">
        <v>90</v>
      </c>
      <c r="I577" s="2">
        <v>4050</v>
      </c>
      <c r="J577" s="4">
        <v>0.05</v>
      </c>
      <c r="K577" s="2">
        <v>3847.5</v>
      </c>
      <c r="L577" s="2">
        <f t="shared" si="25"/>
        <v>202.5</v>
      </c>
      <c r="M577" s="1">
        <v>44158</v>
      </c>
      <c r="N577" s="1">
        <v>44158</v>
      </c>
      <c r="O577">
        <v>576</v>
      </c>
      <c r="P577">
        <v>1</v>
      </c>
      <c r="Q577" t="s">
        <v>37</v>
      </c>
      <c r="R577" s="3">
        <v>0.05</v>
      </c>
      <c r="S577" s="2">
        <v>192.375</v>
      </c>
      <c r="T577">
        <v>2</v>
      </c>
      <c r="U577" t="str">
        <f t="shared" si="26"/>
        <v>Novembro</v>
      </c>
    </row>
    <row r="578" spans="1:21">
      <c r="A578">
        <v>577</v>
      </c>
      <c r="B578" s="1">
        <v>44145</v>
      </c>
      <c r="C578" s="1" t="str">
        <f t="shared" si="24"/>
        <v>novembro</v>
      </c>
      <c r="D578">
        <v>4</v>
      </c>
      <c r="E578" t="s">
        <v>86</v>
      </c>
      <c r="F578" t="s">
        <v>28</v>
      </c>
      <c r="G578" s="8">
        <v>14</v>
      </c>
      <c r="H578" s="2">
        <v>101</v>
      </c>
      <c r="I578" s="2">
        <v>1414</v>
      </c>
      <c r="J578" s="4">
        <v>0.05</v>
      </c>
      <c r="K578" s="2">
        <v>1343.3</v>
      </c>
      <c r="L578" s="2">
        <f t="shared" si="25"/>
        <v>70.700000000000045</v>
      </c>
      <c r="M578" s="1">
        <v>44154</v>
      </c>
      <c r="N578" s="1">
        <v>44154</v>
      </c>
      <c r="O578">
        <v>577</v>
      </c>
      <c r="P578">
        <v>5</v>
      </c>
      <c r="Q578" t="s">
        <v>32</v>
      </c>
      <c r="R578" s="3">
        <v>7.0000000000000007E-2</v>
      </c>
      <c r="S578" s="2">
        <v>94.031000000000006</v>
      </c>
      <c r="T578">
        <v>3</v>
      </c>
      <c r="U578" t="str">
        <f t="shared" si="26"/>
        <v>Novembro</v>
      </c>
    </row>
    <row r="579" spans="1:21">
      <c r="A579">
        <v>578</v>
      </c>
      <c r="B579" s="1">
        <v>44145</v>
      </c>
      <c r="C579" s="1" t="str">
        <f t="shared" ref="C579:C642" si="27">TEXT(B579,"mmmm")</f>
        <v>novembro</v>
      </c>
      <c r="D579">
        <v>82</v>
      </c>
      <c r="E579" t="s">
        <v>67</v>
      </c>
      <c r="F579" t="s">
        <v>21</v>
      </c>
      <c r="G579" s="8">
        <v>25</v>
      </c>
      <c r="H579" s="2">
        <v>106</v>
      </c>
      <c r="I579" s="2">
        <v>2650</v>
      </c>
      <c r="J579" s="4">
        <v>0.14000000000000001</v>
      </c>
      <c r="K579" s="2">
        <v>2279</v>
      </c>
      <c r="L579" s="2">
        <f t="shared" ref="L579:L642" si="28">I579-K579</f>
        <v>371</v>
      </c>
      <c r="M579" s="1">
        <v>44169</v>
      </c>
      <c r="N579" s="1">
        <v>44169</v>
      </c>
      <c r="O579">
        <v>578</v>
      </c>
      <c r="P579">
        <v>6</v>
      </c>
      <c r="Q579" t="s">
        <v>69</v>
      </c>
      <c r="R579" s="3">
        <v>0.06</v>
      </c>
      <c r="S579" s="2">
        <v>136.74</v>
      </c>
      <c r="T579">
        <v>4</v>
      </c>
      <c r="U579" t="str">
        <f t="shared" ref="U579:U642" si="29">PROPER(TEXT(B579,"mmmm"))</f>
        <v>Novembro</v>
      </c>
    </row>
    <row r="580" spans="1:21">
      <c r="A580">
        <v>579</v>
      </c>
      <c r="B580" s="1">
        <v>44145</v>
      </c>
      <c r="C580" s="1" t="str">
        <f t="shared" si="27"/>
        <v>novembro</v>
      </c>
      <c r="D580">
        <v>83</v>
      </c>
      <c r="E580" t="s">
        <v>100</v>
      </c>
      <c r="F580" t="s">
        <v>46</v>
      </c>
      <c r="G580" s="8">
        <v>46</v>
      </c>
      <c r="H580" s="2">
        <v>105</v>
      </c>
      <c r="I580" s="2">
        <v>4830</v>
      </c>
      <c r="J580" s="4">
        <v>0</v>
      </c>
      <c r="K580" s="2">
        <v>4830</v>
      </c>
      <c r="L580" s="2">
        <f t="shared" si="28"/>
        <v>0</v>
      </c>
      <c r="M580" s="1">
        <v>44165</v>
      </c>
      <c r="N580" s="1">
        <v>44165</v>
      </c>
      <c r="O580">
        <v>579</v>
      </c>
      <c r="P580">
        <v>6</v>
      </c>
      <c r="Q580" t="s">
        <v>34</v>
      </c>
      <c r="R580" s="3">
        <v>0.1</v>
      </c>
      <c r="S580" s="2">
        <v>483</v>
      </c>
      <c r="T580">
        <v>5</v>
      </c>
      <c r="U580" t="str">
        <f t="shared" si="29"/>
        <v>Novembro</v>
      </c>
    </row>
    <row r="581" spans="1:21">
      <c r="A581">
        <v>580</v>
      </c>
      <c r="B581" s="1">
        <v>44145</v>
      </c>
      <c r="C581" s="1" t="str">
        <f t="shared" si="27"/>
        <v>novembro</v>
      </c>
      <c r="D581">
        <v>83</v>
      </c>
      <c r="E581" t="s">
        <v>100</v>
      </c>
      <c r="F581" t="s">
        <v>24</v>
      </c>
      <c r="G581" s="8">
        <v>14</v>
      </c>
      <c r="H581" s="2">
        <v>117</v>
      </c>
      <c r="I581" s="2">
        <v>1638</v>
      </c>
      <c r="J581" s="4">
        <v>0.12</v>
      </c>
      <c r="K581" s="2">
        <v>1441.44</v>
      </c>
      <c r="L581" s="2">
        <f t="shared" si="28"/>
        <v>196.55999999999995</v>
      </c>
      <c r="M581" s="1">
        <v>44171</v>
      </c>
      <c r="N581" s="1">
        <v>44171</v>
      </c>
      <c r="O581">
        <v>580</v>
      </c>
      <c r="P581">
        <v>4</v>
      </c>
      <c r="Q581" t="s">
        <v>29</v>
      </c>
      <c r="R581" s="3">
        <v>0.09</v>
      </c>
      <c r="S581" s="2">
        <v>129.7296</v>
      </c>
      <c r="T581">
        <v>6</v>
      </c>
      <c r="U581" t="str">
        <f t="shared" si="29"/>
        <v>Novembro</v>
      </c>
    </row>
    <row r="582" spans="1:21">
      <c r="A582">
        <v>581</v>
      </c>
      <c r="B582" s="1">
        <v>44146</v>
      </c>
      <c r="C582" s="1" t="str">
        <f t="shared" si="27"/>
        <v>novembro</v>
      </c>
      <c r="D582">
        <v>64</v>
      </c>
      <c r="E582" t="s">
        <v>78</v>
      </c>
      <c r="F582" t="s">
        <v>41</v>
      </c>
      <c r="G582" s="8">
        <v>23</v>
      </c>
      <c r="H582" s="2">
        <v>90</v>
      </c>
      <c r="I582" s="2">
        <v>2070</v>
      </c>
      <c r="J582" s="4">
        <v>0</v>
      </c>
      <c r="K582" s="2">
        <v>2070</v>
      </c>
      <c r="L582" s="2">
        <f t="shared" si="28"/>
        <v>0</v>
      </c>
      <c r="M582" s="1">
        <v>44148</v>
      </c>
      <c r="N582" s="1">
        <v>44148</v>
      </c>
      <c r="O582">
        <v>581</v>
      </c>
      <c r="P582">
        <v>2</v>
      </c>
      <c r="Q582" t="s">
        <v>34</v>
      </c>
      <c r="R582" s="3">
        <v>0.09</v>
      </c>
      <c r="S582" s="2">
        <v>186.29999999999998</v>
      </c>
      <c r="T582">
        <v>7</v>
      </c>
      <c r="U582" t="str">
        <f t="shared" si="29"/>
        <v>Novembro</v>
      </c>
    </row>
    <row r="583" spans="1:21">
      <c r="A583">
        <v>582</v>
      </c>
      <c r="B583" s="1">
        <v>44146</v>
      </c>
      <c r="C583" s="1" t="str">
        <f t="shared" si="27"/>
        <v>novembro</v>
      </c>
      <c r="D583">
        <v>76</v>
      </c>
      <c r="E583" t="s">
        <v>104</v>
      </c>
      <c r="F583" t="s">
        <v>24</v>
      </c>
      <c r="G583" s="8">
        <v>24</v>
      </c>
      <c r="H583" s="2">
        <v>94</v>
      </c>
      <c r="I583" s="2">
        <v>2256</v>
      </c>
      <c r="J583" s="4">
        <v>0.14000000000000001</v>
      </c>
      <c r="K583" s="2">
        <v>1940.1599999999999</v>
      </c>
      <c r="L583" s="2">
        <f t="shared" si="28"/>
        <v>315.84000000000015</v>
      </c>
      <c r="M583" s="1">
        <v>44165</v>
      </c>
      <c r="N583" s="1">
        <v>44165</v>
      </c>
      <c r="O583">
        <v>582</v>
      </c>
      <c r="P583">
        <v>4</v>
      </c>
      <c r="Q583" t="s">
        <v>43</v>
      </c>
      <c r="R583" s="3">
        <v>0.06</v>
      </c>
      <c r="S583" s="2">
        <v>116.40959999999998</v>
      </c>
      <c r="T583">
        <v>1</v>
      </c>
      <c r="U583" t="str">
        <f t="shared" si="29"/>
        <v>Novembro</v>
      </c>
    </row>
    <row r="584" spans="1:21">
      <c r="A584">
        <v>583</v>
      </c>
      <c r="B584" s="1">
        <v>44146</v>
      </c>
      <c r="C584" s="1" t="str">
        <f t="shared" si="27"/>
        <v>novembro</v>
      </c>
      <c r="D584">
        <v>57</v>
      </c>
      <c r="E584" t="s">
        <v>89</v>
      </c>
      <c r="F584" t="s">
        <v>21</v>
      </c>
      <c r="G584" s="8">
        <v>45</v>
      </c>
      <c r="H584" s="2">
        <v>92</v>
      </c>
      <c r="I584" s="2">
        <v>4140</v>
      </c>
      <c r="J584" s="4">
        <v>0.02</v>
      </c>
      <c r="K584" s="2">
        <v>4057.2</v>
      </c>
      <c r="L584" s="2">
        <f t="shared" si="28"/>
        <v>82.800000000000182</v>
      </c>
      <c r="M584" s="1">
        <v>44151</v>
      </c>
      <c r="N584" s="1">
        <v>44151</v>
      </c>
      <c r="O584">
        <v>583</v>
      </c>
      <c r="P584">
        <v>2</v>
      </c>
      <c r="Q584" t="s">
        <v>34</v>
      </c>
      <c r="R584" s="3">
        <v>7.0000000000000007E-2</v>
      </c>
      <c r="S584" s="2">
        <v>284.00400000000002</v>
      </c>
      <c r="T584">
        <v>2</v>
      </c>
      <c r="U584" t="str">
        <f t="shared" si="29"/>
        <v>Novembro</v>
      </c>
    </row>
    <row r="585" spans="1:21">
      <c r="A585">
        <v>584</v>
      </c>
      <c r="B585" s="1">
        <v>44146</v>
      </c>
      <c r="C585" s="1" t="str">
        <f t="shared" si="27"/>
        <v>novembro</v>
      </c>
      <c r="D585">
        <v>62</v>
      </c>
      <c r="E585" t="s">
        <v>38</v>
      </c>
      <c r="F585" t="s">
        <v>24</v>
      </c>
      <c r="G585" s="8">
        <v>31</v>
      </c>
      <c r="H585" s="2">
        <v>100</v>
      </c>
      <c r="I585" s="2">
        <v>3100</v>
      </c>
      <c r="J585" s="4">
        <v>0.08</v>
      </c>
      <c r="K585" s="2">
        <v>2852</v>
      </c>
      <c r="L585" s="2">
        <f t="shared" si="28"/>
        <v>248</v>
      </c>
      <c r="M585" s="1">
        <v>44150</v>
      </c>
      <c r="N585" s="1">
        <v>44150</v>
      </c>
      <c r="O585">
        <v>584</v>
      </c>
      <c r="P585">
        <v>6</v>
      </c>
      <c r="Q585" t="s">
        <v>47</v>
      </c>
      <c r="R585" s="3">
        <v>0.06</v>
      </c>
      <c r="S585" s="2">
        <v>171.12</v>
      </c>
      <c r="T585">
        <v>3</v>
      </c>
      <c r="U585" t="str">
        <f t="shared" si="29"/>
        <v>Novembro</v>
      </c>
    </row>
    <row r="586" spans="1:21">
      <c r="A586">
        <v>585</v>
      </c>
      <c r="B586" s="1">
        <v>44147</v>
      </c>
      <c r="C586" s="1" t="str">
        <f t="shared" si="27"/>
        <v>novembro</v>
      </c>
      <c r="D586">
        <v>73</v>
      </c>
      <c r="E586" t="s">
        <v>38</v>
      </c>
      <c r="F586" t="s">
        <v>50</v>
      </c>
      <c r="G586" s="8">
        <v>40</v>
      </c>
      <c r="H586" s="2">
        <v>116</v>
      </c>
      <c r="I586" s="2">
        <v>4640</v>
      </c>
      <c r="J586" s="4">
        <v>0.08</v>
      </c>
      <c r="K586" s="2">
        <v>4268.8</v>
      </c>
      <c r="L586" s="2">
        <f t="shared" si="28"/>
        <v>371.19999999999982</v>
      </c>
      <c r="M586" s="1">
        <v>44168</v>
      </c>
      <c r="N586" s="1">
        <v>44168</v>
      </c>
      <c r="O586">
        <v>585</v>
      </c>
      <c r="P586">
        <v>3</v>
      </c>
      <c r="Q586" t="s">
        <v>47</v>
      </c>
      <c r="R586" s="3">
        <v>7.0000000000000007E-2</v>
      </c>
      <c r="S586" s="2">
        <v>298.81600000000003</v>
      </c>
      <c r="T586">
        <v>4</v>
      </c>
      <c r="U586" t="str">
        <f t="shared" si="29"/>
        <v>Novembro</v>
      </c>
    </row>
    <row r="587" spans="1:21">
      <c r="A587">
        <v>586</v>
      </c>
      <c r="B587" s="1">
        <v>44147</v>
      </c>
      <c r="C587" s="1" t="str">
        <f t="shared" si="27"/>
        <v>novembro</v>
      </c>
      <c r="D587">
        <v>27</v>
      </c>
      <c r="E587" t="s">
        <v>101</v>
      </c>
      <c r="F587" t="s">
        <v>31</v>
      </c>
      <c r="G587" s="8">
        <v>10</v>
      </c>
      <c r="H587" s="2">
        <v>114</v>
      </c>
      <c r="I587" s="2">
        <v>1140</v>
      </c>
      <c r="J587" s="4">
        <v>0.11</v>
      </c>
      <c r="K587" s="2">
        <v>1014.6</v>
      </c>
      <c r="L587" s="2">
        <f t="shared" si="28"/>
        <v>125.39999999999998</v>
      </c>
      <c r="M587" s="1">
        <v>44153</v>
      </c>
      <c r="N587" s="1">
        <v>44153</v>
      </c>
      <c r="O587">
        <v>586</v>
      </c>
      <c r="P587">
        <v>4</v>
      </c>
      <c r="Q587" t="s">
        <v>34</v>
      </c>
      <c r="R587" s="3">
        <v>7.0000000000000007E-2</v>
      </c>
      <c r="S587" s="2">
        <v>71.022000000000006</v>
      </c>
      <c r="T587">
        <v>5</v>
      </c>
      <c r="U587" t="str">
        <f t="shared" si="29"/>
        <v>Novembro</v>
      </c>
    </row>
    <row r="588" spans="1:21">
      <c r="A588">
        <v>587</v>
      </c>
      <c r="B588" s="1">
        <v>44147</v>
      </c>
      <c r="C588" s="1" t="str">
        <f t="shared" si="27"/>
        <v>novembro</v>
      </c>
      <c r="D588">
        <v>70</v>
      </c>
      <c r="E588" t="s">
        <v>67</v>
      </c>
      <c r="F588" t="s">
        <v>31</v>
      </c>
      <c r="G588" s="8">
        <v>22</v>
      </c>
      <c r="H588" s="2">
        <v>112</v>
      </c>
      <c r="I588" s="2">
        <v>2464</v>
      </c>
      <c r="J588" s="4">
        <v>0.02</v>
      </c>
      <c r="K588" s="2">
        <v>2414.7199999999998</v>
      </c>
      <c r="L588" s="2">
        <f t="shared" si="28"/>
        <v>49.2800000000002</v>
      </c>
      <c r="M588" s="1">
        <v>44150</v>
      </c>
      <c r="N588" s="1">
        <v>44150</v>
      </c>
      <c r="O588">
        <v>587</v>
      </c>
      <c r="P588">
        <v>6</v>
      </c>
      <c r="Q588" t="s">
        <v>34</v>
      </c>
      <c r="R588" s="3">
        <v>0.1</v>
      </c>
      <c r="S588" s="2">
        <v>241.47199999999998</v>
      </c>
      <c r="T588">
        <v>6</v>
      </c>
      <c r="U588" t="str">
        <f t="shared" si="29"/>
        <v>Novembro</v>
      </c>
    </row>
    <row r="589" spans="1:21">
      <c r="A589">
        <v>588</v>
      </c>
      <c r="B589" s="1">
        <v>44147</v>
      </c>
      <c r="C589" s="1" t="str">
        <f t="shared" si="27"/>
        <v>novembro</v>
      </c>
      <c r="D589">
        <v>39</v>
      </c>
      <c r="E589" t="s">
        <v>38</v>
      </c>
      <c r="F589" t="s">
        <v>59</v>
      </c>
      <c r="G589" s="8">
        <v>37</v>
      </c>
      <c r="H589" s="2">
        <v>116</v>
      </c>
      <c r="I589" s="2">
        <v>4292</v>
      </c>
      <c r="J589" s="4">
        <v>0.15</v>
      </c>
      <c r="K589" s="2">
        <v>3648.2</v>
      </c>
      <c r="L589" s="2">
        <f t="shared" si="28"/>
        <v>643.80000000000018</v>
      </c>
      <c r="M589" s="1">
        <v>44147</v>
      </c>
      <c r="N589" s="1">
        <v>44147</v>
      </c>
      <c r="O589">
        <v>588</v>
      </c>
      <c r="P589">
        <v>2</v>
      </c>
      <c r="Q589" t="s">
        <v>43</v>
      </c>
      <c r="R589" s="3">
        <v>0.08</v>
      </c>
      <c r="S589" s="2">
        <v>291.85599999999999</v>
      </c>
      <c r="T589">
        <v>7</v>
      </c>
      <c r="U589" t="str">
        <f t="shared" si="29"/>
        <v>Novembro</v>
      </c>
    </row>
    <row r="590" spans="1:21">
      <c r="A590">
        <v>589</v>
      </c>
      <c r="B590" s="1">
        <v>44148</v>
      </c>
      <c r="C590" s="1" t="str">
        <f t="shared" si="27"/>
        <v>novembro</v>
      </c>
      <c r="D590">
        <v>90</v>
      </c>
      <c r="E590" t="s">
        <v>60</v>
      </c>
      <c r="F590" t="s">
        <v>28</v>
      </c>
      <c r="G590" s="8">
        <v>34</v>
      </c>
      <c r="H590" s="2">
        <v>116</v>
      </c>
      <c r="I590" s="2">
        <v>3944</v>
      </c>
      <c r="J590" s="4">
        <v>0.13</v>
      </c>
      <c r="K590" s="2">
        <v>3431.2799999999997</v>
      </c>
      <c r="L590" s="2">
        <f t="shared" si="28"/>
        <v>512.72000000000025</v>
      </c>
      <c r="M590" s="1">
        <v>44156</v>
      </c>
      <c r="N590" s="1">
        <v>44156</v>
      </c>
      <c r="O590">
        <v>589</v>
      </c>
      <c r="P590">
        <v>6</v>
      </c>
      <c r="Q590" t="s">
        <v>43</v>
      </c>
      <c r="R590" s="3">
        <v>0.1</v>
      </c>
      <c r="S590" s="2">
        <v>343.12799999999999</v>
      </c>
      <c r="T590">
        <v>1</v>
      </c>
      <c r="U590" t="str">
        <f t="shared" si="29"/>
        <v>Novembro</v>
      </c>
    </row>
    <row r="591" spans="1:21">
      <c r="A591">
        <v>590</v>
      </c>
      <c r="B591" s="1">
        <v>44150</v>
      </c>
      <c r="C591" s="1" t="str">
        <f t="shared" si="27"/>
        <v>novembro</v>
      </c>
      <c r="D591">
        <v>40</v>
      </c>
      <c r="E591" t="s">
        <v>49</v>
      </c>
      <c r="F591" t="s">
        <v>46</v>
      </c>
      <c r="G591" s="8">
        <v>40</v>
      </c>
      <c r="H591" s="2">
        <v>115</v>
      </c>
      <c r="I591" s="2">
        <v>4600</v>
      </c>
      <c r="J591" s="4">
        <v>7.0000000000000007E-2</v>
      </c>
      <c r="K591" s="2">
        <v>4278</v>
      </c>
      <c r="L591" s="2">
        <f t="shared" si="28"/>
        <v>322</v>
      </c>
      <c r="M591" s="1">
        <v>44159</v>
      </c>
      <c r="N591" s="1">
        <v>44159</v>
      </c>
      <c r="O591">
        <v>590</v>
      </c>
      <c r="P591">
        <v>2</v>
      </c>
      <c r="Q591" t="s">
        <v>37</v>
      </c>
      <c r="R591" s="3">
        <v>0.1</v>
      </c>
      <c r="S591" s="2">
        <v>427.8</v>
      </c>
      <c r="T591">
        <v>2</v>
      </c>
      <c r="U591" t="str">
        <f t="shared" si="29"/>
        <v>Novembro</v>
      </c>
    </row>
    <row r="592" spans="1:21">
      <c r="A592">
        <v>591</v>
      </c>
      <c r="B592" s="1">
        <v>44150</v>
      </c>
      <c r="C592" s="1" t="str">
        <f t="shared" si="27"/>
        <v>novembro</v>
      </c>
      <c r="D592">
        <v>88</v>
      </c>
      <c r="E592" t="s">
        <v>38</v>
      </c>
      <c r="F592" t="s">
        <v>54</v>
      </c>
      <c r="G592" s="8">
        <v>42</v>
      </c>
      <c r="H592" s="2">
        <v>96</v>
      </c>
      <c r="I592" s="2">
        <v>4032</v>
      </c>
      <c r="J592" s="4">
        <v>0.08</v>
      </c>
      <c r="K592" s="2">
        <v>3709.44</v>
      </c>
      <c r="L592" s="2">
        <f t="shared" si="28"/>
        <v>322.55999999999995</v>
      </c>
      <c r="M592" s="1">
        <v>44165</v>
      </c>
      <c r="N592" s="1">
        <v>44165</v>
      </c>
      <c r="O592">
        <v>591</v>
      </c>
      <c r="P592">
        <v>3</v>
      </c>
      <c r="Q592" t="s">
        <v>22</v>
      </c>
      <c r="R592" s="3">
        <v>0.08</v>
      </c>
      <c r="S592" s="2">
        <v>296.7552</v>
      </c>
      <c r="T592">
        <v>3</v>
      </c>
      <c r="U592" t="str">
        <f t="shared" si="29"/>
        <v>Novembro</v>
      </c>
    </row>
    <row r="593" spans="1:21">
      <c r="A593">
        <v>592</v>
      </c>
      <c r="B593" s="1">
        <v>44153</v>
      </c>
      <c r="C593" s="1" t="str">
        <f t="shared" si="27"/>
        <v>novembro</v>
      </c>
      <c r="D593">
        <v>41</v>
      </c>
      <c r="E593" t="s">
        <v>68</v>
      </c>
      <c r="F593" t="s">
        <v>46</v>
      </c>
      <c r="G593" s="8">
        <v>47</v>
      </c>
      <c r="H593" s="2">
        <v>92</v>
      </c>
      <c r="I593" s="2">
        <v>4324</v>
      </c>
      <c r="J593" s="4">
        <v>0.15</v>
      </c>
      <c r="K593" s="2">
        <v>3675.4</v>
      </c>
      <c r="L593" s="2">
        <f t="shared" si="28"/>
        <v>648.59999999999991</v>
      </c>
      <c r="M593" s="1">
        <v>44165</v>
      </c>
      <c r="N593" s="1">
        <v>44165</v>
      </c>
      <c r="O593">
        <v>592</v>
      </c>
      <c r="P593">
        <v>5</v>
      </c>
      <c r="Q593" t="s">
        <v>37</v>
      </c>
      <c r="R593" s="3">
        <v>0.1</v>
      </c>
      <c r="S593" s="2">
        <v>367.54</v>
      </c>
      <c r="T593">
        <v>4</v>
      </c>
      <c r="U593" t="str">
        <f t="shared" si="29"/>
        <v>Novembro</v>
      </c>
    </row>
    <row r="594" spans="1:21">
      <c r="A594">
        <v>593</v>
      </c>
      <c r="B594" s="1">
        <v>44153</v>
      </c>
      <c r="C594" s="1" t="str">
        <f t="shared" si="27"/>
        <v>novembro</v>
      </c>
      <c r="D594">
        <v>92</v>
      </c>
      <c r="E594" t="s">
        <v>26</v>
      </c>
      <c r="F594" t="s">
        <v>46</v>
      </c>
      <c r="G594" s="8">
        <v>30</v>
      </c>
      <c r="H594" s="2">
        <v>116</v>
      </c>
      <c r="I594" s="2">
        <v>3480</v>
      </c>
      <c r="J594" s="4">
        <v>0.01</v>
      </c>
      <c r="K594" s="2">
        <v>3445.2</v>
      </c>
      <c r="L594" s="2">
        <f t="shared" si="28"/>
        <v>34.800000000000182</v>
      </c>
      <c r="M594" s="1">
        <v>44162</v>
      </c>
      <c r="N594" s="1">
        <v>44162</v>
      </c>
      <c r="O594">
        <v>593</v>
      </c>
      <c r="P594">
        <v>4</v>
      </c>
      <c r="Q594" t="s">
        <v>25</v>
      </c>
      <c r="R594" s="3">
        <v>0.06</v>
      </c>
      <c r="S594" s="2">
        <v>206.71199999999999</v>
      </c>
      <c r="T594">
        <v>5</v>
      </c>
      <c r="U594" t="str">
        <f t="shared" si="29"/>
        <v>Novembro</v>
      </c>
    </row>
    <row r="595" spans="1:21">
      <c r="A595">
        <v>594</v>
      </c>
      <c r="B595" s="1">
        <v>44154</v>
      </c>
      <c r="C595" s="1" t="str">
        <f t="shared" si="27"/>
        <v>novembro</v>
      </c>
      <c r="D595">
        <v>84</v>
      </c>
      <c r="E595" t="s">
        <v>44</v>
      </c>
      <c r="F595" t="s">
        <v>28</v>
      </c>
      <c r="G595" s="8">
        <v>42</v>
      </c>
      <c r="H595" s="2">
        <v>100</v>
      </c>
      <c r="I595" s="2">
        <v>4200</v>
      </c>
      <c r="J595" s="4">
        <v>0.05</v>
      </c>
      <c r="K595" s="2">
        <v>3990</v>
      </c>
      <c r="L595" s="2">
        <f t="shared" si="28"/>
        <v>210</v>
      </c>
      <c r="M595" s="1">
        <v>44170</v>
      </c>
      <c r="N595" s="1">
        <v>44170</v>
      </c>
      <c r="O595">
        <v>594</v>
      </c>
      <c r="P595">
        <v>7</v>
      </c>
      <c r="Q595" t="s">
        <v>69</v>
      </c>
      <c r="R595" s="3">
        <v>7.0000000000000007E-2</v>
      </c>
      <c r="S595" s="2">
        <v>279.3</v>
      </c>
      <c r="T595">
        <v>6</v>
      </c>
      <c r="U595" t="str">
        <f t="shared" si="29"/>
        <v>Novembro</v>
      </c>
    </row>
    <row r="596" spans="1:21">
      <c r="A596">
        <v>595</v>
      </c>
      <c r="B596" s="1">
        <v>44155</v>
      </c>
      <c r="C596" s="1" t="str">
        <f t="shared" si="27"/>
        <v>novembro</v>
      </c>
      <c r="D596">
        <v>8</v>
      </c>
      <c r="E596" t="s">
        <v>38</v>
      </c>
      <c r="F596" t="s">
        <v>59</v>
      </c>
      <c r="G596" s="8">
        <v>11</v>
      </c>
      <c r="H596" s="2">
        <v>118</v>
      </c>
      <c r="I596" s="2">
        <v>1298</v>
      </c>
      <c r="J596" s="4">
        <v>0.11</v>
      </c>
      <c r="K596" s="2">
        <v>1155.22</v>
      </c>
      <c r="L596" s="2">
        <f t="shared" si="28"/>
        <v>142.77999999999997</v>
      </c>
      <c r="M596" s="1">
        <v>44155</v>
      </c>
      <c r="N596" s="1">
        <v>44155</v>
      </c>
      <c r="O596">
        <v>595</v>
      </c>
      <c r="P596">
        <v>5</v>
      </c>
      <c r="Q596" t="s">
        <v>34</v>
      </c>
      <c r="R596" s="3">
        <v>0.05</v>
      </c>
      <c r="S596" s="2">
        <v>57.761000000000003</v>
      </c>
      <c r="T596">
        <v>7</v>
      </c>
      <c r="U596" t="str">
        <f t="shared" si="29"/>
        <v>Novembro</v>
      </c>
    </row>
    <row r="597" spans="1:21">
      <c r="A597">
        <v>596</v>
      </c>
      <c r="B597" s="1">
        <v>44155</v>
      </c>
      <c r="C597" s="1" t="str">
        <f t="shared" si="27"/>
        <v>novembro</v>
      </c>
      <c r="D597">
        <v>76</v>
      </c>
      <c r="E597" t="s">
        <v>104</v>
      </c>
      <c r="F597" t="s">
        <v>28</v>
      </c>
      <c r="G597" s="8">
        <v>35</v>
      </c>
      <c r="H597" s="2">
        <v>105</v>
      </c>
      <c r="I597" s="2">
        <v>3675</v>
      </c>
      <c r="J597" s="4">
        <v>0.04</v>
      </c>
      <c r="K597" s="2">
        <v>3528</v>
      </c>
      <c r="L597" s="2">
        <f t="shared" si="28"/>
        <v>147</v>
      </c>
      <c r="M597" s="1">
        <v>44183</v>
      </c>
      <c r="N597" s="1">
        <v>44183</v>
      </c>
      <c r="O597">
        <v>596</v>
      </c>
      <c r="P597">
        <v>4</v>
      </c>
      <c r="Q597" t="s">
        <v>22</v>
      </c>
      <c r="R597" s="3">
        <v>0.05</v>
      </c>
      <c r="S597" s="2">
        <v>176.4</v>
      </c>
      <c r="T597">
        <v>1</v>
      </c>
      <c r="U597" t="str">
        <f t="shared" si="29"/>
        <v>Novembro</v>
      </c>
    </row>
    <row r="598" spans="1:21">
      <c r="A598">
        <v>597</v>
      </c>
      <c r="B598" s="1">
        <v>44156</v>
      </c>
      <c r="C598" s="1" t="str">
        <f t="shared" si="27"/>
        <v>novembro</v>
      </c>
      <c r="D598">
        <v>29</v>
      </c>
      <c r="E598" t="s">
        <v>98</v>
      </c>
      <c r="F598" t="s">
        <v>28</v>
      </c>
      <c r="G598" s="8">
        <v>14</v>
      </c>
      <c r="H598" s="2">
        <v>120</v>
      </c>
      <c r="I598" s="2">
        <v>1680</v>
      </c>
      <c r="J598" s="4">
        <v>0.08</v>
      </c>
      <c r="K598" s="2">
        <v>1545.6</v>
      </c>
      <c r="L598" s="2">
        <f t="shared" si="28"/>
        <v>134.40000000000009</v>
      </c>
      <c r="M598" s="1">
        <v>44181</v>
      </c>
      <c r="N598" s="1">
        <v>44181</v>
      </c>
      <c r="O598">
        <v>597</v>
      </c>
      <c r="P598">
        <v>7</v>
      </c>
      <c r="Q598" t="s">
        <v>32</v>
      </c>
      <c r="R598" s="3">
        <v>0.08</v>
      </c>
      <c r="S598" s="2">
        <v>123.648</v>
      </c>
      <c r="T598">
        <v>2</v>
      </c>
      <c r="U598" t="str">
        <f t="shared" si="29"/>
        <v>Novembro</v>
      </c>
    </row>
    <row r="599" spans="1:21">
      <c r="A599">
        <v>598</v>
      </c>
      <c r="B599" s="1">
        <v>44157</v>
      </c>
      <c r="C599" s="1" t="str">
        <f t="shared" si="27"/>
        <v>novembro</v>
      </c>
      <c r="D599">
        <v>57</v>
      </c>
      <c r="E599" t="s">
        <v>89</v>
      </c>
      <c r="F599" t="s">
        <v>31</v>
      </c>
      <c r="G599" s="8">
        <v>33</v>
      </c>
      <c r="H599" s="2">
        <v>95</v>
      </c>
      <c r="I599" s="2">
        <v>3135</v>
      </c>
      <c r="J599" s="4">
        <v>0.1</v>
      </c>
      <c r="K599" s="2">
        <v>2821.5</v>
      </c>
      <c r="L599" s="2">
        <f t="shared" si="28"/>
        <v>313.5</v>
      </c>
      <c r="M599" s="1">
        <v>44173</v>
      </c>
      <c r="N599" s="1">
        <v>44173</v>
      </c>
      <c r="O599">
        <v>598</v>
      </c>
      <c r="P599">
        <v>3</v>
      </c>
      <c r="Q599" t="s">
        <v>52</v>
      </c>
      <c r="R599" s="3">
        <v>0.09</v>
      </c>
      <c r="S599" s="2">
        <v>253.935</v>
      </c>
      <c r="T599">
        <v>3</v>
      </c>
      <c r="U599" t="str">
        <f t="shared" si="29"/>
        <v>Novembro</v>
      </c>
    </row>
    <row r="600" spans="1:21">
      <c r="A600">
        <v>599</v>
      </c>
      <c r="B600" s="1">
        <v>44158</v>
      </c>
      <c r="C600" s="1" t="str">
        <f t="shared" si="27"/>
        <v>novembro</v>
      </c>
      <c r="D600">
        <v>88</v>
      </c>
      <c r="E600" t="s">
        <v>38</v>
      </c>
      <c r="F600" t="s">
        <v>41</v>
      </c>
      <c r="G600" s="8">
        <v>10</v>
      </c>
      <c r="H600" s="2">
        <v>113</v>
      </c>
      <c r="I600" s="2">
        <v>1130</v>
      </c>
      <c r="J600" s="4">
        <v>0.1</v>
      </c>
      <c r="K600" s="2">
        <v>1017</v>
      </c>
      <c r="L600" s="2">
        <f t="shared" si="28"/>
        <v>113</v>
      </c>
      <c r="M600" s="1">
        <v>44183</v>
      </c>
      <c r="N600" s="1">
        <v>44183</v>
      </c>
      <c r="O600">
        <v>599</v>
      </c>
      <c r="P600">
        <v>7</v>
      </c>
      <c r="Q600" t="s">
        <v>29</v>
      </c>
      <c r="R600" s="3">
        <v>0.06</v>
      </c>
      <c r="S600" s="2">
        <v>61.019999999999996</v>
      </c>
      <c r="T600">
        <v>4</v>
      </c>
      <c r="U600" t="str">
        <f t="shared" si="29"/>
        <v>Novembro</v>
      </c>
    </row>
    <row r="601" spans="1:21">
      <c r="A601">
        <v>600</v>
      </c>
      <c r="B601" s="1">
        <v>44158</v>
      </c>
      <c r="C601" s="1" t="str">
        <f t="shared" si="27"/>
        <v>novembro</v>
      </c>
      <c r="D601">
        <v>12</v>
      </c>
      <c r="E601" t="s">
        <v>45</v>
      </c>
      <c r="F601" t="s">
        <v>28</v>
      </c>
      <c r="G601" s="8">
        <v>46</v>
      </c>
      <c r="H601" s="2">
        <v>113</v>
      </c>
      <c r="I601" s="2">
        <v>5198</v>
      </c>
      <c r="J601" s="4">
        <v>0.14000000000000001</v>
      </c>
      <c r="K601" s="2">
        <v>4470.28</v>
      </c>
      <c r="L601" s="2">
        <f t="shared" si="28"/>
        <v>727.72000000000025</v>
      </c>
      <c r="M601" s="1">
        <v>44185</v>
      </c>
      <c r="N601" s="1">
        <v>44185</v>
      </c>
      <c r="O601">
        <v>600</v>
      </c>
      <c r="P601">
        <v>6</v>
      </c>
      <c r="Q601" t="s">
        <v>32</v>
      </c>
      <c r="R601" s="3">
        <v>0.09</v>
      </c>
      <c r="S601" s="2">
        <v>402.32519999999994</v>
      </c>
      <c r="T601">
        <v>5</v>
      </c>
      <c r="U601" t="str">
        <f t="shared" si="29"/>
        <v>Novembro</v>
      </c>
    </row>
    <row r="602" spans="1:21">
      <c r="A602">
        <v>601</v>
      </c>
      <c r="B602" s="1">
        <v>44159</v>
      </c>
      <c r="C602" s="1" t="str">
        <f t="shared" si="27"/>
        <v>novembro</v>
      </c>
      <c r="D602">
        <v>30</v>
      </c>
      <c r="E602" t="s">
        <v>96</v>
      </c>
      <c r="F602" t="s">
        <v>31</v>
      </c>
      <c r="G602" s="8">
        <v>15</v>
      </c>
      <c r="H602" s="2">
        <v>104</v>
      </c>
      <c r="I602" s="2">
        <v>1560</v>
      </c>
      <c r="J602" s="4">
        <v>0.08</v>
      </c>
      <c r="K602" s="2">
        <v>1435.2</v>
      </c>
      <c r="L602" s="2">
        <f t="shared" si="28"/>
        <v>124.79999999999995</v>
      </c>
      <c r="M602" s="1">
        <v>44170</v>
      </c>
      <c r="N602" s="1">
        <v>44170</v>
      </c>
      <c r="O602">
        <v>601</v>
      </c>
      <c r="P602">
        <v>4</v>
      </c>
      <c r="Q602" t="s">
        <v>69</v>
      </c>
      <c r="R602" s="3">
        <v>0.08</v>
      </c>
      <c r="S602" s="2">
        <v>114.816</v>
      </c>
      <c r="T602">
        <v>6</v>
      </c>
      <c r="U602" t="str">
        <f t="shared" si="29"/>
        <v>Novembro</v>
      </c>
    </row>
    <row r="603" spans="1:21">
      <c r="A603">
        <v>602</v>
      </c>
      <c r="B603" s="1">
        <v>44159</v>
      </c>
      <c r="C603" s="1" t="str">
        <f t="shared" si="27"/>
        <v>novembro</v>
      </c>
      <c r="D603">
        <v>92</v>
      </c>
      <c r="E603" t="s">
        <v>26</v>
      </c>
      <c r="F603" t="s">
        <v>28</v>
      </c>
      <c r="G603" s="8">
        <v>26</v>
      </c>
      <c r="H603" s="2">
        <v>120</v>
      </c>
      <c r="I603" s="2">
        <v>3120</v>
      </c>
      <c r="J603" s="4">
        <v>0</v>
      </c>
      <c r="K603" s="2">
        <v>3120</v>
      </c>
      <c r="L603" s="2">
        <f t="shared" si="28"/>
        <v>0</v>
      </c>
      <c r="M603" s="1">
        <v>44181</v>
      </c>
      <c r="N603" s="1">
        <v>44181</v>
      </c>
      <c r="O603">
        <v>602</v>
      </c>
      <c r="P603">
        <v>2</v>
      </c>
      <c r="Q603" t="s">
        <v>34</v>
      </c>
      <c r="R603" s="3">
        <v>7.0000000000000007E-2</v>
      </c>
      <c r="S603" s="2">
        <v>218.40000000000003</v>
      </c>
      <c r="T603">
        <v>7</v>
      </c>
      <c r="U603" t="str">
        <f t="shared" si="29"/>
        <v>Novembro</v>
      </c>
    </row>
    <row r="604" spans="1:21">
      <c r="A604">
        <v>603</v>
      </c>
      <c r="B604" s="1">
        <v>44160</v>
      </c>
      <c r="C604" s="1" t="str">
        <f t="shared" si="27"/>
        <v>novembro</v>
      </c>
      <c r="D604">
        <v>100</v>
      </c>
      <c r="E604" t="s">
        <v>38</v>
      </c>
      <c r="F604" t="s">
        <v>28</v>
      </c>
      <c r="G604" s="8">
        <v>23</v>
      </c>
      <c r="H604" s="2">
        <v>101</v>
      </c>
      <c r="I604" s="2">
        <v>2323</v>
      </c>
      <c r="J604" s="4">
        <v>0</v>
      </c>
      <c r="K604" s="2">
        <v>2323</v>
      </c>
      <c r="L604" s="2">
        <f t="shared" si="28"/>
        <v>0</v>
      </c>
      <c r="M604" s="1">
        <v>44179</v>
      </c>
      <c r="N604" s="1">
        <v>44179</v>
      </c>
      <c r="O604">
        <v>603</v>
      </c>
      <c r="P604">
        <v>6</v>
      </c>
      <c r="Q604" t="s">
        <v>22</v>
      </c>
      <c r="R604" s="3">
        <v>0.08</v>
      </c>
      <c r="S604" s="2">
        <v>185.84</v>
      </c>
      <c r="T604">
        <v>1</v>
      </c>
      <c r="U604" t="str">
        <f t="shared" si="29"/>
        <v>Novembro</v>
      </c>
    </row>
    <row r="605" spans="1:21">
      <c r="A605">
        <v>604</v>
      </c>
      <c r="B605" s="1">
        <v>44161</v>
      </c>
      <c r="C605" s="1" t="str">
        <f t="shared" si="27"/>
        <v>novembro</v>
      </c>
      <c r="D605">
        <v>1</v>
      </c>
      <c r="E605" t="s">
        <v>93</v>
      </c>
      <c r="F605" t="s">
        <v>41</v>
      </c>
      <c r="G605" s="8">
        <v>45</v>
      </c>
      <c r="H605" s="2">
        <v>104</v>
      </c>
      <c r="I605" s="2">
        <v>4680</v>
      </c>
      <c r="J605" s="4">
        <v>0.1</v>
      </c>
      <c r="K605" s="2">
        <v>4212</v>
      </c>
      <c r="L605" s="2">
        <f t="shared" si="28"/>
        <v>468</v>
      </c>
      <c r="M605" s="1">
        <v>44161</v>
      </c>
      <c r="N605" s="1">
        <v>44161</v>
      </c>
      <c r="O605">
        <v>604</v>
      </c>
      <c r="P605">
        <v>4</v>
      </c>
      <c r="Q605" t="s">
        <v>32</v>
      </c>
      <c r="R605" s="3">
        <v>0.06</v>
      </c>
      <c r="S605" s="2">
        <v>252.72</v>
      </c>
      <c r="T605">
        <v>2</v>
      </c>
      <c r="U605" t="str">
        <f t="shared" si="29"/>
        <v>Novembro</v>
      </c>
    </row>
    <row r="606" spans="1:21">
      <c r="A606">
        <v>605</v>
      </c>
      <c r="B606" s="1">
        <v>44161</v>
      </c>
      <c r="C606" s="1" t="str">
        <f t="shared" si="27"/>
        <v>novembro</v>
      </c>
      <c r="D606">
        <v>82</v>
      </c>
      <c r="E606" t="s">
        <v>67</v>
      </c>
      <c r="F606" t="s">
        <v>21</v>
      </c>
      <c r="G606" s="8">
        <v>13</v>
      </c>
      <c r="H606" s="2">
        <v>90</v>
      </c>
      <c r="I606" s="2">
        <v>1170</v>
      </c>
      <c r="J606" s="4">
        <v>0.11</v>
      </c>
      <c r="K606" s="2">
        <v>1041.3</v>
      </c>
      <c r="L606" s="2">
        <f t="shared" si="28"/>
        <v>128.70000000000005</v>
      </c>
      <c r="M606" s="1">
        <v>44161</v>
      </c>
      <c r="N606" s="1">
        <v>44161</v>
      </c>
      <c r="O606">
        <v>605</v>
      </c>
      <c r="P606">
        <v>4</v>
      </c>
      <c r="Q606" t="s">
        <v>52</v>
      </c>
      <c r="R606" s="3">
        <v>7.0000000000000007E-2</v>
      </c>
      <c r="S606" s="2">
        <v>72.891000000000005</v>
      </c>
      <c r="T606">
        <v>3</v>
      </c>
      <c r="U606" t="str">
        <f t="shared" si="29"/>
        <v>Novembro</v>
      </c>
    </row>
    <row r="607" spans="1:21">
      <c r="A607">
        <v>606</v>
      </c>
      <c r="B607" s="1">
        <v>44162</v>
      </c>
      <c r="C607" s="1" t="str">
        <f t="shared" si="27"/>
        <v>novembro</v>
      </c>
      <c r="D607">
        <v>80</v>
      </c>
      <c r="E607" t="s">
        <v>38</v>
      </c>
      <c r="F607" t="s">
        <v>21</v>
      </c>
      <c r="G607" s="8">
        <v>28</v>
      </c>
      <c r="H607" s="2">
        <v>117</v>
      </c>
      <c r="I607" s="2">
        <v>3276</v>
      </c>
      <c r="J607" s="4">
        <v>0.11</v>
      </c>
      <c r="K607" s="2">
        <v>2915.64</v>
      </c>
      <c r="L607" s="2">
        <f t="shared" si="28"/>
        <v>360.36000000000013</v>
      </c>
      <c r="M607" s="1">
        <v>44165</v>
      </c>
      <c r="N607" s="1">
        <v>44165</v>
      </c>
      <c r="O607">
        <v>606</v>
      </c>
      <c r="P607">
        <v>4</v>
      </c>
      <c r="Q607" t="s">
        <v>43</v>
      </c>
      <c r="R607" s="3">
        <v>7.0000000000000007E-2</v>
      </c>
      <c r="S607" s="2">
        <v>204.09480000000002</v>
      </c>
      <c r="T607">
        <v>4</v>
      </c>
      <c r="U607" t="str">
        <f t="shared" si="29"/>
        <v>Novembro</v>
      </c>
    </row>
    <row r="608" spans="1:21">
      <c r="A608">
        <v>607</v>
      </c>
      <c r="B608" s="1">
        <v>44162</v>
      </c>
      <c r="C608" s="1" t="str">
        <f t="shared" si="27"/>
        <v>novembro</v>
      </c>
      <c r="D608">
        <v>39</v>
      </c>
      <c r="E608" t="s">
        <v>38</v>
      </c>
      <c r="F608" t="s">
        <v>50</v>
      </c>
      <c r="G608" s="8">
        <v>21</v>
      </c>
      <c r="H608" s="2">
        <v>104</v>
      </c>
      <c r="I608" s="2">
        <v>2184</v>
      </c>
      <c r="J608" s="4">
        <v>0.14000000000000001</v>
      </c>
      <c r="K608" s="2">
        <v>1878.24</v>
      </c>
      <c r="L608" s="2">
        <f t="shared" si="28"/>
        <v>305.76</v>
      </c>
      <c r="M608" s="1">
        <v>44168</v>
      </c>
      <c r="N608" s="1">
        <v>44168</v>
      </c>
      <c r="O608">
        <v>607</v>
      </c>
      <c r="P608">
        <v>2</v>
      </c>
      <c r="Q608" t="s">
        <v>69</v>
      </c>
      <c r="R608" s="3">
        <v>0.1</v>
      </c>
      <c r="S608" s="2">
        <v>187.82400000000001</v>
      </c>
      <c r="T608">
        <v>5</v>
      </c>
      <c r="U608" t="str">
        <f t="shared" si="29"/>
        <v>Novembro</v>
      </c>
    </row>
    <row r="609" spans="1:21">
      <c r="A609">
        <v>608</v>
      </c>
      <c r="B609" s="1">
        <v>44162</v>
      </c>
      <c r="C609" s="1" t="str">
        <f t="shared" si="27"/>
        <v>novembro</v>
      </c>
      <c r="D609">
        <v>63</v>
      </c>
      <c r="E609" t="s">
        <v>80</v>
      </c>
      <c r="F609" t="s">
        <v>28</v>
      </c>
      <c r="G609" s="8">
        <v>18</v>
      </c>
      <c r="H609" s="2">
        <v>110</v>
      </c>
      <c r="I609" s="2">
        <v>1980</v>
      </c>
      <c r="J609" s="4">
        <v>0.1</v>
      </c>
      <c r="K609" s="2">
        <v>1782</v>
      </c>
      <c r="L609" s="2">
        <f t="shared" si="28"/>
        <v>198</v>
      </c>
      <c r="M609" s="1">
        <v>44173</v>
      </c>
      <c r="N609" s="1">
        <v>44173</v>
      </c>
      <c r="O609">
        <v>608</v>
      </c>
      <c r="P609">
        <v>5</v>
      </c>
      <c r="Q609" t="s">
        <v>69</v>
      </c>
      <c r="R609" s="3">
        <v>0.1</v>
      </c>
      <c r="S609" s="2">
        <v>178.20000000000002</v>
      </c>
      <c r="T609">
        <v>6</v>
      </c>
      <c r="U609" t="str">
        <f t="shared" si="29"/>
        <v>Novembro</v>
      </c>
    </row>
    <row r="610" spans="1:21">
      <c r="A610">
        <v>609</v>
      </c>
      <c r="B610" s="1">
        <v>44163</v>
      </c>
      <c r="C610" s="1" t="str">
        <f t="shared" si="27"/>
        <v>novembro</v>
      </c>
      <c r="D610">
        <v>34</v>
      </c>
      <c r="E610" t="s">
        <v>58</v>
      </c>
      <c r="F610" t="s">
        <v>31</v>
      </c>
      <c r="G610" s="8">
        <v>29</v>
      </c>
      <c r="H610" s="2">
        <v>103</v>
      </c>
      <c r="I610" s="2">
        <v>2987</v>
      </c>
      <c r="J610" s="4">
        <v>0.09</v>
      </c>
      <c r="K610" s="2">
        <v>2718.17</v>
      </c>
      <c r="L610" s="2">
        <f t="shared" si="28"/>
        <v>268.82999999999993</v>
      </c>
      <c r="M610" s="1">
        <v>44179</v>
      </c>
      <c r="N610" s="1">
        <v>44179</v>
      </c>
      <c r="O610">
        <v>609</v>
      </c>
      <c r="P610">
        <v>1</v>
      </c>
      <c r="Q610" t="s">
        <v>47</v>
      </c>
      <c r="R610" s="3">
        <v>0.08</v>
      </c>
      <c r="S610" s="2">
        <v>217.45360000000002</v>
      </c>
      <c r="T610">
        <v>7</v>
      </c>
      <c r="U610" t="str">
        <f t="shared" si="29"/>
        <v>Novembro</v>
      </c>
    </row>
    <row r="611" spans="1:21">
      <c r="A611">
        <v>610</v>
      </c>
      <c r="B611" s="1">
        <v>44163</v>
      </c>
      <c r="C611" s="1" t="str">
        <f t="shared" si="27"/>
        <v>novembro</v>
      </c>
      <c r="D611">
        <v>50</v>
      </c>
      <c r="E611" t="s">
        <v>81</v>
      </c>
      <c r="F611" t="s">
        <v>41</v>
      </c>
      <c r="G611" s="8">
        <v>41</v>
      </c>
      <c r="H611" s="2">
        <v>118</v>
      </c>
      <c r="I611" s="2">
        <v>4838</v>
      </c>
      <c r="J611" s="4">
        <v>0.13</v>
      </c>
      <c r="K611" s="2">
        <v>4209.0599999999995</v>
      </c>
      <c r="L611" s="2">
        <f t="shared" si="28"/>
        <v>628.94000000000051</v>
      </c>
      <c r="M611" s="1">
        <v>44183</v>
      </c>
      <c r="N611" s="1">
        <v>44183</v>
      </c>
      <c r="O611">
        <v>610</v>
      </c>
      <c r="P611">
        <v>4</v>
      </c>
      <c r="Q611" t="s">
        <v>69</v>
      </c>
      <c r="R611" s="3">
        <v>0.05</v>
      </c>
      <c r="S611" s="2">
        <v>210.45299999999997</v>
      </c>
      <c r="T611">
        <v>1</v>
      </c>
      <c r="U611" t="str">
        <f t="shared" si="29"/>
        <v>Novembro</v>
      </c>
    </row>
    <row r="612" spans="1:21">
      <c r="A612">
        <v>611</v>
      </c>
      <c r="B612" s="1">
        <v>44165</v>
      </c>
      <c r="C612" s="1" t="str">
        <f t="shared" si="27"/>
        <v>novembro</v>
      </c>
      <c r="D612">
        <v>56</v>
      </c>
      <c r="E612" t="s">
        <v>67</v>
      </c>
      <c r="F612" t="s">
        <v>54</v>
      </c>
      <c r="G612" s="8">
        <v>36</v>
      </c>
      <c r="H612" s="2">
        <v>109</v>
      </c>
      <c r="I612" s="2">
        <v>3924</v>
      </c>
      <c r="J612" s="4">
        <v>0.05</v>
      </c>
      <c r="K612" s="2">
        <v>3727.8</v>
      </c>
      <c r="L612" s="2">
        <f t="shared" si="28"/>
        <v>196.19999999999982</v>
      </c>
      <c r="M612" s="1">
        <v>44177</v>
      </c>
      <c r="N612" s="1">
        <v>44177</v>
      </c>
      <c r="O612">
        <v>611</v>
      </c>
      <c r="P612">
        <v>4</v>
      </c>
      <c r="Q612" t="s">
        <v>37</v>
      </c>
      <c r="R612" s="3">
        <v>0.1</v>
      </c>
      <c r="S612" s="2">
        <v>372.78000000000003</v>
      </c>
      <c r="T612">
        <v>2</v>
      </c>
      <c r="U612" t="str">
        <f t="shared" si="29"/>
        <v>Novembro</v>
      </c>
    </row>
    <row r="613" spans="1:21">
      <c r="A613">
        <v>612</v>
      </c>
      <c r="B613" s="1">
        <v>44166</v>
      </c>
      <c r="C613" s="1" t="str">
        <f t="shared" si="27"/>
        <v>dezembro</v>
      </c>
      <c r="D613">
        <v>72</v>
      </c>
      <c r="E613" t="s">
        <v>38</v>
      </c>
      <c r="F613" t="s">
        <v>24</v>
      </c>
      <c r="G613" s="8">
        <v>18</v>
      </c>
      <c r="H613" s="2">
        <v>99</v>
      </c>
      <c r="I613" s="2">
        <v>1782</v>
      </c>
      <c r="J613" s="4">
        <v>0.02</v>
      </c>
      <c r="K613" s="2">
        <v>1746.36</v>
      </c>
      <c r="L613" s="2">
        <f t="shared" si="28"/>
        <v>35.6400000000001</v>
      </c>
      <c r="M613" s="1">
        <v>44168</v>
      </c>
      <c r="N613" s="1">
        <v>44168</v>
      </c>
      <c r="O613">
        <v>612</v>
      </c>
      <c r="P613">
        <v>4</v>
      </c>
      <c r="Q613" t="s">
        <v>32</v>
      </c>
      <c r="R613" s="3">
        <v>0.09</v>
      </c>
      <c r="S613" s="2">
        <v>157.17239999999998</v>
      </c>
      <c r="T613">
        <v>3</v>
      </c>
      <c r="U613" t="str">
        <f t="shared" si="29"/>
        <v>Dezembro</v>
      </c>
    </row>
    <row r="614" spans="1:21">
      <c r="A614">
        <v>613</v>
      </c>
      <c r="B614" s="1">
        <v>44166</v>
      </c>
      <c r="C614" s="1" t="str">
        <f t="shared" si="27"/>
        <v>dezembro</v>
      </c>
      <c r="D614">
        <v>11</v>
      </c>
      <c r="E614" t="s">
        <v>60</v>
      </c>
      <c r="F614" t="s">
        <v>28</v>
      </c>
      <c r="G614" s="8">
        <v>38</v>
      </c>
      <c r="H614" s="2">
        <v>115</v>
      </c>
      <c r="I614" s="2">
        <v>4370</v>
      </c>
      <c r="J614" s="4">
        <v>0.12</v>
      </c>
      <c r="K614" s="2">
        <v>3845.6</v>
      </c>
      <c r="L614" s="2">
        <f t="shared" si="28"/>
        <v>524.40000000000009</v>
      </c>
      <c r="M614" s="1">
        <v>44190</v>
      </c>
      <c r="N614" s="1">
        <v>44190</v>
      </c>
      <c r="O614">
        <v>613</v>
      </c>
      <c r="P614">
        <v>6</v>
      </c>
      <c r="Q614" t="s">
        <v>69</v>
      </c>
      <c r="R614" s="3">
        <v>0.06</v>
      </c>
      <c r="S614" s="2">
        <v>230.73599999999999</v>
      </c>
      <c r="T614">
        <v>4</v>
      </c>
      <c r="U614" t="str">
        <f t="shared" si="29"/>
        <v>Dezembro</v>
      </c>
    </row>
    <row r="615" spans="1:21">
      <c r="A615">
        <v>614</v>
      </c>
      <c r="B615" s="1">
        <v>44166</v>
      </c>
      <c r="C615" s="1" t="str">
        <f t="shared" si="27"/>
        <v>dezembro</v>
      </c>
      <c r="D615">
        <v>21</v>
      </c>
      <c r="E615" t="s">
        <v>87</v>
      </c>
      <c r="F615" t="s">
        <v>24</v>
      </c>
      <c r="G615" s="8">
        <v>21</v>
      </c>
      <c r="H615" s="2">
        <v>95</v>
      </c>
      <c r="I615" s="2">
        <v>1995</v>
      </c>
      <c r="J615" s="4">
        <v>0</v>
      </c>
      <c r="K615" s="2">
        <v>1995</v>
      </c>
      <c r="L615" s="2">
        <f t="shared" si="28"/>
        <v>0</v>
      </c>
      <c r="M615" s="1">
        <v>44195</v>
      </c>
      <c r="N615" s="1">
        <v>44195</v>
      </c>
      <c r="O615">
        <v>614</v>
      </c>
      <c r="P615">
        <v>7</v>
      </c>
      <c r="Q615" t="s">
        <v>52</v>
      </c>
      <c r="R615" s="3">
        <v>0.1</v>
      </c>
      <c r="S615" s="2">
        <v>199.5</v>
      </c>
      <c r="T615">
        <v>5</v>
      </c>
      <c r="U615" t="str">
        <f t="shared" si="29"/>
        <v>Dezembro</v>
      </c>
    </row>
    <row r="616" spans="1:21">
      <c r="A616">
        <v>615</v>
      </c>
      <c r="B616" s="1">
        <v>44166</v>
      </c>
      <c r="C616" s="1" t="str">
        <f t="shared" si="27"/>
        <v>dezembro</v>
      </c>
      <c r="D616">
        <v>15</v>
      </c>
      <c r="E616" t="s">
        <v>77</v>
      </c>
      <c r="F616" t="s">
        <v>31</v>
      </c>
      <c r="G616" s="8">
        <v>36</v>
      </c>
      <c r="H616" s="2">
        <v>113</v>
      </c>
      <c r="I616" s="2">
        <v>4068</v>
      </c>
      <c r="J616" s="4">
        <v>0.1</v>
      </c>
      <c r="K616" s="2">
        <v>3661.2</v>
      </c>
      <c r="L616" s="2">
        <f t="shared" si="28"/>
        <v>406.80000000000018</v>
      </c>
      <c r="M616" s="1">
        <v>44192</v>
      </c>
      <c r="N616" s="1">
        <v>44192</v>
      </c>
      <c r="O616">
        <v>615</v>
      </c>
      <c r="P616">
        <v>7</v>
      </c>
      <c r="Q616" t="s">
        <v>22</v>
      </c>
      <c r="R616" s="3">
        <v>0.06</v>
      </c>
      <c r="S616" s="2">
        <v>219.67199999999997</v>
      </c>
      <c r="T616">
        <v>6</v>
      </c>
      <c r="U616" t="str">
        <f t="shared" si="29"/>
        <v>Dezembro</v>
      </c>
    </row>
    <row r="617" spans="1:21">
      <c r="A617">
        <v>616</v>
      </c>
      <c r="B617" s="1">
        <v>44166</v>
      </c>
      <c r="C617" s="1" t="str">
        <f t="shared" si="27"/>
        <v>dezembro</v>
      </c>
      <c r="D617">
        <v>64</v>
      </c>
      <c r="E617" t="s">
        <v>78</v>
      </c>
      <c r="F617" t="s">
        <v>50</v>
      </c>
      <c r="G617" s="8">
        <v>16</v>
      </c>
      <c r="H617" s="2">
        <v>103</v>
      </c>
      <c r="I617" s="2">
        <v>1648</v>
      </c>
      <c r="J617" s="4">
        <v>0.15</v>
      </c>
      <c r="K617" s="2">
        <v>1400.8</v>
      </c>
      <c r="L617" s="2">
        <f t="shared" si="28"/>
        <v>247.20000000000005</v>
      </c>
      <c r="M617" s="1">
        <v>44190</v>
      </c>
      <c r="N617" s="1">
        <v>44190</v>
      </c>
      <c r="O617">
        <v>616</v>
      </c>
      <c r="P617">
        <v>4</v>
      </c>
      <c r="Q617" t="s">
        <v>47</v>
      </c>
      <c r="R617" s="3">
        <v>0.05</v>
      </c>
      <c r="S617" s="2">
        <v>70.040000000000006</v>
      </c>
      <c r="T617">
        <v>7</v>
      </c>
      <c r="U617" t="str">
        <f t="shared" si="29"/>
        <v>Dezembro</v>
      </c>
    </row>
    <row r="618" spans="1:21">
      <c r="A618">
        <v>617</v>
      </c>
      <c r="B618" s="1">
        <v>44166</v>
      </c>
      <c r="C618" s="1" t="str">
        <f t="shared" si="27"/>
        <v>dezembro</v>
      </c>
      <c r="D618">
        <v>95</v>
      </c>
      <c r="E618" t="s">
        <v>38</v>
      </c>
      <c r="F618" t="s">
        <v>21</v>
      </c>
      <c r="G618" s="8">
        <v>35</v>
      </c>
      <c r="H618" s="2">
        <v>110</v>
      </c>
      <c r="I618" s="2">
        <v>3850</v>
      </c>
      <c r="J618" s="4">
        <v>0.03</v>
      </c>
      <c r="K618" s="2">
        <v>3734.5</v>
      </c>
      <c r="L618" s="2">
        <f t="shared" si="28"/>
        <v>115.5</v>
      </c>
      <c r="M618" s="1">
        <v>44172</v>
      </c>
      <c r="N618" s="1">
        <v>44172</v>
      </c>
      <c r="O618">
        <v>617</v>
      </c>
      <c r="P618">
        <v>1</v>
      </c>
      <c r="Q618" t="s">
        <v>32</v>
      </c>
      <c r="R618" s="3">
        <v>0.1</v>
      </c>
      <c r="S618" s="2">
        <v>373.45000000000005</v>
      </c>
      <c r="T618">
        <v>1</v>
      </c>
      <c r="U618" t="str">
        <f t="shared" si="29"/>
        <v>Dezembro</v>
      </c>
    </row>
    <row r="619" spans="1:21">
      <c r="A619">
        <v>618</v>
      </c>
      <c r="B619" s="1">
        <v>44167</v>
      </c>
      <c r="C619" s="1" t="str">
        <f t="shared" si="27"/>
        <v>dezembro</v>
      </c>
      <c r="D619">
        <v>33</v>
      </c>
      <c r="E619" t="s">
        <v>76</v>
      </c>
      <c r="F619" t="s">
        <v>50</v>
      </c>
      <c r="G619" s="8">
        <v>16</v>
      </c>
      <c r="H619" s="2">
        <v>100</v>
      </c>
      <c r="I619" s="2">
        <v>1600</v>
      </c>
      <c r="J619" s="4">
        <v>0.03</v>
      </c>
      <c r="K619" s="2">
        <v>1552</v>
      </c>
      <c r="L619" s="2">
        <f t="shared" si="28"/>
        <v>48</v>
      </c>
      <c r="M619" s="1">
        <v>44168</v>
      </c>
      <c r="N619" s="1">
        <v>44168</v>
      </c>
      <c r="O619">
        <v>618</v>
      </c>
      <c r="P619">
        <v>6</v>
      </c>
      <c r="Q619" t="s">
        <v>43</v>
      </c>
      <c r="R619" s="3">
        <v>0.08</v>
      </c>
      <c r="S619" s="2">
        <v>124.16</v>
      </c>
      <c r="T619">
        <v>2</v>
      </c>
      <c r="U619" t="str">
        <f t="shared" si="29"/>
        <v>Dezembro</v>
      </c>
    </row>
    <row r="620" spans="1:21">
      <c r="A620">
        <v>619</v>
      </c>
      <c r="B620" s="1">
        <v>44167</v>
      </c>
      <c r="C620" s="1" t="str">
        <f t="shared" si="27"/>
        <v>dezembro</v>
      </c>
      <c r="D620">
        <v>18</v>
      </c>
      <c r="E620" t="s">
        <v>83</v>
      </c>
      <c r="F620" t="s">
        <v>24</v>
      </c>
      <c r="G620" s="8">
        <v>28</v>
      </c>
      <c r="H620" s="2">
        <v>96</v>
      </c>
      <c r="I620" s="2">
        <v>2688</v>
      </c>
      <c r="J620" s="4">
        <v>0.04</v>
      </c>
      <c r="K620" s="2">
        <v>2580.48</v>
      </c>
      <c r="L620" s="2">
        <f t="shared" si="28"/>
        <v>107.51999999999998</v>
      </c>
      <c r="M620" s="1">
        <v>44178</v>
      </c>
      <c r="N620" s="1">
        <v>44178</v>
      </c>
      <c r="O620">
        <v>619</v>
      </c>
      <c r="P620">
        <v>4</v>
      </c>
      <c r="Q620" t="s">
        <v>37</v>
      </c>
      <c r="R620" s="3">
        <v>0.06</v>
      </c>
      <c r="S620" s="2">
        <v>154.8288</v>
      </c>
      <c r="T620">
        <v>3</v>
      </c>
      <c r="U620" t="str">
        <f t="shared" si="29"/>
        <v>Dezembro</v>
      </c>
    </row>
    <row r="621" spans="1:21">
      <c r="A621">
        <v>620</v>
      </c>
      <c r="B621" s="1">
        <v>44167</v>
      </c>
      <c r="C621" s="1" t="str">
        <f t="shared" si="27"/>
        <v>dezembro</v>
      </c>
      <c r="D621">
        <v>29</v>
      </c>
      <c r="E621" t="s">
        <v>98</v>
      </c>
      <c r="F621" t="s">
        <v>59</v>
      </c>
      <c r="G621" s="8">
        <v>22</v>
      </c>
      <c r="H621" s="2">
        <v>92</v>
      </c>
      <c r="I621" s="2">
        <v>2024</v>
      </c>
      <c r="J621" s="4">
        <v>0.13</v>
      </c>
      <c r="K621" s="2">
        <v>1760.88</v>
      </c>
      <c r="L621" s="2">
        <f t="shared" si="28"/>
        <v>263.11999999999989</v>
      </c>
      <c r="M621" s="1">
        <v>44186</v>
      </c>
      <c r="N621" s="1">
        <v>44186</v>
      </c>
      <c r="O621">
        <v>620</v>
      </c>
      <c r="P621">
        <v>5</v>
      </c>
      <c r="Q621" t="s">
        <v>52</v>
      </c>
      <c r="R621" s="3">
        <v>0.08</v>
      </c>
      <c r="S621" s="2">
        <v>140.87040000000002</v>
      </c>
      <c r="T621">
        <v>4</v>
      </c>
      <c r="U621" t="str">
        <f t="shared" si="29"/>
        <v>Dezembro</v>
      </c>
    </row>
    <row r="622" spans="1:21">
      <c r="A622">
        <v>621</v>
      </c>
      <c r="B622" s="1">
        <v>44167</v>
      </c>
      <c r="C622" s="1" t="str">
        <f t="shared" si="27"/>
        <v>dezembro</v>
      </c>
      <c r="D622">
        <v>75</v>
      </c>
      <c r="E622" t="s">
        <v>38</v>
      </c>
      <c r="F622" t="s">
        <v>55</v>
      </c>
      <c r="G622" s="8">
        <v>19</v>
      </c>
      <c r="H622" s="2">
        <v>112</v>
      </c>
      <c r="I622" s="2">
        <v>2128</v>
      </c>
      <c r="J622" s="4">
        <v>0.04</v>
      </c>
      <c r="K622" s="2">
        <v>2042.88</v>
      </c>
      <c r="L622" s="2">
        <f t="shared" si="28"/>
        <v>85.119999999999891</v>
      </c>
      <c r="M622" s="1">
        <v>44195</v>
      </c>
      <c r="N622" s="1">
        <v>44195</v>
      </c>
      <c r="O622">
        <v>621</v>
      </c>
      <c r="P622">
        <v>6</v>
      </c>
      <c r="Q622" t="s">
        <v>25</v>
      </c>
      <c r="R622" s="3">
        <v>0.05</v>
      </c>
      <c r="S622" s="2">
        <v>102.14400000000001</v>
      </c>
      <c r="T622">
        <v>5</v>
      </c>
      <c r="U622" t="str">
        <f t="shared" si="29"/>
        <v>Dezembro</v>
      </c>
    </row>
    <row r="623" spans="1:21">
      <c r="A623">
        <v>622</v>
      </c>
      <c r="B623" s="1">
        <v>44168</v>
      </c>
      <c r="C623" s="1" t="str">
        <f t="shared" si="27"/>
        <v>dezembro</v>
      </c>
      <c r="D623">
        <v>26</v>
      </c>
      <c r="E623" t="s">
        <v>95</v>
      </c>
      <c r="F623" t="s">
        <v>28</v>
      </c>
      <c r="G623" s="8">
        <v>38</v>
      </c>
      <c r="H623" s="2">
        <v>90</v>
      </c>
      <c r="I623" s="2">
        <v>3420</v>
      </c>
      <c r="J623" s="4">
        <v>0.15</v>
      </c>
      <c r="K623" s="2">
        <v>2907</v>
      </c>
      <c r="L623" s="2">
        <f t="shared" si="28"/>
        <v>513</v>
      </c>
      <c r="M623" s="1">
        <v>44180</v>
      </c>
      <c r="N623" s="1">
        <v>44180</v>
      </c>
      <c r="O623">
        <v>622</v>
      </c>
      <c r="P623">
        <v>3</v>
      </c>
      <c r="Q623" t="s">
        <v>52</v>
      </c>
      <c r="R623" s="3">
        <v>0.06</v>
      </c>
      <c r="S623" s="2">
        <v>174.42</v>
      </c>
      <c r="T623">
        <v>6</v>
      </c>
      <c r="U623" t="str">
        <f t="shared" si="29"/>
        <v>Dezembro</v>
      </c>
    </row>
    <row r="624" spans="1:21">
      <c r="A624">
        <v>623</v>
      </c>
      <c r="B624" s="1">
        <v>44168</v>
      </c>
      <c r="C624" s="1" t="str">
        <f t="shared" si="27"/>
        <v>dezembro</v>
      </c>
      <c r="D624">
        <v>49</v>
      </c>
      <c r="E624" t="s">
        <v>38</v>
      </c>
      <c r="F624" t="s">
        <v>21</v>
      </c>
      <c r="G624" s="8">
        <v>32</v>
      </c>
      <c r="H624" s="2">
        <v>96</v>
      </c>
      <c r="I624" s="2">
        <v>3072</v>
      </c>
      <c r="J624" s="4">
        <v>0.15</v>
      </c>
      <c r="K624" s="2">
        <v>2611.1999999999998</v>
      </c>
      <c r="L624" s="2">
        <f t="shared" si="28"/>
        <v>460.80000000000018</v>
      </c>
      <c r="M624" s="1">
        <v>44178</v>
      </c>
      <c r="N624" s="1">
        <v>44178</v>
      </c>
      <c r="O624">
        <v>623</v>
      </c>
      <c r="P624">
        <v>4</v>
      </c>
      <c r="Q624" t="s">
        <v>37</v>
      </c>
      <c r="R624" s="3">
        <v>0.08</v>
      </c>
      <c r="S624" s="2">
        <v>208.89599999999999</v>
      </c>
      <c r="T624">
        <v>7</v>
      </c>
      <c r="U624" t="str">
        <f t="shared" si="29"/>
        <v>Dezembro</v>
      </c>
    </row>
    <row r="625" spans="1:21">
      <c r="A625">
        <v>624</v>
      </c>
      <c r="B625" s="1">
        <v>44168</v>
      </c>
      <c r="C625" s="1" t="str">
        <f t="shared" si="27"/>
        <v>dezembro</v>
      </c>
      <c r="D625">
        <v>83</v>
      </c>
      <c r="E625" t="s">
        <v>100</v>
      </c>
      <c r="F625" t="s">
        <v>54</v>
      </c>
      <c r="G625" s="8">
        <v>19</v>
      </c>
      <c r="H625" s="2">
        <v>106</v>
      </c>
      <c r="I625" s="2">
        <v>2014</v>
      </c>
      <c r="J625" s="4">
        <v>0.15</v>
      </c>
      <c r="K625" s="2">
        <v>1711.9</v>
      </c>
      <c r="L625" s="2">
        <f t="shared" si="28"/>
        <v>302.09999999999991</v>
      </c>
      <c r="M625" s="1">
        <v>44172</v>
      </c>
      <c r="N625" s="1">
        <v>44172</v>
      </c>
      <c r="O625">
        <v>624</v>
      </c>
      <c r="P625">
        <v>5</v>
      </c>
      <c r="Q625" t="s">
        <v>34</v>
      </c>
      <c r="R625" s="3">
        <v>0.06</v>
      </c>
      <c r="S625" s="2">
        <v>102.714</v>
      </c>
      <c r="T625">
        <v>1</v>
      </c>
      <c r="U625" t="str">
        <f t="shared" si="29"/>
        <v>Dezembro</v>
      </c>
    </row>
    <row r="626" spans="1:21">
      <c r="A626">
        <v>625</v>
      </c>
      <c r="B626" s="1">
        <v>44168</v>
      </c>
      <c r="C626" s="1" t="str">
        <f t="shared" si="27"/>
        <v>dezembro</v>
      </c>
      <c r="D626">
        <v>21</v>
      </c>
      <c r="E626" t="s">
        <v>87</v>
      </c>
      <c r="F626" t="s">
        <v>46</v>
      </c>
      <c r="G626" s="8">
        <v>27</v>
      </c>
      <c r="H626" s="2">
        <v>104</v>
      </c>
      <c r="I626" s="2">
        <v>2808</v>
      </c>
      <c r="J626" s="4">
        <v>0.14000000000000001</v>
      </c>
      <c r="K626" s="2">
        <v>2414.88</v>
      </c>
      <c r="L626" s="2">
        <f t="shared" si="28"/>
        <v>393.11999999999989</v>
      </c>
      <c r="M626" s="1">
        <v>44171</v>
      </c>
      <c r="N626" s="1">
        <v>44171</v>
      </c>
      <c r="O626">
        <v>625</v>
      </c>
      <c r="P626">
        <v>2</v>
      </c>
      <c r="Q626" t="s">
        <v>25</v>
      </c>
      <c r="R626" s="3">
        <v>0.1</v>
      </c>
      <c r="S626" s="2">
        <v>241.48800000000003</v>
      </c>
      <c r="T626">
        <v>2</v>
      </c>
      <c r="U626" t="str">
        <f t="shared" si="29"/>
        <v>Dezembro</v>
      </c>
    </row>
    <row r="627" spans="1:21">
      <c r="A627">
        <v>626</v>
      </c>
      <c r="B627" s="1">
        <v>44169</v>
      </c>
      <c r="C627" s="1" t="str">
        <f t="shared" si="27"/>
        <v>dezembro</v>
      </c>
      <c r="D627">
        <v>59</v>
      </c>
      <c r="E627" t="s">
        <v>97</v>
      </c>
      <c r="F627" t="s">
        <v>24</v>
      </c>
      <c r="G627" s="8">
        <v>42</v>
      </c>
      <c r="H627" s="2">
        <v>110</v>
      </c>
      <c r="I627" s="2">
        <v>4620</v>
      </c>
      <c r="J627" s="4">
        <v>0.1</v>
      </c>
      <c r="K627" s="2">
        <v>4158</v>
      </c>
      <c r="L627" s="2">
        <f t="shared" si="28"/>
        <v>462</v>
      </c>
      <c r="M627" s="1">
        <v>44187</v>
      </c>
      <c r="N627" s="1">
        <v>44187</v>
      </c>
      <c r="O627">
        <v>626</v>
      </c>
      <c r="P627">
        <v>6</v>
      </c>
      <c r="Q627" t="s">
        <v>47</v>
      </c>
      <c r="R627" s="3">
        <v>0.05</v>
      </c>
      <c r="S627" s="2">
        <v>207.9</v>
      </c>
      <c r="T627">
        <v>3</v>
      </c>
      <c r="U627" t="str">
        <f t="shared" si="29"/>
        <v>Dezembro</v>
      </c>
    </row>
    <row r="628" spans="1:21">
      <c r="A628">
        <v>627</v>
      </c>
      <c r="B628" s="1">
        <v>44170</v>
      </c>
      <c r="C628" s="1" t="str">
        <f t="shared" si="27"/>
        <v>dezembro</v>
      </c>
      <c r="D628">
        <v>6</v>
      </c>
      <c r="E628" t="s">
        <v>88</v>
      </c>
      <c r="F628" t="s">
        <v>31</v>
      </c>
      <c r="G628" s="8">
        <v>48</v>
      </c>
      <c r="H628" s="2">
        <v>99</v>
      </c>
      <c r="I628" s="2">
        <v>4752</v>
      </c>
      <c r="J628" s="4">
        <v>0.08</v>
      </c>
      <c r="K628" s="2">
        <v>4371.84</v>
      </c>
      <c r="L628" s="2">
        <f t="shared" si="28"/>
        <v>380.15999999999985</v>
      </c>
      <c r="M628" s="1">
        <v>44183</v>
      </c>
      <c r="N628" s="1">
        <v>44183</v>
      </c>
      <c r="O628">
        <v>627</v>
      </c>
      <c r="P628">
        <v>5</v>
      </c>
      <c r="Q628" t="s">
        <v>25</v>
      </c>
      <c r="R628" s="3">
        <v>0.1</v>
      </c>
      <c r="S628" s="2">
        <v>437.18400000000003</v>
      </c>
      <c r="T628">
        <v>4</v>
      </c>
      <c r="U628" t="str">
        <f t="shared" si="29"/>
        <v>Dezembro</v>
      </c>
    </row>
    <row r="629" spans="1:21">
      <c r="A629">
        <v>628</v>
      </c>
      <c r="B629" s="1">
        <v>44170</v>
      </c>
      <c r="C629" s="1" t="str">
        <f t="shared" si="27"/>
        <v>dezembro</v>
      </c>
      <c r="D629">
        <v>90</v>
      </c>
      <c r="E629" t="s">
        <v>60</v>
      </c>
      <c r="F629" t="s">
        <v>54</v>
      </c>
      <c r="G629" s="8">
        <v>24</v>
      </c>
      <c r="H629" s="2">
        <v>96</v>
      </c>
      <c r="I629" s="2">
        <v>2304</v>
      </c>
      <c r="J629" s="4">
        <v>0.1</v>
      </c>
      <c r="K629" s="2">
        <v>2073.6</v>
      </c>
      <c r="L629" s="2">
        <f t="shared" si="28"/>
        <v>230.40000000000009</v>
      </c>
      <c r="M629" s="1">
        <v>44187</v>
      </c>
      <c r="N629" s="1">
        <v>44187</v>
      </c>
      <c r="O629">
        <v>628</v>
      </c>
      <c r="P629">
        <v>1</v>
      </c>
      <c r="Q629" t="s">
        <v>29</v>
      </c>
      <c r="R629" s="3">
        <v>0.09</v>
      </c>
      <c r="S629" s="2">
        <v>186.624</v>
      </c>
      <c r="T629">
        <v>5</v>
      </c>
      <c r="U629" t="str">
        <f t="shared" si="29"/>
        <v>Dezembro</v>
      </c>
    </row>
    <row r="630" spans="1:21">
      <c r="A630">
        <v>629</v>
      </c>
      <c r="B630" s="1">
        <v>44171</v>
      </c>
      <c r="C630" s="1" t="str">
        <f t="shared" si="27"/>
        <v>dezembro</v>
      </c>
      <c r="D630">
        <v>44</v>
      </c>
      <c r="E630" t="s">
        <v>71</v>
      </c>
      <c r="F630" t="s">
        <v>21</v>
      </c>
      <c r="G630" s="8">
        <v>47</v>
      </c>
      <c r="H630" s="2">
        <v>109</v>
      </c>
      <c r="I630" s="2">
        <v>5123</v>
      </c>
      <c r="J630" s="4">
        <v>0.05</v>
      </c>
      <c r="K630" s="2">
        <v>4866.8500000000004</v>
      </c>
      <c r="L630" s="2">
        <f t="shared" si="28"/>
        <v>256.14999999999964</v>
      </c>
      <c r="M630" s="1">
        <v>44198</v>
      </c>
      <c r="N630" s="1">
        <v>44198</v>
      </c>
      <c r="O630">
        <v>629</v>
      </c>
      <c r="P630">
        <v>5</v>
      </c>
      <c r="Q630" t="s">
        <v>52</v>
      </c>
      <c r="R630" s="3">
        <v>0.05</v>
      </c>
      <c r="S630" s="2">
        <v>243.34250000000003</v>
      </c>
      <c r="T630">
        <v>6</v>
      </c>
      <c r="U630" t="str">
        <f t="shared" si="29"/>
        <v>Dezembro</v>
      </c>
    </row>
    <row r="631" spans="1:21">
      <c r="A631">
        <v>630</v>
      </c>
      <c r="B631" s="1">
        <v>44171</v>
      </c>
      <c r="C631" s="1" t="str">
        <f t="shared" si="27"/>
        <v>dezembro</v>
      </c>
      <c r="D631">
        <v>77</v>
      </c>
      <c r="E631" t="s">
        <v>65</v>
      </c>
      <c r="F631" t="s">
        <v>59</v>
      </c>
      <c r="G631" s="8">
        <v>42</v>
      </c>
      <c r="H631" s="2">
        <v>102</v>
      </c>
      <c r="I631" s="2">
        <v>4284</v>
      </c>
      <c r="J631" s="4">
        <v>0.14000000000000001</v>
      </c>
      <c r="K631" s="2">
        <v>3684.24</v>
      </c>
      <c r="L631" s="2">
        <f t="shared" si="28"/>
        <v>599.76000000000022</v>
      </c>
      <c r="M631" s="1">
        <v>44185</v>
      </c>
      <c r="N631" s="1">
        <v>44185</v>
      </c>
      <c r="O631">
        <v>630</v>
      </c>
      <c r="P631">
        <v>2</v>
      </c>
      <c r="Q631" t="s">
        <v>25</v>
      </c>
      <c r="R631" s="3">
        <v>0.06</v>
      </c>
      <c r="S631" s="2">
        <v>221.05439999999999</v>
      </c>
      <c r="T631">
        <v>7</v>
      </c>
      <c r="U631" t="str">
        <f t="shared" si="29"/>
        <v>Dezembro</v>
      </c>
    </row>
    <row r="632" spans="1:21">
      <c r="A632">
        <v>631</v>
      </c>
      <c r="B632" s="1">
        <v>44171</v>
      </c>
      <c r="C632" s="1" t="str">
        <f t="shared" si="27"/>
        <v>dezembro</v>
      </c>
      <c r="D632">
        <v>4</v>
      </c>
      <c r="E632" t="s">
        <v>86</v>
      </c>
      <c r="F632" t="s">
        <v>55</v>
      </c>
      <c r="G632" s="8">
        <v>35</v>
      </c>
      <c r="H632" s="2">
        <v>115</v>
      </c>
      <c r="I632" s="2">
        <v>4025</v>
      </c>
      <c r="J632" s="4">
        <v>0.12</v>
      </c>
      <c r="K632" s="2">
        <v>3542</v>
      </c>
      <c r="L632" s="2">
        <f t="shared" si="28"/>
        <v>483</v>
      </c>
      <c r="M632" s="1">
        <v>44186</v>
      </c>
      <c r="N632" s="1">
        <v>44186</v>
      </c>
      <c r="O632">
        <v>631</v>
      </c>
      <c r="P632">
        <v>3</v>
      </c>
      <c r="Q632" t="s">
        <v>32</v>
      </c>
      <c r="R632" s="3">
        <v>0.06</v>
      </c>
      <c r="S632" s="2">
        <v>212.51999999999998</v>
      </c>
      <c r="T632">
        <v>1</v>
      </c>
      <c r="U632" t="str">
        <f t="shared" si="29"/>
        <v>Dezembro</v>
      </c>
    </row>
    <row r="633" spans="1:21">
      <c r="A633">
        <v>632</v>
      </c>
      <c r="B633" s="1">
        <v>44172</v>
      </c>
      <c r="C633" s="1" t="str">
        <f t="shared" si="27"/>
        <v>dezembro</v>
      </c>
      <c r="D633">
        <v>43</v>
      </c>
      <c r="E633" t="s">
        <v>99</v>
      </c>
      <c r="F633" t="s">
        <v>28</v>
      </c>
      <c r="G633" s="8">
        <v>39</v>
      </c>
      <c r="H633" s="2">
        <v>118</v>
      </c>
      <c r="I633" s="2">
        <v>4602</v>
      </c>
      <c r="J633" s="4">
        <v>0.12</v>
      </c>
      <c r="K633" s="2">
        <v>4049.76</v>
      </c>
      <c r="L633" s="2">
        <f t="shared" si="28"/>
        <v>552.23999999999978</v>
      </c>
      <c r="M633" s="1">
        <v>44197</v>
      </c>
      <c r="N633" s="1">
        <v>44197</v>
      </c>
      <c r="O633">
        <v>632</v>
      </c>
      <c r="P633">
        <v>3</v>
      </c>
      <c r="Q633" t="s">
        <v>32</v>
      </c>
      <c r="R633" s="3">
        <v>7.0000000000000007E-2</v>
      </c>
      <c r="S633" s="2">
        <v>283.48320000000007</v>
      </c>
      <c r="T633">
        <v>2</v>
      </c>
      <c r="U633" t="str">
        <f t="shared" si="29"/>
        <v>Dezembro</v>
      </c>
    </row>
    <row r="634" spans="1:21">
      <c r="A634">
        <v>633</v>
      </c>
      <c r="B634" s="1">
        <v>44172</v>
      </c>
      <c r="C634" s="1" t="str">
        <f t="shared" si="27"/>
        <v>dezembro</v>
      </c>
      <c r="D634">
        <v>63</v>
      </c>
      <c r="E634" t="s">
        <v>80</v>
      </c>
      <c r="F634" t="s">
        <v>55</v>
      </c>
      <c r="G634" s="8">
        <v>32</v>
      </c>
      <c r="H634" s="2">
        <v>108</v>
      </c>
      <c r="I634" s="2">
        <v>3456</v>
      </c>
      <c r="J634" s="4">
        <v>0.11</v>
      </c>
      <c r="K634" s="2">
        <v>3075.84</v>
      </c>
      <c r="L634" s="2">
        <f t="shared" si="28"/>
        <v>380.15999999999985</v>
      </c>
      <c r="M634" s="1">
        <v>44200</v>
      </c>
      <c r="N634" s="1">
        <v>44200</v>
      </c>
      <c r="O634">
        <v>633</v>
      </c>
      <c r="P634">
        <v>4</v>
      </c>
      <c r="Q634" t="s">
        <v>47</v>
      </c>
      <c r="R634" s="3">
        <v>0.08</v>
      </c>
      <c r="S634" s="2">
        <v>246.06720000000001</v>
      </c>
      <c r="T634">
        <v>3</v>
      </c>
      <c r="U634" t="str">
        <f t="shared" si="29"/>
        <v>Dezembro</v>
      </c>
    </row>
    <row r="635" spans="1:21">
      <c r="A635">
        <v>634</v>
      </c>
      <c r="B635" s="1">
        <v>44173</v>
      </c>
      <c r="C635" s="1" t="str">
        <f t="shared" si="27"/>
        <v>dezembro</v>
      </c>
      <c r="D635">
        <v>2</v>
      </c>
      <c r="E635" t="s">
        <v>35</v>
      </c>
      <c r="F635" t="s">
        <v>50</v>
      </c>
      <c r="G635" s="8">
        <v>15</v>
      </c>
      <c r="H635" s="2">
        <v>117</v>
      </c>
      <c r="I635" s="2">
        <v>1755</v>
      </c>
      <c r="J635" s="4">
        <v>0.08</v>
      </c>
      <c r="K635" s="2">
        <v>1614.6</v>
      </c>
      <c r="L635" s="2">
        <f t="shared" si="28"/>
        <v>140.40000000000009</v>
      </c>
      <c r="M635" s="1">
        <v>44197</v>
      </c>
      <c r="N635" s="1">
        <v>44197</v>
      </c>
      <c r="O635">
        <v>634</v>
      </c>
      <c r="P635">
        <v>4</v>
      </c>
      <c r="Q635" t="s">
        <v>69</v>
      </c>
      <c r="R635" s="3">
        <v>7.0000000000000007E-2</v>
      </c>
      <c r="S635" s="2">
        <v>113.02200000000001</v>
      </c>
      <c r="T635">
        <v>4</v>
      </c>
      <c r="U635" t="str">
        <f t="shared" si="29"/>
        <v>Dezembro</v>
      </c>
    </row>
    <row r="636" spans="1:21">
      <c r="A636">
        <v>635</v>
      </c>
      <c r="B636" s="1">
        <v>44173</v>
      </c>
      <c r="C636" s="1" t="str">
        <f t="shared" si="27"/>
        <v>dezembro</v>
      </c>
      <c r="D636">
        <v>93</v>
      </c>
      <c r="E636" t="s">
        <v>33</v>
      </c>
      <c r="F636" t="s">
        <v>28</v>
      </c>
      <c r="G636" s="8">
        <v>45</v>
      </c>
      <c r="H636" s="2">
        <v>100</v>
      </c>
      <c r="I636" s="2">
        <v>4500</v>
      </c>
      <c r="J636" s="4">
        <v>0.02</v>
      </c>
      <c r="K636" s="2">
        <v>4410</v>
      </c>
      <c r="L636" s="2">
        <f t="shared" si="28"/>
        <v>90</v>
      </c>
      <c r="M636" s="1">
        <v>44198</v>
      </c>
      <c r="N636" s="1">
        <v>44198</v>
      </c>
      <c r="O636">
        <v>635</v>
      </c>
      <c r="P636">
        <v>6</v>
      </c>
      <c r="Q636" t="s">
        <v>29</v>
      </c>
      <c r="R636" s="3">
        <v>0.09</v>
      </c>
      <c r="S636" s="2">
        <v>396.9</v>
      </c>
      <c r="T636">
        <v>5</v>
      </c>
      <c r="U636" t="str">
        <f t="shared" si="29"/>
        <v>Dezembro</v>
      </c>
    </row>
    <row r="637" spans="1:21">
      <c r="A637">
        <v>636</v>
      </c>
      <c r="B637" s="1">
        <v>44174</v>
      </c>
      <c r="C637" s="1" t="str">
        <f t="shared" si="27"/>
        <v>dezembro</v>
      </c>
      <c r="D637">
        <v>11</v>
      </c>
      <c r="E637" t="s">
        <v>60</v>
      </c>
      <c r="F637" t="s">
        <v>59</v>
      </c>
      <c r="G637" s="8">
        <v>34</v>
      </c>
      <c r="H637" s="2">
        <v>103</v>
      </c>
      <c r="I637" s="2">
        <v>3502</v>
      </c>
      <c r="J637" s="4">
        <v>0.02</v>
      </c>
      <c r="K637" s="2">
        <v>3431.96</v>
      </c>
      <c r="L637" s="2">
        <f t="shared" si="28"/>
        <v>70.039999999999964</v>
      </c>
      <c r="M637" s="1">
        <v>44187</v>
      </c>
      <c r="N637" s="1">
        <v>44187</v>
      </c>
      <c r="O637">
        <v>636</v>
      </c>
      <c r="P637">
        <v>7</v>
      </c>
      <c r="Q637" t="s">
        <v>34</v>
      </c>
      <c r="R637" s="3">
        <v>0.09</v>
      </c>
      <c r="S637" s="2">
        <v>308.87639999999999</v>
      </c>
      <c r="T637">
        <v>6</v>
      </c>
      <c r="U637" t="str">
        <f t="shared" si="29"/>
        <v>Dezembro</v>
      </c>
    </row>
    <row r="638" spans="1:21">
      <c r="A638">
        <v>637</v>
      </c>
      <c r="B638" s="1">
        <v>44176</v>
      </c>
      <c r="C638" s="1" t="str">
        <f t="shared" si="27"/>
        <v>dezembro</v>
      </c>
      <c r="D638">
        <v>64</v>
      </c>
      <c r="E638" t="s">
        <v>78</v>
      </c>
      <c r="F638" t="s">
        <v>24</v>
      </c>
      <c r="G638" s="8">
        <v>13</v>
      </c>
      <c r="H638" s="2">
        <v>101</v>
      </c>
      <c r="I638" s="2">
        <v>1313</v>
      </c>
      <c r="J638" s="4">
        <v>0.12</v>
      </c>
      <c r="K638" s="2">
        <v>1155.44</v>
      </c>
      <c r="L638" s="2">
        <f t="shared" si="28"/>
        <v>157.55999999999995</v>
      </c>
      <c r="M638" s="1">
        <v>44203</v>
      </c>
      <c r="N638" s="1">
        <v>44203</v>
      </c>
      <c r="O638">
        <v>637</v>
      </c>
      <c r="P638">
        <v>7</v>
      </c>
      <c r="Q638" t="s">
        <v>37</v>
      </c>
      <c r="R638" s="3">
        <v>7.0000000000000007E-2</v>
      </c>
      <c r="S638" s="2">
        <v>80.880800000000008</v>
      </c>
      <c r="T638">
        <v>7</v>
      </c>
      <c r="U638" t="str">
        <f t="shared" si="29"/>
        <v>Dezembro</v>
      </c>
    </row>
    <row r="639" spans="1:21">
      <c r="A639">
        <v>638</v>
      </c>
      <c r="B639" s="1">
        <v>44176</v>
      </c>
      <c r="C639" s="1" t="str">
        <f t="shared" si="27"/>
        <v>dezembro</v>
      </c>
      <c r="D639">
        <v>85</v>
      </c>
      <c r="E639" t="s">
        <v>57</v>
      </c>
      <c r="F639" t="s">
        <v>21</v>
      </c>
      <c r="G639" s="8">
        <v>47</v>
      </c>
      <c r="H639" s="2">
        <v>115</v>
      </c>
      <c r="I639" s="2">
        <v>5405</v>
      </c>
      <c r="J639" s="4">
        <v>0.01</v>
      </c>
      <c r="K639" s="2">
        <v>5350.95</v>
      </c>
      <c r="L639" s="2">
        <f t="shared" si="28"/>
        <v>54.050000000000182</v>
      </c>
      <c r="M639" s="1">
        <v>44196</v>
      </c>
      <c r="N639" s="1">
        <v>44196</v>
      </c>
      <c r="O639">
        <v>638</v>
      </c>
      <c r="P639">
        <v>6</v>
      </c>
      <c r="Q639" t="s">
        <v>69</v>
      </c>
      <c r="R639" s="3">
        <v>0.1</v>
      </c>
      <c r="S639" s="2">
        <v>535.09500000000003</v>
      </c>
      <c r="T639">
        <v>1</v>
      </c>
      <c r="U639" t="str">
        <f t="shared" si="29"/>
        <v>Dezembro</v>
      </c>
    </row>
    <row r="640" spans="1:21">
      <c r="A640">
        <v>639</v>
      </c>
      <c r="B640" s="1">
        <v>44177</v>
      </c>
      <c r="C640" s="1" t="str">
        <f t="shared" si="27"/>
        <v>dezembro</v>
      </c>
      <c r="D640">
        <v>1</v>
      </c>
      <c r="E640" t="s">
        <v>93</v>
      </c>
      <c r="F640" t="s">
        <v>54</v>
      </c>
      <c r="G640" s="8">
        <v>29</v>
      </c>
      <c r="H640" s="2">
        <v>103</v>
      </c>
      <c r="I640" s="2">
        <v>2987</v>
      </c>
      <c r="J640" s="4">
        <v>0.11</v>
      </c>
      <c r="K640" s="2">
        <v>2658.43</v>
      </c>
      <c r="L640" s="2">
        <f t="shared" si="28"/>
        <v>328.57000000000016</v>
      </c>
      <c r="M640" s="1">
        <v>44184</v>
      </c>
      <c r="N640" s="1">
        <v>44184</v>
      </c>
      <c r="O640">
        <v>639</v>
      </c>
      <c r="P640">
        <v>5</v>
      </c>
      <c r="Q640" t="s">
        <v>25</v>
      </c>
      <c r="R640" s="3">
        <v>0.09</v>
      </c>
      <c r="S640" s="2">
        <v>239.25869999999998</v>
      </c>
      <c r="T640">
        <v>2</v>
      </c>
      <c r="U640" t="str">
        <f t="shared" si="29"/>
        <v>Dezembro</v>
      </c>
    </row>
    <row r="641" spans="1:21">
      <c r="A641">
        <v>640</v>
      </c>
      <c r="B641" s="1">
        <v>44177</v>
      </c>
      <c r="C641" s="1" t="str">
        <f t="shared" si="27"/>
        <v>dezembro</v>
      </c>
      <c r="D641">
        <v>40</v>
      </c>
      <c r="E641" t="s">
        <v>49</v>
      </c>
      <c r="F641" t="s">
        <v>50</v>
      </c>
      <c r="G641" s="8">
        <v>40</v>
      </c>
      <c r="H641" s="2">
        <v>115</v>
      </c>
      <c r="I641" s="2">
        <v>4600</v>
      </c>
      <c r="J641" s="4">
        <v>0.09</v>
      </c>
      <c r="K641" s="2">
        <v>4186</v>
      </c>
      <c r="L641" s="2">
        <f t="shared" si="28"/>
        <v>414</v>
      </c>
      <c r="M641" s="1">
        <v>44181</v>
      </c>
      <c r="N641" s="1">
        <v>44181</v>
      </c>
      <c r="O641">
        <v>640</v>
      </c>
      <c r="P641">
        <v>3</v>
      </c>
      <c r="Q641" t="s">
        <v>22</v>
      </c>
      <c r="R641" s="3">
        <v>0.09</v>
      </c>
      <c r="S641" s="2">
        <v>376.74</v>
      </c>
      <c r="T641">
        <v>3</v>
      </c>
      <c r="U641" t="str">
        <f t="shared" si="29"/>
        <v>Dezembro</v>
      </c>
    </row>
    <row r="642" spans="1:21">
      <c r="A642">
        <v>641</v>
      </c>
      <c r="B642" s="1">
        <v>44179</v>
      </c>
      <c r="C642" s="1" t="str">
        <f t="shared" si="27"/>
        <v>dezembro</v>
      </c>
      <c r="D642">
        <v>36</v>
      </c>
      <c r="E642" t="s">
        <v>70</v>
      </c>
      <c r="F642" t="s">
        <v>31</v>
      </c>
      <c r="G642" s="8">
        <v>23</v>
      </c>
      <c r="H642" s="2">
        <v>90</v>
      </c>
      <c r="I642" s="2">
        <v>2070</v>
      </c>
      <c r="J642" s="4">
        <v>0.13</v>
      </c>
      <c r="K642" s="2">
        <v>1800.9</v>
      </c>
      <c r="L642" s="2">
        <f t="shared" si="28"/>
        <v>269.09999999999991</v>
      </c>
      <c r="M642" s="1">
        <v>44188</v>
      </c>
      <c r="N642" s="1">
        <v>44188</v>
      </c>
      <c r="O642">
        <v>641</v>
      </c>
      <c r="P642">
        <v>5</v>
      </c>
      <c r="Q642" t="s">
        <v>34</v>
      </c>
      <c r="R642" s="3">
        <v>0.06</v>
      </c>
      <c r="S642" s="2">
        <v>108.054</v>
      </c>
      <c r="T642">
        <v>4</v>
      </c>
      <c r="U642" t="str">
        <f t="shared" si="29"/>
        <v>Dezembro</v>
      </c>
    </row>
    <row r="643" spans="1:21">
      <c r="A643">
        <v>642</v>
      </c>
      <c r="B643" s="1">
        <v>44179</v>
      </c>
      <c r="C643" s="1" t="str">
        <f t="shared" ref="C643:C706" si="30">TEXT(B643,"mmmm")</f>
        <v>dezembro</v>
      </c>
      <c r="D643">
        <v>21</v>
      </c>
      <c r="E643" t="s">
        <v>87</v>
      </c>
      <c r="F643" t="s">
        <v>31</v>
      </c>
      <c r="G643" s="8">
        <v>31</v>
      </c>
      <c r="H643" s="2">
        <v>100</v>
      </c>
      <c r="I643" s="2">
        <v>3100</v>
      </c>
      <c r="J643" s="4">
        <v>0.11</v>
      </c>
      <c r="K643" s="2">
        <v>2759</v>
      </c>
      <c r="L643" s="2">
        <f t="shared" ref="L643:L706" si="31">I643-K643</f>
        <v>341</v>
      </c>
      <c r="M643" s="1">
        <v>44203</v>
      </c>
      <c r="N643" s="1">
        <v>44203</v>
      </c>
      <c r="O643">
        <v>642</v>
      </c>
      <c r="P643">
        <v>1</v>
      </c>
      <c r="Q643" t="s">
        <v>52</v>
      </c>
      <c r="R643" s="3">
        <v>0.05</v>
      </c>
      <c r="S643" s="2">
        <v>137.95000000000002</v>
      </c>
      <c r="T643">
        <v>5</v>
      </c>
      <c r="U643" t="str">
        <f t="shared" ref="U643:U706" si="32">PROPER(TEXT(B643,"mmmm"))</f>
        <v>Dezembro</v>
      </c>
    </row>
    <row r="644" spans="1:21">
      <c r="A644">
        <v>643</v>
      </c>
      <c r="B644" s="1">
        <v>44179</v>
      </c>
      <c r="C644" s="1" t="str">
        <f t="shared" si="30"/>
        <v>dezembro</v>
      </c>
      <c r="D644">
        <v>55</v>
      </c>
      <c r="E644" t="s">
        <v>44</v>
      </c>
      <c r="F644" t="s">
        <v>28</v>
      </c>
      <c r="G644" s="8">
        <v>25</v>
      </c>
      <c r="H644" s="2">
        <v>96</v>
      </c>
      <c r="I644" s="2">
        <v>2400</v>
      </c>
      <c r="J644" s="4">
        <v>0.03</v>
      </c>
      <c r="K644" s="2">
        <v>2328</v>
      </c>
      <c r="L644" s="2">
        <f t="shared" si="31"/>
        <v>72</v>
      </c>
      <c r="M644" s="1">
        <v>44189</v>
      </c>
      <c r="N644" s="1">
        <v>44189</v>
      </c>
      <c r="O644">
        <v>643</v>
      </c>
      <c r="P644">
        <v>5</v>
      </c>
      <c r="Q644" t="s">
        <v>43</v>
      </c>
      <c r="R644" s="3">
        <v>0.05</v>
      </c>
      <c r="S644" s="2">
        <v>116.4</v>
      </c>
      <c r="T644">
        <v>6</v>
      </c>
      <c r="U644" t="str">
        <f t="shared" si="32"/>
        <v>Dezembro</v>
      </c>
    </row>
    <row r="645" spans="1:21">
      <c r="A645">
        <v>644</v>
      </c>
      <c r="B645" s="1">
        <v>44180</v>
      </c>
      <c r="C645" s="1" t="str">
        <f t="shared" si="30"/>
        <v>dezembro</v>
      </c>
      <c r="D645">
        <v>84</v>
      </c>
      <c r="E645" t="s">
        <v>44</v>
      </c>
      <c r="F645" t="s">
        <v>28</v>
      </c>
      <c r="G645" s="8">
        <v>12</v>
      </c>
      <c r="H645" s="2">
        <v>94</v>
      </c>
      <c r="I645" s="2">
        <v>1128</v>
      </c>
      <c r="J645" s="4">
        <v>0.05</v>
      </c>
      <c r="K645" s="2">
        <v>1071.5999999999999</v>
      </c>
      <c r="L645" s="2">
        <f t="shared" si="31"/>
        <v>56.400000000000091</v>
      </c>
      <c r="M645" s="1">
        <v>44187</v>
      </c>
      <c r="N645" s="1">
        <v>44187</v>
      </c>
      <c r="O645">
        <v>644</v>
      </c>
      <c r="P645">
        <v>2</v>
      </c>
      <c r="Q645" t="s">
        <v>32</v>
      </c>
      <c r="R645" s="3">
        <v>0.1</v>
      </c>
      <c r="S645" s="2">
        <v>107.16</v>
      </c>
      <c r="T645">
        <v>7</v>
      </c>
      <c r="U645" t="str">
        <f t="shared" si="32"/>
        <v>Dezembro</v>
      </c>
    </row>
    <row r="646" spans="1:21">
      <c r="A646">
        <v>645</v>
      </c>
      <c r="B646" s="1">
        <v>44180</v>
      </c>
      <c r="C646" s="1" t="str">
        <f t="shared" si="30"/>
        <v>dezembro</v>
      </c>
      <c r="D646">
        <v>18</v>
      </c>
      <c r="E646" t="s">
        <v>83</v>
      </c>
      <c r="F646" t="s">
        <v>21</v>
      </c>
      <c r="G646" s="8">
        <v>48</v>
      </c>
      <c r="H646" s="2">
        <v>96</v>
      </c>
      <c r="I646" s="2">
        <v>4608</v>
      </c>
      <c r="J646" s="4">
        <v>0.06</v>
      </c>
      <c r="K646" s="2">
        <v>4331.5200000000004</v>
      </c>
      <c r="L646" s="2">
        <f t="shared" si="31"/>
        <v>276.47999999999956</v>
      </c>
      <c r="M646" s="1">
        <v>44182</v>
      </c>
      <c r="N646" s="1">
        <v>44182</v>
      </c>
      <c r="O646">
        <v>645</v>
      </c>
      <c r="P646">
        <v>1</v>
      </c>
      <c r="Q646" t="s">
        <v>37</v>
      </c>
      <c r="R646" s="3">
        <v>7.0000000000000007E-2</v>
      </c>
      <c r="S646" s="2">
        <v>303.20640000000009</v>
      </c>
      <c r="T646">
        <v>1</v>
      </c>
      <c r="U646" t="str">
        <f t="shared" si="32"/>
        <v>Dezembro</v>
      </c>
    </row>
    <row r="647" spans="1:21">
      <c r="A647">
        <v>646</v>
      </c>
      <c r="B647" s="1">
        <v>44180</v>
      </c>
      <c r="C647" s="1" t="str">
        <f t="shared" si="30"/>
        <v>dezembro</v>
      </c>
      <c r="D647">
        <v>46</v>
      </c>
      <c r="E647" t="s">
        <v>94</v>
      </c>
      <c r="F647" t="s">
        <v>28</v>
      </c>
      <c r="G647" s="8">
        <v>35</v>
      </c>
      <c r="H647" s="2">
        <v>93</v>
      </c>
      <c r="I647" s="2">
        <v>3255</v>
      </c>
      <c r="J647" s="4">
        <v>0.15</v>
      </c>
      <c r="K647" s="2">
        <v>2766.75</v>
      </c>
      <c r="L647" s="2">
        <f t="shared" si="31"/>
        <v>488.25</v>
      </c>
      <c r="M647" s="1">
        <v>44181</v>
      </c>
      <c r="O647">
        <v>646</v>
      </c>
      <c r="P647">
        <v>4</v>
      </c>
      <c r="Q647" t="s">
        <v>52</v>
      </c>
      <c r="R647" s="3">
        <v>0.06</v>
      </c>
      <c r="S647" s="2">
        <v>166.005</v>
      </c>
      <c r="T647">
        <v>2</v>
      </c>
      <c r="U647" t="str">
        <f t="shared" si="32"/>
        <v>Dezembro</v>
      </c>
    </row>
    <row r="648" spans="1:21">
      <c r="A648">
        <v>647</v>
      </c>
      <c r="B648" s="1">
        <v>44181</v>
      </c>
      <c r="C648" s="1" t="str">
        <f t="shared" si="30"/>
        <v>dezembro</v>
      </c>
      <c r="D648">
        <v>15</v>
      </c>
      <c r="E648" t="s">
        <v>77</v>
      </c>
      <c r="F648" t="s">
        <v>28</v>
      </c>
      <c r="G648" s="8">
        <v>46</v>
      </c>
      <c r="H648" s="2">
        <v>96</v>
      </c>
      <c r="I648" s="2">
        <v>4416</v>
      </c>
      <c r="J648" s="4">
        <v>0.13</v>
      </c>
      <c r="K648" s="2">
        <v>3841.92</v>
      </c>
      <c r="L648" s="2">
        <f t="shared" si="31"/>
        <v>574.07999999999993</v>
      </c>
      <c r="M648" s="1">
        <v>44192</v>
      </c>
      <c r="N648" s="1">
        <v>44192</v>
      </c>
      <c r="O648">
        <v>647</v>
      </c>
      <c r="P648">
        <v>5</v>
      </c>
      <c r="Q648" t="s">
        <v>69</v>
      </c>
      <c r="R648" s="3">
        <v>0.08</v>
      </c>
      <c r="S648" s="2">
        <v>307.35360000000003</v>
      </c>
      <c r="T648">
        <v>3</v>
      </c>
      <c r="U648" t="str">
        <f t="shared" si="32"/>
        <v>Dezembro</v>
      </c>
    </row>
    <row r="649" spans="1:21">
      <c r="A649">
        <v>648</v>
      </c>
      <c r="B649" s="1">
        <v>44182</v>
      </c>
      <c r="C649" s="1" t="str">
        <f t="shared" si="30"/>
        <v>dezembro</v>
      </c>
      <c r="D649">
        <v>18</v>
      </c>
      <c r="E649" t="s">
        <v>83</v>
      </c>
      <c r="F649" t="s">
        <v>28</v>
      </c>
      <c r="G649" s="8">
        <v>42</v>
      </c>
      <c r="H649" s="2">
        <v>100</v>
      </c>
      <c r="I649" s="2">
        <v>4200</v>
      </c>
      <c r="J649" s="4">
        <v>0.14000000000000001</v>
      </c>
      <c r="K649" s="2">
        <v>3612</v>
      </c>
      <c r="L649" s="2">
        <f t="shared" si="31"/>
        <v>588</v>
      </c>
      <c r="M649" s="1">
        <v>44183</v>
      </c>
      <c r="N649" s="1">
        <v>44183</v>
      </c>
      <c r="O649">
        <v>648</v>
      </c>
      <c r="P649">
        <v>6</v>
      </c>
      <c r="Q649" t="s">
        <v>47</v>
      </c>
      <c r="R649" s="3">
        <v>0.05</v>
      </c>
      <c r="S649" s="2">
        <v>180.60000000000002</v>
      </c>
      <c r="T649">
        <v>4</v>
      </c>
      <c r="U649" t="str">
        <f t="shared" si="32"/>
        <v>Dezembro</v>
      </c>
    </row>
    <row r="650" spans="1:21">
      <c r="A650">
        <v>649</v>
      </c>
      <c r="B650" s="1">
        <v>44182</v>
      </c>
      <c r="C650" s="1" t="str">
        <f t="shared" si="30"/>
        <v>dezembro</v>
      </c>
      <c r="D650">
        <v>56</v>
      </c>
      <c r="E650" t="s">
        <v>67</v>
      </c>
      <c r="F650" t="s">
        <v>50</v>
      </c>
      <c r="G650" s="8">
        <v>22</v>
      </c>
      <c r="H650" s="2">
        <v>92</v>
      </c>
      <c r="I650" s="2">
        <v>2024</v>
      </c>
      <c r="J650" s="4">
        <v>0.02</v>
      </c>
      <c r="K650" s="2">
        <v>1983.52</v>
      </c>
      <c r="L650" s="2">
        <f t="shared" si="31"/>
        <v>40.480000000000018</v>
      </c>
      <c r="M650" s="1">
        <v>44196</v>
      </c>
      <c r="N650" s="1">
        <v>44196</v>
      </c>
      <c r="O650">
        <v>649</v>
      </c>
      <c r="P650">
        <v>5</v>
      </c>
      <c r="Q650" t="s">
        <v>43</v>
      </c>
      <c r="R650" s="3">
        <v>0.1</v>
      </c>
      <c r="S650" s="2">
        <v>198.352</v>
      </c>
      <c r="T650">
        <v>5</v>
      </c>
      <c r="U650" t="str">
        <f t="shared" si="32"/>
        <v>Dezembro</v>
      </c>
    </row>
    <row r="651" spans="1:21">
      <c r="A651">
        <v>650</v>
      </c>
      <c r="B651" s="1">
        <v>44182</v>
      </c>
      <c r="C651" s="1" t="str">
        <f t="shared" si="30"/>
        <v>dezembro</v>
      </c>
      <c r="D651">
        <v>52</v>
      </c>
      <c r="E651" t="s">
        <v>23</v>
      </c>
      <c r="F651" t="s">
        <v>50</v>
      </c>
      <c r="G651" s="8">
        <v>21</v>
      </c>
      <c r="H651" s="2">
        <v>119</v>
      </c>
      <c r="I651" s="2">
        <v>2499</v>
      </c>
      <c r="J651" s="4">
        <v>0.13</v>
      </c>
      <c r="K651" s="2">
        <v>2174.13</v>
      </c>
      <c r="L651" s="2">
        <f t="shared" si="31"/>
        <v>324.86999999999989</v>
      </c>
      <c r="M651" s="1">
        <v>44199</v>
      </c>
      <c r="N651" s="1">
        <v>44199</v>
      </c>
      <c r="O651">
        <v>650</v>
      </c>
      <c r="P651">
        <v>4</v>
      </c>
      <c r="Q651" t="s">
        <v>34</v>
      </c>
      <c r="R651" s="3">
        <v>0.05</v>
      </c>
      <c r="S651" s="2">
        <v>108.70650000000001</v>
      </c>
      <c r="T651">
        <v>6</v>
      </c>
      <c r="U651" t="str">
        <f t="shared" si="32"/>
        <v>Dezembro</v>
      </c>
    </row>
    <row r="652" spans="1:21">
      <c r="A652">
        <v>651</v>
      </c>
      <c r="B652" s="1">
        <v>44182</v>
      </c>
      <c r="C652" s="1" t="str">
        <f t="shared" si="30"/>
        <v>dezembro</v>
      </c>
      <c r="D652">
        <v>6</v>
      </c>
      <c r="E652" t="s">
        <v>88</v>
      </c>
      <c r="F652" t="s">
        <v>46</v>
      </c>
      <c r="G652" s="8">
        <v>29</v>
      </c>
      <c r="H652" s="2">
        <v>97</v>
      </c>
      <c r="I652" s="2">
        <v>2813</v>
      </c>
      <c r="J652" s="4">
        <v>0.09</v>
      </c>
      <c r="K652" s="2">
        <v>2559.83</v>
      </c>
      <c r="L652" s="2">
        <f t="shared" si="31"/>
        <v>253.17000000000007</v>
      </c>
      <c r="M652" s="1">
        <v>44206</v>
      </c>
      <c r="N652" s="1">
        <v>44206</v>
      </c>
      <c r="O652">
        <v>651</v>
      </c>
      <c r="P652">
        <v>7</v>
      </c>
      <c r="Q652" t="s">
        <v>52</v>
      </c>
      <c r="R652" s="3">
        <v>7.0000000000000007E-2</v>
      </c>
      <c r="S652" s="2">
        <v>179.18810000000002</v>
      </c>
      <c r="T652">
        <v>7</v>
      </c>
      <c r="U652" t="str">
        <f t="shared" si="32"/>
        <v>Dezembro</v>
      </c>
    </row>
    <row r="653" spans="1:21">
      <c r="A653">
        <v>652</v>
      </c>
      <c r="B653" s="1">
        <v>44184</v>
      </c>
      <c r="C653" s="1" t="str">
        <f t="shared" si="30"/>
        <v>dezembro</v>
      </c>
      <c r="D653">
        <v>49</v>
      </c>
      <c r="E653" t="s">
        <v>38</v>
      </c>
      <c r="F653" t="s">
        <v>50</v>
      </c>
      <c r="G653" s="8">
        <v>45</v>
      </c>
      <c r="H653" s="2">
        <v>103</v>
      </c>
      <c r="I653" s="2">
        <v>4635</v>
      </c>
      <c r="J653" s="4">
        <v>0.02</v>
      </c>
      <c r="K653" s="2">
        <v>4542.3</v>
      </c>
      <c r="L653" s="2">
        <f t="shared" si="31"/>
        <v>92.699999999999818</v>
      </c>
      <c r="M653" s="1">
        <v>44207</v>
      </c>
      <c r="N653" s="1">
        <v>44207</v>
      </c>
      <c r="O653">
        <v>652</v>
      </c>
      <c r="P653">
        <v>7</v>
      </c>
      <c r="Q653" t="s">
        <v>22</v>
      </c>
      <c r="R653" s="3">
        <v>0.09</v>
      </c>
      <c r="S653" s="2">
        <v>408.80700000000002</v>
      </c>
      <c r="T653">
        <v>1</v>
      </c>
      <c r="U653" t="str">
        <f t="shared" si="32"/>
        <v>Dezembro</v>
      </c>
    </row>
    <row r="654" spans="1:21">
      <c r="A654">
        <v>653</v>
      </c>
      <c r="B654" s="1">
        <v>44185</v>
      </c>
      <c r="C654" s="1" t="str">
        <f t="shared" si="30"/>
        <v>dezembro</v>
      </c>
      <c r="D654">
        <v>99</v>
      </c>
      <c r="E654" t="s">
        <v>84</v>
      </c>
      <c r="F654" t="s">
        <v>41</v>
      </c>
      <c r="G654" s="8">
        <v>27</v>
      </c>
      <c r="H654" s="2">
        <v>91</v>
      </c>
      <c r="I654" s="2">
        <v>2457</v>
      </c>
      <c r="J654" s="4">
        <v>0.08</v>
      </c>
      <c r="K654" s="2">
        <v>2260.44</v>
      </c>
      <c r="L654" s="2">
        <f t="shared" si="31"/>
        <v>196.55999999999995</v>
      </c>
      <c r="M654" s="1">
        <v>44193</v>
      </c>
      <c r="N654" s="1">
        <v>44193</v>
      </c>
      <c r="O654">
        <v>653</v>
      </c>
      <c r="P654">
        <v>7</v>
      </c>
      <c r="Q654" t="s">
        <v>22</v>
      </c>
      <c r="R654" s="3">
        <v>0.05</v>
      </c>
      <c r="S654" s="2">
        <v>113.02200000000001</v>
      </c>
      <c r="T654">
        <v>2</v>
      </c>
      <c r="U654" t="str">
        <f t="shared" si="32"/>
        <v>Dezembro</v>
      </c>
    </row>
    <row r="655" spans="1:21">
      <c r="A655">
        <v>654</v>
      </c>
      <c r="B655" s="1">
        <v>44186</v>
      </c>
      <c r="C655" s="1" t="str">
        <f t="shared" si="30"/>
        <v>dezembro</v>
      </c>
      <c r="D655">
        <v>71</v>
      </c>
      <c r="E655" t="s">
        <v>20</v>
      </c>
      <c r="F655" t="s">
        <v>59</v>
      </c>
      <c r="G655" s="8">
        <v>30</v>
      </c>
      <c r="H655" s="2">
        <v>108</v>
      </c>
      <c r="I655" s="2">
        <v>3240</v>
      </c>
      <c r="J655" s="4">
        <v>0.13</v>
      </c>
      <c r="K655" s="2">
        <v>2818.8</v>
      </c>
      <c r="L655" s="2">
        <f t="shared" si="31"/>
        <v>421.19999999999982</v>
      </c>
      <c r="M655" s="1">
        <v>44197</v>
      </c>
      <c r="N655" s="1">
        <v>44197</v>
      </c>
      <c r="O655">
        <v>654</v>
      </c>
      <c r="P655">
        <v>2</v>
      </c>
      <c r="Q655" t="s">
        <v>29</v>
      </c>
      <c r="R655" s="3">
        <v>7.0000000000000007E-2</v>
      </c>
      <c r="S655" s="2">
        <v>197.31600000000003</v>
      </c>
      <c r="T655">
        <v>3</v>
      </c>
      <c r="U655" t="str">
        <f t="shared" si="32"/>
        <v>Dezembro</v>
      </c>
    </row>
    <row r="656" spans="1:21">
      <c r="A656">
        <v>655</v>
      </c>
      <c r="B656" s="1">
        <v>44186</v>
      </c>
      <c r="C656" s="1" t="str">
        <f t="shared" si="30"/>
        <v>dezembro</v>
      </c>
      <c r="D656">
        <v>73</v>
      </c>
      <c r="E656" t="s">
        <v>38</v>
      </c>
      <c r="F656" t="s">
        <v>59</v>
      </c>
      <c r="G656" s="8">
        <v>40</v>
      </c>
      <c r="H656" s="2">
        <v>92</v>
      </c>
      <c r="I656" s="2">
        <v>3680</v>
      </c>
      <c r="J656" s="4">
        <v>0.02</v>
      </c>
      <c r="K656" s="2">
        <v>3606.4</v>
      </c>
      <c r="L656" s="2">
        <f t="shared" si="31"/>
        <v>73.599999999999909</v>
      </c>
      <c r="M656" s="1">
        <v>44196</v>
      </c>
      <c r="N656" s="1">
        <v>44196</v>
      </c>
      <c r="O656">
        <v>655</v>
      </c>
      <c r="P656">
        <v>7</v>
      </c>
      <c r="Q656" t="s">
        <v>37</v>
      </c>
      <c r="R656" s="3">
        <v>0.05</v>
      </c>
      <c r="S656" s="2">
        <v>180.32000000000002</v>
      </c>
      <c r="T656">
        <v>4</v>
      </c>
      <c r="U656" t="str">
        <f t="shared" si="32"/>
        <v>Dezembro</v>
      </c>
    </row>
    <row r="657" spans="1:21">
      <c r="A657">
        <v>656</v>
      </c>
      <c r="B657" s="1">
        <v>44186</v>
      </c>
      <c r="C657" s="1" t="str">
        <f t="shared" si="30"/>
        <v>dezembro</v>
      </c>
      <c r="D657">
        <v>6</v>
      </c>
      <c r="E657" t="s">
        <v>88</v>
      </c>
      <c r="F657" t="s">
        <v>24</v>
      </c>
      <c r="G657" s="8">
        <v>37</v>
      </c>
      <c r="H657" s="2">
        <v>92</v>
      </c>
      <c r="I657" s="2">
        <v>3404</v>
      </c>
      <c r="J657" s="4">
        <v>0.04</v>
      </c>
      <c r="K657" s="2">
        <v>3267.84</v>
      </c>
      <c r="L657" s="2">
        <f t="shared" si="31"/>
        <v>136.15999999999985</v>
      </c>
      <c r="M657" s="1">
        <v>44205</v>
      </c>
      <c r="N657" s="1">
        <v>44205</v>
      </c>
      <c r="O657">
        <v>656</v>
      </c>
      <c r="P657">
        <v>6</v>
      </c>
      <c r="Q657" t="s">
        <v>52</v>
      </c>
      <c r="R657" s="3">
        <v>0.08</v>
      </c>
      <c r="S657" s="2">
        <v>261.42720000000003</v>
      </c>
      <c r="T657">
        <v>5</v>
      </c>
      <c r="U657" t="str">
        <f t="shared" si="32"/>
        <v>Dezembro</v>
      </c>
    </row>
    <row r="658" spans="1:21">
      <c r="A658">
        <v>657</v>
      </c>
      <c r="B658" s="1">
        <v>44186</v>
      </c>
      <c r="C658" s="1" t="str">
        <f t="shared" si="30"/>
        <v>dezembro</v>
      </c>
      <c r="D658">
        <v>13</v>
      </c>
      <c r="E658" t="s">
        <v>75</v>
      </c>
      <c r="F658" t="s">
        <v>55</v>
      </c>
      <c r="G658" s="8">
        <v>40</v>
      </c>
      <c r="H658" s="2">
        <v>111</v>
      </c>
      <c r="I658" s="2">
        <v>4440</v>
      </c>
      <c r="J658" s="4">
        <v>0.02</v>
      </c>
      <c r="K658" s="2">
        <v>4351.2</v>
      </c>
      <c r="L658" s="2">
        <f t="shared" si="31"/>
        <v>88.800000000000182</v>
      </c>
      <c r="M658" s="1">
        <v>44189</v>
      </c>
      <c r="N658" s="1">
        <v>44189</v>
      </c>
      <c r="O658">
        <v>657</v>
      </c>
      <c r="P658">
        <v>7</v>
      </c>
      <c r="Q658" t="s">
        <v>25</v>
      </c>
      <c r="R658" s="3">
        <v>0.08</v>
      </c>
      <c r="S658" s="2">
        <v>348.096</v>
      </c>
      <c r="T658">
        <v>6</v>
      </c>
      <c r="U658" t="str">
        <f t="shared" si="32"/>
        <v>Dezembro</v>
      </c>
    </row>
    <row r="659" spans="1:21">
      <c r="A659">
        <v>658</v>
      </c>
      <c r="B659" s="1">
        <v>44187</v>
      </c>
      <c r="C659" s="1" t="str">
        <f t="shared" si="30"/>
        <v>dezembro</v>
      </c>
      <c r="D659">
        <v>72</v>
      </c>
      <c r="E659" t="s">
        <v>38</v>
      </c>
      <c r="F659" t="s">
        <v>21</v>
      </c>
      <c r="G659" s="8">
        <v>31</v>
      </c>
      <c r="H659" s="2">
        <v>104</v>
      </c>
      <c r="I659" s="2">
        <v>3224</v>
      </c>
      <c r="J659" s="4">
        <v>0.11</v>
      </c>
      <c r="K659" s="2">
        <v>2869.36</v>
      </c>
      <c r="L659" s="2">
        <f t="shared" si="31"/>
        <v>354.63999999999987</v>
      </c>
      <c r="M659" s="1">
        <v>44196</v>
      </c>
      <c r="N659" s="1">
        <v>44196</v>
      </c>
      <c r="O659">
        <v>658</v>
      </c>
      <c r="P659">
        <v>5</v>
      </c>
      <c r="Q659" t="s">
        <v>22</v>
      </c>
      <c r="R659" s="3">
        <v>0.06</v>
      </c>
      <c r="S659" s="2">
        <v>172.16159999999999</v>
      </c>
      <c r="T659">
        <v>7</v>
      </c>
      <c r="U659" t="str">
        <f t="shared" si="32"/>
        <v>Dezembro</v>
      </c>
    </row>
    <row r="660" spans="1:21">
      <c r="A660">
        <v>659</v>
      </c>
      <c r="B660" s="1">
        <v>44187</v>
      </c>
      <c r="C660" s="1" t="str">
        <f t="shared" si="30"/>
        <v>dezembro</v>
      </c>
      <c r="D660">
        <v>9</v>
      </c>
      <c r="E660" t="s">
        <v>36</v>
      </c>
      <c r="F660" t="s">
        <v>24</v>
      </c>
      <c r="G660" s="8">
        <v>36</v>
      </c>
      <c r="H660" s="2">
        <v>98</v>
      </c>
      <c r="I660" s="2">
        <v>3528</v>
      </c>
      <c r="J660" s="4">
        <v>0.14000000000000001</v>
      </c>
      <c r="K660" s="2">
        <v>3034.08</v>
      </c>
      <c r="L660" s="2">
        <f t="shared" si="31"/>
        <v>493.92000000000007</v>
      </c>
      <c r="M660" s="1">
        <v>44209</v>
      </c>
      <c r="N660" s="1">
        <v>44209</v>
      </c>
      <c r="O660">
        <v>659</v>
      </c>
      <c r="P660">
        <v>4</v>
      </c>
      <c r="Q660" t="s">
        <v>52</v>
      </c>
      <c r="R660" s="3">
        <v>0.1</v>
      </c>
      <c r="S660" s="2">
        <v>303.40800000000002</v>
      </c>
      <c r="T660">
        <v>1</v>
      </c>
      <c r="U660" t="str">
        <f t="shared" si="32"/>
        <v>Dezembro</v>
      </c>
    </row>
    <row r="661" spans="1:21">
      <c r="A661">
        <v>660</v>
      </c>
      <c r="B661" s="1">
        <v>44190</v>
      </c>
      <c r="C661" s="1" t="str">
        <f t="shared" si="30"/>
        <v>dezembro</v>
      </c>
      <c r="D661">
        <v>57</v>
      </c>
      <c r="E661" t="s">
        <v>89</v>
      </c>
      <c r="F661" t="s">
        <v>28</v>
      </c>
      <c r="G661" s="8">
        <v>25</v>
      </c>
      <c r="H661" s="2">
        <v>106</v>
      </c>
      <c r="I661" s="2">
        <v>2650</v>
      </c>
      <c r="J661" s="4">
        <v>0.06</v>
      </c>
      <c r="K661" s="2">
        <v>2491</v>
      </c>
      <c r="L661" s="2">
        <f t="shared" si="31"/>
        <v>159</v>
      </c>
      <c r="M661" s="1">
        <v>44192</v>
      </c>
      <c r="N661" s="1">
        <v>44192</v>
      </c>
      <c r="O661">
        <v>660</v>
      </c>
      <c r="P661">
        <v>7</v>
      </c>
      <c r="Q661" t="s">
        <v>34</v>
      </c>
      <c r="R661" s="3">
        <v>0.09</v>
      </c>
      <c r="S661" s="2">
        <v>224.19</v>
      </c>
      <c r="T661">
        <v>2</v>
      </c>
      <c r="U661" t="str">
        <f t="shared" si="32"/>
        <v>Dezembro</v>
      </c>
    </row>
    <row r="662" spans="1:21">
      <c r="A662">
        <v>661</v>
      </c>
      <c r="B662" s="1">
        <v>44190</v>
      </c>
      <c r="C662" s="1" t="str">
        <f t="shared" si="30"/>
        <v>dezembro</v>
      </c>
      <c r="D662">
        <v>6</v>
      </c>
      <c r="E662" t="s">
        <v>88</v>
      </c>
      <c r="F662" t="s">
        <v>46</v>
      </c>
      <c r="G662" s="8">
        <v>15</v>
      </c>
      <c r="H662" s="2">
        <v>118</v>
      </c>
      <c r="I662" s="2">
        <v>1770</v>
      </c>
      <c r="J662" s="4">
        <v>0.15</v>
      </c>
      <c r="K662" s="2">
        <v>1504.5</v>
      </c>
      <c r="L662" s="2">
        <f t="shared" si="31"/>
        <v>265.5</v>
      </c>
      <c r="M662" s="1">
        <v>44214</v>
      </c>
      <c r="N662" s="1">
        <v>44214</v>
      </c>
      <c r="O662">
        <v>661</v>
      </c>
      <c r="P662">
        <v>5</v>
      </c>
      <c r="Q662" t="s">
        <v>69</v>
      </c>
      <c r="R662" s="3">
        <v>0.05</v>
      </c>
      <c r="S662" s="2">
        <v>75.225000000000009</v>
      </c>
      <c r="T662">
        <v>3</v>
      </c>
      <c r="U662" t="str">
        <f t="shared" si="32"/>
        <v>Dezembro</v>
      </c>
    </row>
    <row r="663" spans="1:21">
      <c r="A663">
        <v>662</v>
      </c>
      <c r="B663" s="1">
        <v>44191</v>
      </c>
      <c r="C663" s="1" t="str">
        <f t="shared" si="30"/>
        <v>dezembro</v>
      </c>
      <c r="D663">
        <v>48</v>
      </c>
      <c r="E663" t="s">
        <v>61</v>
      </c>
      <c r="F663" t="s">
        <v>24</v>
      </c>
      <c r="G663" s="8">
        <v>32</v>
      </c>
      <c r="H663" s="2">
        <v>93</v>
      </c>
      <c r="I663" s="2">
        <v>2976</v>
      </c>
      <c r="J663" s="4">
        <v>0.11</v>
      </c>
      <c r="K663" s="2">
        <v>2648.64</v>
      </c>
      <c r="L663" s="2">
        <f t="shared" si="31"/>
        <v>327.36000000000013</v>
      </c>
      <c r="M663" s="1">
        <v>44208</v>
      </c>
      <c r="N663" s="1">
        <v>44208</v>
      </c>
      <c r="O663">
        <v>662</v>
      </c>
      <c r="P663">
        <v>4</v>
      </c>
      <c r="Q663" t="s">
        <v>22</v>
      </c>
      <c r="R663" s="3">
        <v>0.1</v>
      </c>
      <c r="S663" s="2">
        <v>264.86399999999998</v>
      </c>
      <c r="T663">
        <v>4</v>
      </c>
      <c r="U663" t="str">
        <f t="shared" si="32"/>
        <v>Dezembro</v>
      </c>
    </row>
    <row r="664" spans="1:21">
      <c r="A664">
        <v>663</v>
      </c>
      <c r="B664" s="1">
        <v>44191</v>
      </c>
      <c r="C664" s="1" t="str">
        <f t="shared" si="30"/>
        <v>dezembro</v>
      </c>
      <c r="D664">
        <v>38</v>
      </c>
      <c r="E664" t="s">
        <v>73</v>
      </c>
      <c r="F664" t="s">
        <v>54</v>
      </c>
      <c r="G664" s="8">
        <v>28</v>
      </c>
      <c r="H664" s="2">
        <v>90</v>
      </c>
      <c r="I664" s="2">
        <v>2520</v>
      </c>
      <c r="J664" s="4">
        <v>0.06</v>
      </c>
      <c r="K664" s="2">
        <v>2368.8000000000002</v>
      </c>
      <c r="L664" s="2">
        <f t="shared" si="31"/>
        <v>151.19999999999982</v>
      </c>
      <c r="M664" s="1">
        <v>44195</v>
      </c>
      <c r="N664" s="1">
        <v>44195</v>
      </c>
      <c r="O664">
        <v>663</v>
      </c>
      <c r="P664">
        <v>7</v>
      </c>
      <c r="Q664" t="s">
        <v>47</v>
      </c>
      <c r="R664" s="3">
        <v>0.06</v>
      </c>
      <c r="S664" s="2">
        <v>142.12800000000001</v>
      </c>
      <c r="T664">
        <v>5</v>
      </c>
      <c r="U664" t="str">
        <f t="shared" si="32"/>
        <v>Dezembro</v>
      </c>
    </row>
    <row r="665" spans="1:21">
      <c r="A665">
        <v>664</v>
      </c>
      <c r="B665" s="1">
        <v>44191</v>
      </c>
      <c r="C665" s="1" t="str">
        <f t="shared" si="30"/>
        <v>dezembro</v>
      </c>
      <c r="D665">
        <v>93</v>
      </c>
      <c r="E665" t="s">
        <v>33</v>
      </c>
      <c r="F665" t="s">
        <v>21</v>
      </c>
      <c r="G665" s="8">
        <v>29</v>
      </c>
      <c r="H665" s="2">
        <v>92</v>
      </c>
      <c r="I665" s="2">
        <v>2668</v>
      </c>
      <c r="J665" s="4">
        <v>0.13</v>
      </c>
      <c r="K665" s="2">
        <v>2321.16</v>
      </c>
      <c r="L665" s="2">
        <f t="shared" si="31"/>
        <v>346.84000000000015</v>
      </c>
      <c r="M665" s="1">
        <v>44218</v>
      </c>
      <c r="O665">
        <v>664</v>
      </c>
      <c r="P665">
        <v>3</v>
      </c>
      <c r="Q665" t="s">
        <v>69</v>
      </c>
      <c r="R665" s="3">
        <v>0.08</v>
      </c>
      <c r="S665" s="2">
        <v>185.69280000000001</v>
      </c>
      <c r="T665">
        <v>6</v>
      </c>
      <c r="U665" t="str">
        <f t="shared" si="32"/>
        <v>Dezembro</v>
      </c>
    </row>
    <row r="666" spans="1:21">
      <c r="A666">
        <v>665</v>
      </c>
      <c r="B666" s="1">
        <v>44192</v>
      </c>
      <c r="C666" s="1" t="str">
        <f t="shared" si="30"/>
        <v>dezembro</v>
      </c>
      <c r="D666">
        <v>58</v>
      </c>
      <c r="E666" t="s">
        <v>72</v>
      </c>
      <c r="F666" t="s">
        <v>46</v>
      </c>
      <c r="G666" s="8">
        <v>11</v>
      </c>
      <c r="H666" s="2">
        <v>117</v>
      </c>
      <c r="I666" s="2">
        <v>1287</v>
      </c>
      <c r="J666" s="4">
        <v>0.14000000000000001</v>
      </c>
      <c r="K666" s="2">
        <v>1106.82</v>
      </c>
      <c r="L666" s="2">
        <f t="shared" si="31"/>
        <v>180.18000000000006</v>
      </c>
      <c r="M666" s="1">
        <v>44192</v>
      </c>
      <c r="N666" s="1">
        <v>44192</v>
      </c>
      <c r="O666">
        <v>665</v>
      </c>
      <c r="P666">
        <v>1</v>
      </c>
      <c r="Q666" t="s">
        <v>25</v>
      </c>
      <c r="R666" s="3">
        <v>0.09</v>
      </c>
      <c r="S666" s="2">
        <v>99.613799999999998</v>
      </c>
      <c r="T666">
        <v>7</v>
      </c>
      <c r="U666" t="str">
        <f t="shared" si="32"/>
        <v>Dezembro</v>
      </c>
    </row>
    <row r="667" spans="1:21">
      <c r="A667">
        <v>666</v>
      </c>
      <c r="B667" s="1">
        <v>44193</v>
      </c>
      <c r="C667" s="1" t="str">
        <f t="shared" si="30"/>
        <v>dezembro</v>
      </c>
      <c r="D667">
        <v>76</v>
      </c>
      <c r="E667" t="s">
        <v>104</v>
      </c>
      <c r="F667" t="s">
        <v>54</v>
      </c>
      <c r="G667" s="8">
        <v>13</v>
      </c>
      <c r="H667" s="2">
        <v>93</v>
      </c>
      <c r="I667" s="2">
        <v>1209</v>
      </c>
      <c r="J667" s="4">
        <v>0</v>
      </c>
      <c r="K667" s="2">
        <v>1209</v>
      </c>
      <c r="L667" s="2">
        <f t="shared" si="31"/>
        <v>0</v>
      </c>
      <c r="M667" s="1">
        <v>44210</v>
      </c>
      <c r="N667" s="1">
        <v>44210</v>
      </c>
      <c r="O667">
        <v>666</v>
      </c>
      <c r="P667">
        <v>7</v>
      </c>
      <c r="Q667" t="s">
        <v>47</v>
      </c>
      <c r="R667" s="3">
        <v>0.1</v>
      </c>
      <c r="S667" s="2">
        <v>120.9</v>
      </c>
      <c r="T667">
        <v>1</v>
      </c>
      <c r="U667" t="str">
        <f t="shared" si="32"/>
        <v>Dezembro</v>
      </c>
    </row>
    <row r="668" spans="1:21">
      <c r="A668">
        <v>667</v>
      </c>
      <c r="B668" s="1">
        <v>44193</v>
      </c>
      <c r="C668" s="1" t="str">
        <f t="shared" si="30"/>
        <v>dezembro</v>
      </c>
      <c r="D668">
        <v>66</v>
      </c>
      <c r="E668" t="s">
        <v>30</v>
      </c>
      <c r="F668" t="s">
        <v>41</v>
      </c>
      <c r="G668" s="8">
        <v>17</v>
      </c>
      <c r="H668" s="2">
        <v>118</v>
      </c>
      <c r="I668" s="2">
        <v>2006</v>
      </c>
      <c r="J668" s="4">
        <v>0.06</v>
      </c>
      <c r="K668" s="2">
        <v>1885.64</v>
      </c>
      <c r="L668" s="2">
        <f t="shared" si="31"/>
        <v>120.3599999999999</v>
      </c>
      <c r="M668" s="1">
        <v>44198</v>
      </c>
      <c r="N668" s="1">
        <v>44198</v>
      </c>
      <c r="O668">
        <v>667</v>
      </c>
      <c r="P668">
        <v>7</v>
      </c>
      <c r="Q668" t="s">
        <v>25</v>
      </c>
      <c r="R668" s="3">
        <v>0.06</v>
      </c>
      <c r="S668" s="2">
        <v>113.1384</v>
      </c>
      <c r="T668">
        <v>2</v>
      </c>
      <c r="U668" t="str">
        <f t="shared" si="32"/>
        <v>Dezembro</v>
      </c>
    </row>
    <row r="669" spans="1:21">
      <c r="A669">
        <v>668</v>
      </c>
      <c r="B669" s="1">
        <v>44194</v>
      </c>
      <c r="C669" s="1" t="str">
        <f t="shared" si="30"/>
        <v>dezembro</v>
      </c>
      <c r="D669">
        <v>18</v>
      </c>
      <c r="E669" t="s">
        <v>83</v>
      </c>
      <c r="F669" t="s">
        <v>28</v>
      </c>
      <c r="G669" s="8">
        <v>10</v>
      </c>
      <c r="H669" s="2">
        <v>112</v>
      </c>
      <c r="I669" s="2">
        <v>1120</v>
      </c>
      <c r="J669" s="4">
        <v>0.06</v>
      </c>
      <c r="K669" s="2">
        <v>1052.8</v>
      </c>
      <c r="L669" s="2">
        <f t="shared" si="31"/>
        <v>67.200000000000045</v>
      </c>
      <c r="M669" s="1">
        <v>44194</v>
      </c>
      <c r="N669" s="1">
        <v>44194</v>
      </c>
      <c r="O669">
        <v>668</v>
      </c>
      <c r="P669">
        <v>7</v>
      </c>
      <c r="Q669" t="s">
        <v>22</v>
      </c>
      <c r="R669" s="3">
        <v>0.08</v>
      </c>
      <c r="S669" s="2">
        <v>84.224000000000004</v>
      </c>
      <c r="T669">
        <v>3</v>
      </c>
      <c r="U669" t="str">
        <f t="shared" si="32"/>
        <v>Dezembro</v>
      </c>
    </row>
    <row r="670" spans="1:21">
      <c r="A670">
        <v>669</v>
      </c>
      <c r="B670" s="1">
        <v>44195</v>
      </c>
      <c r="C670" s="1" t="str">
        <f t="shared" si="30"/>
        <v>dezembro</v>
      </c>
      <c r="D670">
        <v>11</v>
      </c>
      <c r="E670" t="s">
        <v>60</v>
      </c>
      <c r="F670" t="s">
        <v>59</v>
      </c>
      <c r="G670" s="8">
        <v>31</v>
      </c>
      <c r="H670" s="2">
        <v>115</v>
      </c>
      <c r="I670" s="2">
        <v>3565</v>
      </c>
      <c r="J670" s="4">
        <v>0.04</v>
      </c>
      <c r="K670" s="2">
        <v>3422.4</v>
      </c>
      <c r="L670" s="2">
        <f t="shared" si="31"/>
        <v>142.59999999999991</v>
      </c>
      <c r="M670" s="1">
        <v>44200</v>
      </c>
      <c r="N670" s="1">
        <v>44200</v>
      </c>
      <c r="O670">
        <v>669</v>
      </c>
      <c r="P670">
        <v>3</v>
      </c>
      <c r="Q670" t="s">
        <v>34</v>
      </c>
      <c r="R670" s="3">
        <v>0.09</v>
      </c>
      <c r="S670" s="2">
        <v>308.01600000000002</v>
      </c>
      <c r="T670">
        <v>4</v>
      </c>
      <c r="U670" t="str">
        <f t="shared" si="32"/>
        <v>Dezembro</v>
      </c>
    </row>
    <row r="671" spans="1:21">
      <c r="A671">
        <v>670</v>
      </c>
      <c r="B671" s="1">
        <v>44195</v>
      </c>
      <c r="C671" s="1" t="str">
        <f t="shared" si="30"/>
        <v>dezembro</v>
      </c>
      <c r="D671">
        <v>22</v>
      </c>
      <c r="E671" t="s">
        <v>51</v>
      </c>
      <c r="F671" t="s">
        <v>31</v>
      </c>
      <c r="G671" s="8">
        <v>37</v>
      </c>
      <c r="H671" s="2">
        <v>110</v>
      </c>
      <c r="I671" s="2">
        <v>4070</v>
      </c>
      <c r="J671" s="4">
        <v>0.05</v>
      </c>
      <c r="K671" s="2">
        <v>3866.5</v>
      </c>
      <c r="L671" s="2">
        <f t="shared" si="31"/>
        <v>203.5</v>
      </c>
      <c r="M671" s="1">
        <v>44210</v>
      </c>
      <c r="O671">
        <v>670</v>
      </c>
      <c r="P671">
        <v>6</v>
      </c>
      <c r="Q671" t="s">
        <v>37</v>
      </c>
      <c r="R671" s="3">
        <v>0.06</v>
      </c>
      <c r="S671" s="2">
        <v>231.98999999999998</v>
      </c>
      <c r="T671">
        <v>5</v>
      </c>
      <c r="U671" t="str">
        <f t="shared" si="32"/>
        <v>Dezembro</v>
      </c>
    </row>
    <row r="672" spans="1:21">
      <c r="A672">
        <v>671</v>
      </c>
      <c r="B672" s="1">
        <v>44195</v>
      </c>
      <c r="C672" s="1" t="str">
        <f t="shared" si="30"/>
        <v>dezembro</v>
      </c>
      <c r="D672">
        <v>79</v>
      </c>
      <c r="E672" t="s">
        <v>33</v>
      </c>
      <c r="F672" t="s">
        <v>55</v>
      </c>
      <c r="G672" s="8">
        <v>21</v>
      </c>
      <c r="H672" s="2">
        <v>103</v>
      </c>
      <c r="I672" s="2">
        <v>2163</v>
      </c>
      <c r="J672" s="4">
        <v>0.09</v>
      </c>
      <c r="K672" s="2">
        <v>1968.33</v>
      </c>
      <c r="L672" s="2">
        <f t="shared" si="31"/>
        <v>194.67000000000007</v>
      </c>
      <c r="M672" s="1">
        <v>44221</v>
      </c>
      <c r="N672" s="1">
        <v>44221</v>
      </c>
      <c r="O672">
        <v>671</v>
      </c>
      <c r="P672">
        <v>5</v>
      </c>
      <c r="Q672" t="s">
        <v>52</v>
      </c>
      <c r="R672" s="3">
        <v>7.0000000000000007E-2</v>
      </c>
      <c r="S672" s="2">
        <v>137.78310000000002</v>
      </c>
      <c r="T672">
        <v>6</v>
      </c>
      <c r="U672" t="str">
        <f t="shared" si="32"/>
        <v>Dezembro</v>
      </c>
    </row>
    <row r="673" spans="1:21">
      <c r="A673">
        <v>672</v>
      </c>
      <c r="B673" s="1">
        <v>44196</v>
      </c>
      <c r="C673" s="1" t="str">
        <f t="shared" si="30"/>
        <v>dezembro</v>
      </c>
      <c r="D673">
        <v>72</v>
      </c>
      <c r="E673" t="s">
        <v>38</v>
      </c>
      <c r="F673" t="s">
        <v>59</v>
      </c>
      <c r="G673" s="8">
        <v>44</v>
      </c>
      <c r="H673" s="2">
        <v>116</v>
      </c>
      <c r="I673" s="2">
        <v>5104</v>
      </c>
      <c r="J673" s="4">
        <v>0.11</v>
      </c>
      <c r="K673" s="2">
        <v>4542.5599999999995</v>
      </c>
      <c r="L673" s="2">
        <f t="shared" si="31"/>
        <v>561.44000000000051</v>
      </c>
      <c r="M673" s="1">
        <v>44211</v>
      </c>
      <c r="N673" s="1">
        <v>44211</v>
      </c>
      <c r="O673">
        <v>672</v>
      </c>
      <c r="P673">
        <v>6</v>
      </c>
      <c r="Q673" t="s">
        <v>43</v>
      </c>
      <c r="R673" s="3">
        <v>0.05</v>
      </c>
      <c r="S673" s="2">
        <v>227.12799999999999</v>
      </c>
      <c r="T673">
        <v>7</v>
      </c>
      <c r="U673" t="str">
        <f t="shared" si="32"/>
        <v>Dezembro</v>
      </c>
    </row>
    <row r="674" spans="1:21">
      <c r="A674">
        <v>673</v>
      </c>
      <c r="B674" s="1">
        <v>44196</v>
      </c>
      <c r="C674" s="1" t="str">
        <f t="shared" si="30"/>
        <v>dezembro</v>
      </c>
      <c r="D674">
        <v>86</v>
      </c>
      <c r="E674" t="s">
        <v>90</v>
      </c>
      <c r="F674" t="s">
        <v>50</v>
      </c>
      <c r="G674" s="8">
        <v>28</v>
      </c>
      <c r="H674" s="2">
        <v>110</v>
      </c>
      <c r="I674" s="2">
        <v>3080</v>
      </c>
      <c r="J674" s="4">
        <v>0.12</v>
      </c>
      <c r="K674" s="2">
        <v>2710.4</v>
      </c>
      <c r="L674" s="2">
        <f t="shared" si="31"/>
        <v>369.59999999999991</v>
      </c>
      <c r="M674" s="1">
        <v>44199</v>
      </c>
      <c r="N674" s="1">
        <v>44199</v>
      </c>
      <c r="O674">
        <v>673</v>
      </c>
      <c r="P674">
        <v>4</v>
      </c>
      <c r="Q674" t="s">
        <v>22</v>
      </c>
      <c r="R674" s="3">
        <v>0.05</v>
      </c>
      <c r="S674" s="2">
        <v>135.52000000000001</v>
      </c>
      <c r="T674">
        <v>1</v>
      </c>
      <c r="U674" t="str">
        <f t="shared" si="32"/>
        <v>Dezembro</v>
      </c>
    </row>
    <row r="675" spans="1:21">
      <c r="A675">
        <v>674</v>
      </c>
      <c r="B675" s="1">
        <v>44199</v>
      </c>
      <c r="C675" s="1" t="str">
        <f t="shared" si="30"/>
        <v>janeiro</v>
      </c>
      <c r="D675">
        <v>13</v>
      </c>
      <c r="E675" t="s">
        <v>75</v>
      </c>
      <c r="F675" t="s">
        <v>24</v>
      </c>
      <c r="G675" s="8">
        <v>19</v>
      </c>
      <c r="H675" s="2">
        <v>115</v>
      </c>
      <c r="I675" s="2">
        <v>2185</v>
      </c>
      <c r="J675" s="4">
        <v>0.06</v>
      </c>
      <c r="K675" s="2">
        <v>2053.9</v>
      </c>
      <c r="L675" s="2">
        <f t="shared" si="31"/>
        <v>131.09999999999991</v>
      </c>
      <c r="M675" s="1">
        <v>44210</v>
      </c>
      <c r="N675" s="1">
        <v>44210</v>
      </c>
      <c r="O675">
        <v>674</v>
      </c>
      <c r="P675">
        <v>3</v>
      </c>
      <c r="Q675" t="s">
        <v>52</v>
      </c>
      <c r="R675" s="3">
        <v>0.05</v>
      </c>
      <c r="S675" s="2">
        <v>102.69500000000001</v>
      </c>
      <c r="T675">
        <v>2</v>
      </c>
      <c r="U675" t="str">
        <f t="shared" si="32"/>
        <v>Janeiro</v>
      </c>
    </row>
    <row r="676" spans="1:21">
      <c r="A676">
        <v>675</v>
      </c>
      <c r="B676" s="1">
        <v>44199</v>
      </c>
      <c r="C676" s="1" t="str">
        <f t="shared" si="30"/>
        <v>janeiro</v>
      </c>
      <c r="D676">
        <v>64</v>
      </c>
      <c r="E676" t="s">
        <v>78</v>
      </c>
      <c r="F676" t="s">
        <v>24</v>
      </c>
      <c r="G676" s="8">
        <v>27</v>
      </c>
      <c r="H676" s="2">
        <v>99</v>
      </c>
      <c r="I676" s="2">
        <v>2673</v>
      </c>
      <c r="J676" s="4">
        <v>0.08</v>
      </c>
      <c r="K676" s="2">
        <v>2459.16</v>
      </c>
      <c r="L676" s="2">
        <f t="shared" si="31"/>
        <v>213.84000000000015</v>
      </c>
      <c r="M676" s="1">
        <v>44208</v>
      </c>
      <c r="N676" s="1">
        <v>44208</v>
      </c>
      <c r="O676">
        <v>675</v>
      </c>
      <c r="P676">
        <v>6</v>
      </c>
      <c r="Q676" t="s">
        <v>69</v>
      </c>
      <c r="R676" s="3">
        <v>0.09</v>
      </c>
      <c r="S676" s="2">
        <v>221.32439999999997</v>
      </c>
      <c r="T676">
        <v>3</v>
      </c>
      <c r="U676" t="str">
        <f t="shared" si="32"/>
        <v>Janeiro</v>
      </c>
    </row>
    <row r="677" spans="1:21">
      <c r="A677">
        <v>676</v>
      </c>
      <c r="B677" s="1">
        <v>44199</v>
      </c>
      <c r="C677" s="1" t="str">
        <f t="shared" si="30"/>
        <v>janeiro</v>
      </c>
      <c r="D677">
        <v>20</v>
      </c>
      <c r="E677" t="s">
        <v>39</v>
      </c>
      <c r="F677" t="s">
        <v>54</v>
      </c>
      <c r="G677" s="8">
        <v>47</v>
      </c>
      <c r="H677" s="2">
        <v>94</v>
      </c>
      <c r="I677" s="2">
        <v>4418</v>
      </c>
      <c r="J677" s="4">
        <v>0.08</v>
      </c>
      <c r="K677" s="2">
        <v>4064.56</v>
      </c>
      <c r="L677" s="2">
        <f t="shared" si="31"/>
        <v>353.44000000000005</v>
      </c>
      <c r="M677" s="1">
        <v>44215</v>
      </c>
      <c r="N677" s="1">
        <v>44215</v>
      </c>
      <c r="O677">
        <v>676</v>
      </c>
      <c r="P677">
        <v>7</v>
      </c>
      <c r="Q677" t="s">
        <v>69</v>
      </c>
      <c r="R677" s="3">
        <v>0.1</v>
      </c>
      <c r="S677" s="2">
        <v>406.45600000000002</v>
      </c>
      <c r="T677">
        <v>4</v>
      </c>
      <c r="U677" t="str">
        <f t="shared" si="32"/>
        <v>Janeiro</v>
      </c>
    </row>
    <row r="678" spans="1:21">
      <c r="A678">
        <v>677</v>
      </c>
      <c r="B678" s="1">
        <v>44200</v>
      </c>
      <c r="C678" s="1" t="str">
        <f t="shared" si="30"/>
        <v>janeiro</v>
      </c>
      <c r="D678">
        <v>47</v>
      </c>
      <c r="E678" t="s">
        <v>40</v>
      </c>
      <c r="F678" t="s">
        <v>31</v>
      </c>
      <c r="G678" s="8">
        <v>34</v>
      </c>
      <c r="H678" s="2">
        <v>108</v>
      </c>
      <c r="I678" s="2">
        <v>3672</v>
      </c>
      <c r="J678" s="4">
        <v>0.01</v>
      </c>
      <c r="K678" s="2">
        <v>3635.28</v>
      </c>
      <c r="L678" s="2">
        <f t="shared" si="31"/>
        <v>36.7199999999998</v>
      </c>
      <c r="M678" s="1">
        <v>44204</v>
      </c>
      <c r="N678" s="1">
        <v>44204</v>
      </c>
      <c r="O678">
        <v>677</v>
      </c>
      <c r="P678">
        <v>6</v>
      </c>
      <c r="Q678" t="s">
        <v>52</v>
      </c>
      <c r="R678" s="3">
        <v>0.05</v>
      </c>
      <c r="S678" s="2">
        <v>181.76400000000001</v>
      </c>
      <c r="T678">
        <v>5</v>
      </c>
      <c r="U678" t="str">
        <f t="shared" si="32"/>
        <v>Janeiro</v>
      </c>
    </row>
    <row r="679" spans="1:21">
      <c r="A679">
        <v>678</v>
      </c>
      <c r="B679" s="1">
        <v>44201</v>
      </c>
      <c r="C679" s="1" t="str">
        <f t="shared" si="30"/>
        <v>janeiro</v>
      </c>
      <c r="D679">
        <v>92</v>
      </c>
      <c r="E679" t="s">
        <v>26</v>
      </c>
      <c r="F679" t="s">
        <v>46</v>
      </c>
      <c r="G679" s="8">
        <v>30</v>
      </c>
      <c r="H679" s="2">
        <v>95</v>
      </c>
      <c r="I679" s="2">
        <v>2850</v>
      </c>
      <c r="J679" s="4">
        <v>0.03</v>
      </c>
      <c r="K679" s="2">
        <v>2764.5</v>
      </c>
      <c r="L679" s="2">
        <f t="shared" si="31"/>
        <v>85.5</v>
      </c>
      <c r="M679" s="1">
        <v>44217</v>
      </c>
      <c r="N679" s="1">
        <v>44217</v>
      </c>
      <c r="O679">
        <v>678</v>
      </c>
      <c r="P679">
        <v>7</v>
      </c>
      <c r="Q679" t="s">
        <v>47</v>
      </c>
      <c r="R679" s="3">
        <v>0.08</v>
      </c>
      <c r="S679" s="2">
        <v>221.16</v>
      </c>
      <c r="T679">
        <v>6</v>
      </c>
      <c r="U679" t="str">
        <f t="shared" si="32"/>
        <v>Janeiro</v>
      </c>
    </row>
    <row r="680" spans="1:21">
      <c r="A680">
        <v>679</v>
      </c>
      <c r="B680" s="1">
        <v>44202</v>
      </c>
      <c r="C680" s="1" t="str">
        <f t="shared" si="30"/>
        <v>janeiro</v>
      </c>
      <c r="D680">
        <v>70</v>
      </c>
      <c r="E680" t="s">
        <v>67</v>
      </c>
      <c r="F680" t="s">
        <v>46</v>
      </c>
      <c r="G680" s="8">
        <v>30</v>
      </c>
      <c r="H680" s="2">
        <v>91</v>
      </c>
      <c r="I680" s="2">
        <v>2730</v>
      </c>
      <c r="J680" s="4">
        <v>0.05</v>
      </c>
      <c r="K680" s="2">
        <v>2593.5</v>
      </c>
      <c r="L680" s="2">
        <f t="shared" si="31"/>
        <v>136.5</v>
      </c>
      <c r="M680" s="1">
        <v>44228</v>
      </c>
      <c r="N680" s="1">
        <v>44228</v>
      </c>
      <c r="O680">
        <v>679</v>
      </c>
      <c r="P680">
        <v>4</v>
      </c>
      <c r="Q680" t="s">
        <v>32</v>
      </c>
      <c r="R680" s="3">
        <v>0.08</v>
      </c>
      <c r="S680" s="2">
        <v>207.48000000000002</v>
      </c>
      <c r="T680">
        <v>7</v>
      </c>
      <c r="U680" t="str">
        <f t="shared" si="32"/>
        <v>Janeiro</v>
      </c>
    </row>
    <row r="681" spans="1:21">
      <c r="A681">
        <v>680</v>
      </c>
      <c r="B681" s="1">
        <v>44202</v>
      </c>
      <c r="C681" s="1" t="str">
        <f t="shared" si="30"/>
        <v>janeiro</v>
      </c>
      <c r="D681">
        <v>33</v>
      </c>
      <c r="E681" t="s">
        <v>76</v>
      </c>
      <c r="F681" t="s">
        <v>46</v>
      </c>
      <c r="G681" s="8">
        <v>29</v>
      </c>
      <c r="H681" s="2">
        <v>92</v>
      </c>
      <c r="I681" s="2">
        <v>2668</v>
      </c>
      <c r="J681" s="4">
        <v>0.14000000000000001</v>
      </c>
      <c r="K681" s="2">
        <v>2294.48</v>
      </c>
      <c r="L681" s="2">
        <f t="shared" si="31"/>
        <v>373.52</v>
      </c>
      <c r="M681" s="1">
        <v>44204</v>
      </c>
      <c r="N681" s="1">
        <v>44204</v>
      </c>
      <c r="O681">
        <v>680</v>
      </c>
      <c r="P681">
        <v>1</v>
      </c>
      <c r="Q681" t="s">
        <v>25</v>
      </c>
      <c r="R681" s="3">
        <v>0.08</v>
      </c>
      <c r="S681" s="2">
        <v>183.55840000000001</v>
      </c>
      <c r="T681">
        <v>1</v>
      </c>
      <c r="U681" t="str">
        <f t="shared" si="32"/>
        <v>Janeiro</v>
      </c>
    </row>
    <row r="682" spans="1:21">
      <c r="A682">
        <v>681</v>
      </c>
      <c r="B682" s="1">
        <v>44202</v>
      </c>
      <c r="C682" s="1" t="str">
        <f t="shared" si="30"/>
        <v>janeiro</v>
      </c>
      <c r="D682">
        <v>50</v>
      </c>
      <c r="E682" t="s">
        <v>81</v>
      </c>
      <c r="F682" t="s">
        <v>50</v>
      </c>
      <c r="G682" s="8">
        <v>19</v>
      </c>
      <c r="H682" s="2">
        <v>111</v>
      </c>
      <c r="I682" s="2">
        <v>2109</v>
      </c>
      <c r="J682" s="4">
        <v>0.08</v>
      </c>
      <c r="K682" s="2">
        <v>1940.28</v>
      </c>
      <c r="L682" s="2">
        <f t="shared" si="31"/>
        <v>168.72000000000003</v>
      </c>
      <c r="M682" s="1">
        <v>44205</v>
      </c>
      <c r="N682" s="1">
        <v>44205</v>
      </c>
      <c r="O682">
        <v>681</v>
      </c>
      <c r="P682">
        <v>7</v>
      </c>
      <c r="Q682" t="s">
        <v>43</v>
      </c>
      <c r="R682" s="3">
        <v>0.08</v>
      </c>
      <c r="S682" s="2">
        <v>155.22239999999999</v>
      </c>
      <c r="T682">
        <v>2</v>
      </c>
      <c r="U682" t="str">
        <f t="shared" si="32"/>
        <v>Janeiro</v>
      </c>
    </row>
    <row r="683" spans="1:21">
      <c r="A683">
        <v>682</v>
      </c>
      <c r="B683" s="1">
        <v>44202</v>
      </c>
      <c r="C683" s="1" t="str">
        <f t="shared" si="30"/>
        <v>janeiro</v>
      </c>
      <c r="D683">
        <v>57</v>
      </c>
      <c r="E683" t="s">
        <v>89</v>
      </c>
      <c r="F683" t="s">
        <v>41</v>
      </c>
      <c r="G683" s="8">
        <v>27</v>
      </c>
      <c r="H683" s="2">
        <v>111</v>
      </c>
      <c r="I683" s="2">
        <v>2997</v>
      </c>
      <c r="J683" s="4">
        <v>0.04</v>
      </c>
      <c r="K683" s="2">
        <v>2877.12</v>
      </c>
      <c r="L683" s="2">
        <f t="shared" si="31"/>
        <v>119.88000000000011</v>
      </c>
      <c r="M683" s="1">
        <v>44209</v>
      </c>
      <c r="N683" s="1">
        <v>44209</v>
      </c>
      <c r="O683">
        <v>682</v>
      </c>
      <c r="P683">
        <v>3</v>
      </c>
      <c r="Q683" t="s">
        <v>37</v>
      </c>
      <c r="R683" s="3">
        <v>0.06</v>
      </c>
      <c r="S683" s="2">
        <v>172.62719999999999</v>
      </c>
      <c r="T683">
        <v>3</v>
      </c>
      <c r="U683" t="str">
        <f t="shared" si="32"/>
        <v>Janeiro</v>
      </c>
    </row>
    <row r="684" spans="1:21">
      <c r="A684">
        <v>683</v>
      </c>
      <c r="B684" s="1">
        <v>44202</v>
      </c>
      <c r="C684" s="1" t="str">
        <f t="shared" si="30"/>
        <v>janeiro</v>
      </c>
      <c r="D684">
        <v>7</v>
      </c>
      <c r="E684" t="s">
        <v>102</v>
      </c>
      <c r="F684" t="s">
        <v>31</v>
      </c>
      <c r="G684" s="8">
        <v>43</v>
      </c>
      <c r="H684" s="2">
        <v>118</v>
      </c>
      <c r="I684" s="2">
        <v>5074</v>
      </c>
      <c r="J684" s="4">
        <v>0.15</v>
      </c>
      <c r="K684" s="2">
        <v>4312.8999999999996</v>
      </c>
      <c r="L684" s="2">
        <f t="shared" si="31"/>
        <v>761.10000000000036</v>
      </c>
      <c r="M684" s="1">
        <v>44205</v>
      </c>
      <c r="N684" s="1">
        <v>44205</v>
      </c>
      <c r="O684">
        <v>683</v>
      </c>
      <c r="P684">
        <v>7</v>
      </c>
      <c r="Q684" t="s">
        <v>22</v>
      </c>
      <c r="R684" s="3">
        <v>0.09</v>
      </c>
      <c r="S684" s="2">
        <v>388.16099999999994</v>
      </c>
      <c r="T684">
        <v>4</v>
      </c>
      <c r="U684" t="str">
        <f t="shared" si="32"/>
        <v>Janeiro</v>
      </c>
    </row>
    <row r="685" spans="1:21">
      <c r="A685">
        <v>684</v>
      </c>
      <c r="B685" s="1">
        <v>44203</v>
      </c>
      <c r="C685" s="1" t="str">
        <f t="shared" si="30"/>
        <v>janeiro</v>
      </c>
      <c r="D685">
        <v>62</v>
      </c>
      <c r="E685" t="s">
        <v>38</v>
      </c>
      <c r="F685" t="s">
        <v>31</v>
      </c>
      <c r="G685" s="8">
        <v>13</v>
      </c>
      <c r="H685" s="2">
        <v>101</v>
      </c>
      <c r="I685" s="2">
        <v>1313</v>
      </c>
      <c r="J685" s="4">
        <v>0.06</v>
      </c>
      <c r="K685" s="2">
        <v>1234.22</v>
      </c>
      <c r="L685" s="2">
        <f t="shared" si="31"/>
        <v>78.779999999999973</v>
      </c>
      <c r="M685" s="1">
        <v>44229</v>
      </c>
      <c r="N685" s="1">
        <v>44229</v>
      </c>
      <c r="O685">
        <v>684</v>
      </c>
      <c r="P685">
        <v>3</v>
      </c>
      <c r="Q685" t="s">
        <v>29</v>
      </c>
      <c r="R685" s="3">
        <v>0.1</v>
      </c>
      <c r="S685" s="2">
        <v>123.42200000000001</v>
      </c>
      <c r="T685">
        <v>5</v>
      </c>
      <c r="U685" t="str">
        <f t="shared" si="32"/>
        <v>Janeiro</v>
      </c>
    </row>
    <row r="686" spans="1:21">
      <c r="A686">
        <v>685</v>
      </c>
      <c r="B686" s="1">
        <v>44203</v>
      </c>
      <c r="C686" s="1" t="str">
        <f t="shared" si="30"/>
        <v>janeiro</v>
      </c>
      <c r="D686">
        <v>32</v>
      </c>
      <c r="E686" t="s">
        <v>77</v>
      </c>
      <c r="F686" t="s">
        <v>31</v>
      </c>
      <c r="G686" s="8">
        <v>32</v>
      </c>
      <c r="H686" s="2">
        <v>112</v>
      </c>
      <c r="I686" s="2">
        <v>3584</v>
      </c>
      <c r="J686" s="4">
        <v>0.09</v>
      </c>
      <c r="K686" s="2">
        <v>3261.44</v>
      </c>
      <c r="L686" s="2">
        <f t="shared" si="31"/>
        <v>322.55999999999995</v>
      </c>
      <c r="M686" s="1">
        <v>44205</v>
      </c>
      <c r="N686" s="1">
        <v>44205</v>
      </c>
      <c r="O686">
        <v>685</v>
      </c>
      <c r="P686">
        <v>2</v>
      </c>
      <c r="Q686" t="s">
        <v>37</v>
      </c>
      <c r="R686" s="3">
        <v>0.06</v>
      </c>
      <c r="S686" s="2">
        <v>195.68639999999999</v>
      </c>
      <c r="T686">
        <v>6</v>
      </c>
      <c r="U686" t="str">
        <f t="shared" si="32"/>
        <v>Janeiro</v>
      </c>
    </row>
    <row r="687" spans="1:21">
      <c r="A687">
        <v>686</v>
      </c>
      <c r="B687" s="1">
        <v>44204</v>
      </c>
      <c r="C687" s="1" t="str">
        <f t="shared" si="30"/>
        <v>janeiro</v>
      </c>
      <c r="D687">
        <v>40</v>
      </c>
      <c r="E687" t="s">
        <v>49</v>
      </c>
      <c r="F687" t="s">
        <v>24</v>
      </c>
      <c r="G687" s="8">
        <v>23</v>
      </c>
      <c r="H687" s="2">
        <v>119</v>
      </c>
      <c r="I687" s="2">
        <v>2737</v>
      </c>
      <c r="J687" s="4">
        <v>0.01</v>
      </c>
      <c r="K687" s="2">
        <v>2709.63</v>
      </c>
      <c r="L687" s="2">
        <f t="shared" si="31"/>
        <v>27.369999999999891</v>
      </c>
      <c r="M687" s="1">
        <v>44210</v>
      </c>
      <c r="N687" s="1">
        <v>44210</v>
      </c>
      <c r="O687">
        <v>686</v>
      </c>
      <c r="P687">
        <v>3</v>
      </c>
      <c r="Q687" t="s">
        <v>52</v>
      </c>
      <c r="R687" s="3">
        <v>0.09</v>
      </c>
      <c r="S687" s="2">
        <v>243.86670000000001</v>
      </c>
      <c r="T687">
        <v>7</v>
      </c>
      <c r="U687" t="str">
        <f t="shared" si="32"/>
        <v>Janeiro</v>
      </c>
    </row>
    <row r="688" spans="1:21">
      <c r="A688">
        <v>687</v>
      </c>
      <c r="B688" s="1">
        <v>44205</v>
      </c>
      <c r="C688" s="1" t="str">
        <f t="shared" si="30"/>
        <v>janeiro</v>
      </c>
      <c r="D688">
        <v>5</v>
      </c>
      <c r="E688" t="s">
        <v>38</v>
      </c>
      <c r="F688" t="s">
        <v>46</v>
      </c>
      <c r="G688" s="8">
        <v>36</v>
      </c>
      <c r="H688" s="2">
        <v>101</v>
      </c>
      <c r="I688" s="2">
        <v>3636</v>
      </c>
      <c r="J688" s="4">
        <v>7.0000000000000007E-2</v>
      </c>
      <c r="K688" s="2">
        <v>3381.48</v>
      </c>
      <c r="L688" s="2">
        <f t="shared" si="31"/>
        <v>254.51999999999998</v>
      </c>
      <c r="M688" s="1">
        <v>44220</v>
      </c>
      <c r="N688" s="1">
        <v>44220</v>
      </c>
      <c r="O688">
        <v>687</v>
      </c>
      <c r="P688">
        <v>4</v>
      </c>
      <c r="Q688" t="s">
        <v>22</v>
      </c>
      <c r="R688" s="3">
        <v>7.0000000000000007E-2</v>
      </c>
      <c r="S688" s="2">
        <v>236.70360000000002</v>
      </c>
      <c r="T688">
        <v>1</v>
      </c>
      <c r="U688" t="str">
        <f t="shared" si="32"/>
        <v>Janeiro</v>
      </c>
    </row>
    <row r="689" spans="1:21">
      <c r="A689">
        <v>688</v>
      </c>
      <c r="B689" s="1">
        <v>44205</v>
      </c>
      <c r="C689" s="1" t="str">
        <f t="shared" si="30"/>
        <v>janeiro</v>
      </c>
      <c r="D689">
        <v>97</v>
      </c>
      <c r="E689" t="s">
        <v>66</v>
      </c>
      <c r="F689" t="s">
        <v>59</v>
      </c>
      <c r="G689" s="8">
        <v>20</v>
      </c>
      <c r="H689" s="2">
        <v>103</v>
      </c>
      <c r="I689" s="2">
        <v>2060</v>
      </c>
      <c r="J689" s="4">
        <v>7.0000000000000007E-2</v>
      </c>
      <c r="K689" s="2">
        <v>1915.8</v>
      </c>
      <c r="L689" s="2">
        <f t="shared" si="31"/>
        <v>144.20000000000005</v>
      </c>
      <c r="M689" s="1">
        <v>44205</v>
      </c>
      <c r="N689" s="1">
        <v>44205</v>
      </c>
      <c r="O689">
        <v>688</v>
      </c>
      <c r="P689">
        <v>3</v>
      </c>
      <c r="Q689" t="s">
        <v>25</v>
      </c>
      <c r="R689" s="3">
        <v>0.06</v>
      </c>
      <c r="S689" s="2">
        <v>114.94799999999999</v>
      </c>
      <c r="T689">
        <v>2</v>
      </c>
      <c r="U689" t="str">
        <f t="shared" si="32"/>
        <v>Janeiro</v>
      </c>
    </row>
    <row r="690" spans="1:21">
      <c r="A690">
        <v>689</v>
      </c>
      <c r="B690" s="1">
        <v>44206</v>
      </c>
      <c r="C690" s="1" t="str">
        <f t="shared" si="30"/>
        <v>janeiro</v>
      </c>
      <c r="D690">
        <v>69</v>
      </c>
      <c r="E690" t="s">
        <v>67</v>
      </c>
      <c r="F690" t="s">
        <v>31</v>
      </c>
      <c r="G690" s="8">
        <v>14</v>
      </c>
      <c r="H690" s="2">
        <v>109</v>
      </c>
      <c r="I690" s="2">
        <v>1526</v>
      </c>
      <c r="J690" s="4">
        <v>0.09</v>
      </c>
      <c r="K690" s="2">
        <v>1388.66</v>
      </c>
      <c r="L690" s="2">
        <f t="shared" si="31"/>
        <v>137.33999999999992</v>
      </c>
      <c r="M690" s="1">
        <v>44228</v>
      </c>
      <c r="N690" s="1">
        <v>44228</v>
      </c>
      <c r="O690">
        <v>689</v>
      </c>
      <c r="P690">
        <v>2</v>
      </c>
      <c r="Q690" t="s">
        <v>69</v>
      </c>
      <c r="R690" s="3">
        <v>0.06</v>
      </c>
      <c r="S690" s="2">
        <v>83.319600000000008</v>
      </c>
      <c r="T690">
        <v>3</v>
      </c>
      <c r="U690" t="str">
        <f t="shared" si="32"/>
        <v>Janeiro</v>
      </c>
    </row>
    <row r="691" spans="1:21">
      <c r="A691">
        <v>690</v>
      </c>
      <c r="B691" s="1">
        <v>44207</v>
      </c>
      <c r="C691" s="1" t="str">
        <f t="shared" si="30"/>
        <v>janeiro</v>
      </c>
      <c r="D691">
        <v>75</v>
      </c>
      <c r="E691" t="s">
        <v>38</v>
      </c>
      <c r="F691" t="s">
        <v>54</v>
      </c>
      <c r="G691" s="8">
        <v>30</v>
      </c>
      <c r="H691" s="2">
        <v>113</v>
      </c>
      <c r="I691" s="2">
        <v>3390</v>
      </c>
      <c r="J691" s="4">
        <v>7.0000000000000007E-2</v>
      </c>
      <c r="K691" s="2">
        <v>3152.7</v>
      </c>
      <c r="L691" s="2">
        <f t="shared" si="31"/>
        <v>237.30000000000018</v>
      </c>
      <c r="M691" s="1">
        <v>44228</v>
      </c>
      <c r="N691" s="1">
        <v>44228</v>
      </c>
      <c r="O691">
        <v>690</v>
      </c>
      <c r="P691">
        <v>3</v>
      </c>
      <c r="Q691" t="s">
        <v>32</v>
      </c>
      <c r="R691" s="3">
        <v>7.0000000000000007E-2</v>
      </c>
      <c r="S691" s="2">
        <v>220.68900000000002</v>
      </c>
      <c r="T691">
        <v>4</v>
      </c>
      <c r="U691" t="str">
        <f t="shared" si="32"/>
        <v>Janeiro</v>
      </c>
    </row>
    <row r="692" spans="1:21">
      <c r="A692">
        <v>691</v>
      </c>
      <c r="B692" s="1">
        <v>44207</v>
      </c>
      <c r="C692" s="1" t="str">
        <f t="shared" si="30"/>
        <v>janeiro</v>
      </c>
      <c r="D692">
        <v>4</v>
      </c>
      <c r="E692" t="s">
        <v>86</v>
      </c>
      <c r="F692" t="s">
        <v>50</v>
      </c>
      <c r="G692" s="8">
        <v>39</v>
      </c>
      <c r="H692" s="2">
        <v>105</v>
      </c>
      <c r="I692" s="2">
        <v>4095</v>
      </c>
      <c r="J692" s="4">
        <v>7.0000000000000007E-2</v>
      </c>
      <c r="K692" s="2">
        <v>3808.35</v>
      </c>
      <c r="L692" s="2">
        <f t="shared" si="31"/>
        <v>286.65000000000009</v>
      </c>
      <c r="M692" s="1">
        <v>44232</v>
      </c>
      <c r="O692">
        <v>691</v>
      </c>
      <c r="P692">
        <v>6</v>
      </c>
      <c r="Q692" t="s">
        <v>52</v>
      </c>
      <c r="R692" s="3">
        <v>0.1</v>
      </c>
      <c r="S692" s="2">
        <v>380.83500000000004</v>
      </c>
      <c r="T692">
        <v>5</v>
      </c>
      <c r="U692" t="str">
        <f t="shared" si="32"/>
        <v>Janeiro</v>
      </c>
    </row>
    <row r="693" spans="1:21">
      <c r="A693">
        <v>692</v>
      </c>
      <c r="B693" s="1">
        <v>44208</v>
      </c>
      <c r="C693" s="1" t="str">
        <f t="shared" si="30"/>
        <v>janeiro</v>
      </c>
      <c r="D693">
        <v>82</v>
      </c>
      <c r="E693" t="s">
        <v>67</v>
      </c>
      <c r="F693" t="s">
        <v>54</v>
      </c>
      <c r="G693" s="8">
        <v>20</v>
      </c>
      <c r="H693" s="2">
        <v>119</v>
      </c>
      <c r="I693" s="2">
        <v>2380</v>
      </c>
      <c r="J693" s="4">
        <v>0.13</v>
      </c>
      <c r="K693" s="2">
        <v>2070.6</v>
      </c>
      <c r="L693" s="2">
        <f t="shared" si="31"/>
        <v>309.40000000000009</v>
      </c>
      <c r="M693" s="1">
        <v>44238</v>
      </c>
      <c r="N693" s="1">
        <v>44238</v>
      </c>
      <c r="O693">
        <v>692</v>
      </c>
      <c r="P693">
        <v>3</v>
      </c>
      <c r="Q693" t="s">
        <v>22</v>
      </c>
      <c r="R693" s="3">
        <v>0.09</v>
      </c>
      <c r="S693" s="2">
        <v>186.35399999999998</v>
      </c>
      <c r="T693">
        <v>6</v>
      </c>
      <c r="U693" t="str">
        <f t="shared" si="32"/>
        <v>Janeiro</v>
      </c>
    </row>
    <row r="694" spans="1:21">
      <c r="A694">
        <v>693</v>
      </c>
      <c r="B694" s="1">
        <v>44208</v>
      </c>
      <c r="C694" s="1" t="str">
        <f t="shared" si="30"/>
        <v>janeiro</v>
      </c>
      <c r="D694">
        <v>54</v>
      </c>
      <c r="E694" t="s">
        <v>79</v>
      </c>
      <c r="F694" t="s">
        <v>46</v>
      </c>
      <c r="G694" s="8">
        <v>36</v>
      </c>
      <c r="H694" s="2">
        <v>112</v>
      </c>
      <c r="I694" s="2">
        <v>4032</v>
      </c>
      <c r="J694" s="4">
        <v>0.01</v>
      </c>
      <c r="K694" s="2">
        <v>3991.68</v>
      </c>
      <c r="L694" s="2">
        <f t="shared" si="31"/>
        <v>40.320000000000164</v>
      </c>
      <c r="M694" s="1">
        <v>44230</v>
      </c>
      <c r="N694" s="1">
        <v>44230</v>
      </c>
      <c r="O694">
        <v>693</v>
      </c>
      <c r="P694">
        <v>7</v>
      </c>
      <c r="Q694" t="s">
        <v>25</v>
      </c>
      <c r="R694" s="3">
        <v>0.08</v>
      </c>
      <c r="S694" s="2">
        <v>319.33440000000002</v>
      </c>
      <c r="T694">
        <v>7</v>
      </c>
      <c r="U694" t="str">
        <f t="shared" si="32"/>
        <v>Janeiro</v>
      </c>
    </row>
    <row r="695" spans="1:21">
      <c r="A695">
        <v>694</v>
      </c>
      <c r="B695" s="1">
        <v>44209</v>
      </c>
      <c r="C695" s="1" t="str">
        <f t="shared" si="30"/>
        <v>janeiro</v>
      </c>
      <c r="D695">
        <v>29</v>
      </c>
      <c r="E695" t="s">
        <v>98</v>
      </c>
      <c r="F695" t="s">
        <v>24</v>
      </c>
      <c r="G695" s="8">
        <v>47</v>
      </c>
      <c r="H695" s="2">
        <v>97</v>
      </c>
      <c r="I695" s="2">
        <v>4559</v>
      </c>
      <c r="J695" s="4">
        <v>7.0000000000000007E-2</v>
      </c>
      <c r="K695" s="2">
        <v>4239.87</v>
      </c>
      <c r="L695" s="2">
        <f t="shared" si="31"/>
        <v>319.13000000000011</v>
      </c>
      <c r="M695" s="1">
        <v>44230</v>
      </c>
      <c r="N695" s="1">
        <v>44230</v>
      </c>
      <c r="O695">
        <v>694</v>
      </c>
      <c r="P695">
        <v>6</v>
      </c>
      <c r="Q695" t="s">
        <v>47</v>
      </c>
      <c r="R695" s="3">
        <v>0.09</v>
      </c>
      <c r="S695" s="2">
        <v>381.5883</v>
      </c>
      <c r="T695">
        <v>1</v>
      </c>
      <c r="U695" t="str">
        <f t="shared" si="32"/>
        <v>Janeiro</v>
      </c>
    </row>
    <row r="696" spans="1:21">
      <c r="A696">
        <v>695</v>
      </c>
      <c r="B696" s="1">
        <v>44209</v>
      </c>
      <c r="C696" s="1" t="str">
        <f t="shared" si="30"/>
        <v>janeiro</v>
      </c>
      <c r="D696">
        <v>8</v>
      </c>
      <c r="E696" t="s">
        <v>38</v>
      </c>
      <c r="F696" t="s">
        <v>55</v>
      </c>
      <c r="G696" s="8">
        <v>37</v>
      </c>
      <c r="H696" s="2">
        <v>120</v>
      </c>
      <c r="I696" s="2">
        <v>4440</v>
      </c>
      <c r="J696" s="4">
        <v>0.06</v>
      </c>
      <c r="K696" s="2">
        <v>4173.6000000000004</v>
      </c>
      <c r="L696" s="2">
        <f t="shared" si="31"/>
        <v>266.39999999999964</v>
      </c>
      <c r="M696" s="1">
        <v>44211</v>
      </c>
      <c r="N696" s="1">
        <v>44211</v>
      </c>
      <c r="O696">
        <v>695</v>
      </c>
      <c r="P696">
        <v>4</v>
      </c>
      <c r="Q696" t="s">
        <v>43</v>
      </c>
      <c r="R696" s="3">
        <v>0.08</v>
      </c>
      <c r="S696" s="2">
        <v>333.88800000000003</v>
      </c>
      <c r="T696">
        <v>2</v>
      </c>
      <c r="U696" t="str">
        <f t="shared" si="32"/>
        <v>Janeiro</v>
      </c>
    </row>
    <row r="697" spans="1:21">
      <c r="A697">
        <v>696</v>
      </c>
      <c r="B697" s="1">
        <v>44209</v>
      </c>
      <c r="C697" s="1" t="str">
        <f t="shared" si="30"/>
        <v>janeiro</v>
      </c>
      <c r="D697">
        <v>40</v>
      </c>
      <c r="E697" t="s">
        <v>49</v>
      </c>
      <c r="F697" t="s">
        <v>24</v>
      </c>
      <c r="G697" s="8">
        <v>29</v>
      </c>
      <c r="H697" s="2">
        <v>108</v>
      </c>
      <c r="I697" s="2">
        <v>3132</v>
      </c>
      <c r="J697" s="4">
        <v>0</v>
      </c>
      <c r="K697" s="2">
        <v>3132</v>
      </c>
      <c r="L697" s="2">
        <f t="shared" si="31"/>
        <v>0</v>
      </c>
      <c r="M697" s="1">
        <v>44232</v>
      </c>
      <c r="N697" s="1">
        <v>44232</v>
      </c>
      <c r="O697">
        <v>696</v>
      </c>
      <c r="P697">
        <v>5</v>
      </c>
      <c r="Q697" t="s">
        <v>43</v>
      </c>
      <c r="R697" s="3">
        <v>0.06</v>
      </c>
      <c r="S697" s="2">
        <v>187.92</v>
      </c>
      <c r="T697">
        <v>3</v>
      </c>
      <c r="U697" t="str">
        <f t="shared" si="32"/>
        <v>Janeiro</v>
      </c>
    </row>
    <row r="698" spans="1:21">
      <c r="A698">
        <v>697</v>
      </c>
      <c r="B698" s="1">
        <v>44209</v>
      </c>
      <c r="C698" s="1" t="str">
        <f t="shared" si="30"/>
        <v>janeiro</v>
      </c>
      <c r="D698">
        <v>13</v>
      </c>
      <c r="E698" t="s">
        <v>75</v>
      </c>
      <c r="F698" t="s">
        <v>55</v>
      </c>
      <c r="G698" s="8">
        <v>24</v>
      </c>
      <c r="H698" s="2">
        <v>93</v>
      </c>
      <c r="I698" s="2">
        <v>2232</v>
      </c>
      <c r="J698" s="4">
        <v>0.11</v>
      </c>
      <c r="K698" s="2">
        <v>1986.48</v>
      </c>
      <c r="L698" s="2">
        <f t="shared" si="31"/>
        <v>245.51999999999998</v>
      </c>
      <c r="M698" s="1">
        <v>44230</v>
      </c>
      <c r="N698" s="1">
        <v>44230</v>
      </c>
      <c r="O698">
        <v>697</v>
      </c>
      <c r="P698">
        <v>3</v>
      </c>
      <c r="Q698" t="s">
        <v>32</v>
      </c>
      <c r="R698" s="3">
        <v>0.08</v>
      </c>
      <c r="S698" s="2">
        <v>158.91839999999999</v>
      </c>
      <c r="T698">
        <v>4</v>
      </c>
      <c r="U698" t="str">
        <f t="shared" si="32"/>
        <v>Janeiro</v>
      </c>
    </row>
    <row r="699" spans="1:21">
      <c r="A699">
        <v>698</v>
      </c>
      <c r="B699" s="1">
        <v>44210</v>
      </c>
      <c r="C699" s="1" t="str">
        <f t="shared" si="30"/>
        <v>janeiro</v>
      </c>
      <c r="D699">
        <v>69</v>
      </c>
      <c r="E699" t="s">
        <v>67</v>
      </c>
      <c r="F699" t="s">
        <v>55</v>
      </c>
      <c r="G699" s="8">
        <v>18</v>
      </c>
      <c r="H699" s="2">
        <v>106</v>
      </c>
      <c r="I699" s="2">
        <v>1908</v>
      </c>
      <c r="J699" s="4">
        <v>0.15</v>
      </c>
      <c r="K699" s="2">
        <v>1621.8</v>
      </c>
      <c r="L699" s="2">
        <f t="shared" si="31"/>
        <v>286.20000000000005</v>
      </c>
      <c r="M699" s="1">
        <v>44218</v>
      </c>
      <c r="N699" s="1">
        <v>44218</v>
      </c>
      <c r="O699">
        <v>698</v>
      </c>
      <c r="P699">
        <v>1</v>
      </c>
      <c r="Q699" t="s">
        <v>37</v>
      </c>
      <c r="R699" s="3">
        <v>7.0000000000000007E-2</v>
      </c>
      <c r="S699" s="2">
        <v>113.52600000000001</v>
      </c>
      <c r="T699">
        <v>5</v>
      </c>
      <c r="U699" t="str">
        <f t="shared" si="32"/>
        <v>Janeiro</v>
      </c>
    </row>
    <row r="700" spans="1:21">
      <c r="A700">
        <v>699</v>
      </c>
      <c r="B700" s="1">
        <v>44210</v>
      </c>
      <c r="C700" s="1" t="str">
        <f t="shared" si="30"/>
        <v>janeiro</v>
      </c>
      <c r="D700">
        <v>63</v>
      </c>
      <c r="E700" t="s">
        <v>80</v>
      </c>
      <c r="F700" t="s">
        <v>21</v>
      </c>
      <c r="G700" s="8">
        <v>26</v>
      </c>
      <c r="H700" s="2">
        <v>107</v>
      </c>
      <c r="I700" s="2">
        <v>2782</v>
      </c>
      <c r="J700" s="4">
        <v>0.15</v>
      </c>
      <c r="K700" s="2">
        <v>2364.6999999999998</v>
      </c>
      <c r="L700" s="2">
        <f t="shared" si="31"/>
        <v>417.30000000000018</v>
      </c>
      <c r="M700" s="1">
        <v>44232</v>
      </c>
      <c r="N700" s="1">
        <v>44232</v>
      </c>
      <c r="O700">
        <v>699</v>
      </c>
      <c r="P700">
        <v>1</v>
      </c>
      <c r="Q700" t="s">
        <v>47</v>
      </c>
      <c r="R700" s="3">
        <v>0.1</v>
      </c>
      <c r="S700" s="2">
        <v>236.47</v>
      </c>
      <c r="T700">
        <v>6</v>
      </c>
      <c r="U700" t="str">
        <f t="shared" si="32"/>
        <v>Janeiro</v>
      </c>
    </row>
    <row r="701" spans="1:21">
      <c r="A701">
        <v>700</v>
      </c>
      <c r="B701" s="1">
        <v>44210</v>
      </c>
      <c r="C701" s="1" t="str">
        <f t="shared" si="30"/>
        <v>janeiro</v>
      </c>
      <c r="D701">
        <v>6</v>
      </c>
      <c r="E701" t="s">
        <v>88</v>
      </c>
      <c r="F701" t="s">
        <v>31</v>
      </c>
      <c r="G701" s="8">
        <v>49</v>
      </c>
      <c r="H701" s="2">
        <v>103</v>
      </c>
      <c r="I701" s="2">
        <v>5047</v>
      </c>
      <c r="J701" s="4">
        <v>0.13</v>
      </c>
      <c r="K701" s="2">
        <v>4390.8900000000003</v>
      </c>
      <c r="L701" s="2">
        <f t="shared" si="31"/>
        <v>656.10999999999967</v>
      </c>
      <c r="M701" s="1">
        <v>44235</v>
      </c>
      <c r="N701" s="1">
        <v>44235</v>
      </c>
      <c r="O701">
        <v>700</v>
      </c>
      <c r="P701">
        <v>1</v>
      </c>
      <c r="Q701" t="s">
        <v>69</v>
      </c>
      <c r="R701" s="3">
        <v>0.1</v>
      </c>
      <c r="S701" s="2">
        <v>439.08900000000006</v>
      </c>
      <c r="T701">
        <v>7</v>
      </c>
      <c r="U701" t="str">
        <f t="shared" si="32"/>
        <v>Janeiro</v>
      </c>
    </row>
    <row r="702" spans="1:21">
      <c r="A702">
        <v>701</v>
      </c>
      <c r="B702" s="1">
        <v>44211</v>
      </c>
      <c r="C702" s="1" t="str">
        <f t="shared" si="30"/>
        <v>janeiro</v>
      </c>
      <c r="D702">
        <v>31</v>
      </c>
      <c r="E702" t="s">
        <v>85</v>
      </c>
      <c r="F702" t="s">
        <v>31</v>
      </c>
      <c r="G702" s="8">
        <v>25</v>
      </c>
      <c r="H702" s="2">
        <v>92</v>
      </c>
      <c r="I702" s="2">
        <v>2300</v>
      </c>
      <c r="J702" s="4">
        <v>0.01</v>
      </c>
      <c r="K702" s="2">
        <v>2277</v>
      </c>
      <c r="L702" s="2">
        <f t="shared" si="31"/>
        <v>23</v>
      </c>
      <c r="M702" s="1">
        <v>44224</v>
      </c>
      <c r="N702" s="1">
        <v>44224</v>
      </c>
      <c r="O702">
        <v>701</v>
      </c>
      <c r="P702">
        <v>1</v>
      </c>
      <c r="Q702" t="s">
        <v>25</v>
      </c>
      <c r="R702" s="3">
        <v>0.05</v>
      </c>
      <c r="S702" s="2">
        <v>113.85000000000001</v>
      </c>
      <c r="T702">
        <v>1</v>
      </c>
      <c r="U702" t="str">
        <f t="shared" si="32"/>
        <v>Janeiro</v>
      </c>
    </row>
    <row r="703" spans="1:21">
      <c r="A703">
        <v>702</v>
      </c>
      <c r="B703" s="1">
        <v>44214</v>
      </c>
      <c r="C703" s="1" t="str">
        <f t="shared" si="30"/>
        <v>janeiro</v>
      </c>
      <c r="D703">
        <v>96</v>
      </c>
      <c r="E703" t="s">
        <v>42</v>
      </c>
      <c r="F703" t="s">
        <v>24</v>
      </c>
      <c r="G703" s="8">
        <v>16</v>
      </c>
      <c r="H703" s="2">
        <v>98</v>
      </c>
      <c r="I703" s="2">
        <v>1568</v>
      </c>
      <c r="J703" s="4">
        <v>0.15</v>
      </c>
      <c r="K703" s="2">
        <v>1332.8</v>
      </c>
      <c r="L703" s="2">
        <f t="shared" si="31"/>
        <v>235.20000000000005</v>
      </c>
      <c r="M703" s="1">
        <v>44225</v>
      </c>
      <c r="N703" s="1">
        <v>44225</v>
      </c>
      <c r="O703">
        <v>702</v>
      </c>
      <c r="P703">
        <v>5</v>
      </c>
      <c r="Q703" t="s">
        <v>37</v>
      </c>
      <c r="R703" s="3">
        <v>7.0000000000000007E-2</v>
      </c>
      <c r="S703" s="2">
        <v>93.296000000000006</v>
      </c>
      <c r="T703">
        <v>2</v>
      </c>
      <c r="U703" t="str">
        <f t="shared" si="32"/>
        <v>Janeiro</v>
      </c>
    </row>
    <row r="704" spans="1:21">
      <c r="A704">
        <v>703</v>
      </c>
      <c r="B704" s="1">
        <v>44214</v>
      </c>
      <c r="C704" s="1" t="str">
        <f t="shared" si="30"/>
        <v>janeiro</v>
      </c>
      <c r="D704">
        <v>62</v>
      </c>
      <c r="E704" t="s">
        <v>38</v>
      </c>
      <c r="F704" t="s">
        <v>54</v>
      </c>
      <c r="G704" s="8">
        <v>29</v>
      </c>
      <c r="H704" s="2">
        <v>112</v>
      </c>
      <c r="I704" s="2">
        <v>3248</v>
      </c>
      <c r="J704" s="4">
        <v>0.03</v>
      </c>
      <c r="K704" s="2">
        <v>3150.56</v>
      </c>
      <c r="L704" s="2">
        <f t="shared" si="31"/>
        <v>97.440000000000055</v>
      </c>
      <c r="M704" s="1">
        <v>44233</v>
      </c>
      <c r="N704" s="1">
        <v>44233</v>
      </c>
      <c r="O704">
        <v>703</v>
      </c>
      <c r="P704">
        <v>6</v>
      </c>
      <c r="Q704" t="s">
        <v>29</v>
      </c>
      <c r="R704" s="3">
        <v>0.06</v>
      </c>
      <c r="S704" s="2">
        <v>189.03359999999998</v>
      </c>
      <c r="T704">
        <v>3</v>
      </c>
      <c r="U704" t="str">
        <f t="shared" si="32"/>
        <v>Janeiro</v>
      </c>
    </row>
    <row r="705" spans="1:21">
      <c r="A705">
        <v>704</v>
      </c>
      <c r="B705" s="1">
        <v>44214</v>
      </c>
      <c r="C705" s="1" t="str">
        <f t="shared" si="30"/>
        <v>janeiro</v>
      </c>
      <c r="D705">
        <v>85</v>
      </c>
      <c r="E705" t="s">
        <v>57</v>
      </c>
      <c r="F705" t="s">
        <v>59</v>
      </c>
      <c r="G705" s="8">
        <v>32</v>
      </c>
      <c r="H705" s="2">
        <v>97</v>
      </c>
      <c r="I705" s="2">
        <v>3104</v>
      </c>
      <c r="J705" s="4">
        <v>0.01</v>
      </c>
      <c r="K705" s="2">
        <v>3072.96</v>
      </c>
      <c r="L705" s="2">
        <f t="shared" si="31"/>
        <v>31.039999999999964</v>
      </c>
      <c r="M705" s="1">
        <v>44217</v>
      </c>
      <c r="N705" s="1">
        <v>44217</v>
      </c>
      <c r="O705">
        <v>704</v>
      </c>
      <c r="P705">
        <v>2</v>
      </c>
      <c r="Q705" t="s">
        <v>22</v>
      </c>
      <c r="R705" s="3">
        <v>0.1</v>
      </c>
      <c r="S705" s="2">
        <v>307.29600000000005</v>
      </c>
      <c r="T705">
        <v>4</v>
      </c>
      <c r="U705" t="str">
        <f t="shared" si="32"/>
        <v>Janeiro</v>
      </c>
    </row>
    <row r="706" spans="1:21">
      <c r="A706">
        <v>705</v>
      </c>
      <c r="B706" s="1">
        <v>44214</v>
      </c>
      <c r="C706" s="1" t="str">
        <f t="shared" si="30"/>
        <v>janeiro</v>
      </c>
      <c r="D706">
        <v>38</v>
      </c>
      <c r="E706" t="s">
        <v>73</v>
      </c>
      <c r="F706" t="s">
        <v>31</v>
      </c>
      <c r="G706" s="8">
        <v>46</v>
      </c>
      <c r="H706" s="2">
        <v>102</v>
      </c>
      <c r="I706" s="2">
        <v>4692</v>
      </c>
      <c r="J706" s="4">
        <v>0.08</v>
      </c>
      <c r="K706" s="2">
        <v>4316.6400000000003</v>
      </c>
      <c r="L706" s="2">
        <f t="shared" si="31"/>
        <v>375.35999999999967</v>
      </c>
      <c r="M706" s="1">
        <v>44240</v>
      </c>
      <c r="N706" s="1">
        <v>44240</v>
      </c>
      <c r="O706">
        <v>705</v>
      </c>
      <c r="P706">
        <v>1</v>
      </c>
      <c r="Q706" t="s">
        <v>37</v>
      </c>
      <c r="R706" s="3">
        <v>0.05</v>
      </c>
      <c r="S706" s="2">
        <v>215.83200000000002</v>
      </c>
      <c r="T706">
        <v>5</v>
      </c>
      <c r="U706" t="str">
        <f t="shared" si="32"/>
        <v>Janeiro</v>
      </c>
    </row>
    <row r="707" spans="1:21">
      <c r="A707">
        <v>706</v>
      </c>
      <c r="B707" s="1">
        <v>44215</v>
      </c>
      <c r="C707" s="1" t="str">
        <f t="shared" ref="C707:C770" si="33">TEXT(B707,"mmmm")</f>
        <v>janeiro</v>
      </c>
      <c r="D707">
        <v>27</v>
      </c>
      <c r="E707" t="s">
        <v>101</v>
      </c>
      <c r="F707" t="s">
        <v>54</v>
      </c>
      <c r="G707" s="8">
        <v>14</v>
      </c>
      <c r="H707" s="2">
        <v>110</v>
      </c>
      <c r="I707" s="2">
        <v>1540</v>
      </c>
      <c r="J707" s="4">
        <v>0.06</v>
      </c>
      <c r="K707" s="2">
        <v>1447.6</v>
      </c>
      <c r="L707" s="2">
        <f t="shared" ref="L707:L770" si="34">I707-K707</f>
        <v>92.400000000000091</v>
      </c>
      <c r="M707" s="1">
        <v>44233</v>
      </c>
      <c r="N707" s="1">
        <v>44233</v>
      </c>
      <c r="O707">
        <v>706</v>
      </c>
      <c r="P707">
        <v>1</v>
      </c>
      <c r="Q707" t="s">
        <v>43</v>
      </c>
      <c r="R707" s="3">
        <v>0.06</v>
      </c>
      <c r="S707" s="2">
        <v>86.855999999999995</v>
      </c>
      <c r="T707">
        <v>6</v>
      </c>
      <c r="U707" t="str">
        <f t="shared" ref="U707:U770" si="35">PROPER(TEXT(B707,"mmmm"))</f>
        <v>Janeiro</v>
      </c>
    </row>
    <row r="708" spans="1:21">
      <c r="A708">
        <v>707</v>
      </c>
      <c r="B708" s="1">
        <v>44215</v>
      </c>
      <c r="C708" s="1" t="str">
        <f t="shared" si="33"/>
        <v>janeiro</v>
      </c>
      <c r="D708">
        <v>31</v>
      </c>
      <c r="E708" t="s">
        <v>85</v>
      </c>
      <c r="F708" t="s">
        <v>28</v>
      </c>
      <c r="G708" s="8">
        <v>14</v>
      </c>
      <c r="H708" s="2">
        <v>116</v>
      </c>
      <c r="I708" s="2">
        <v>1624</v>
      </c>
      <c r="J708" s="4">
        <v>0.14000000000000001</v>
      </c>
      <c r="K708" s="2">
        <v>1396.6399999999999</v>
      </c>
      <c r="L708" s="2">
        <f t="shared" si="34"/>
        <v>227.36000000000013</v>
      </c>
      <c r="M708" s="1">
        <v>44217</v>
      </c>
      <c r="N708" s="1">
        <v>44217</v>
      </c>
      <c r="O708">
        <v>707</v>
      </c>
      <c r="P708">
        <v>1</v>
      </c>
      <c r="Q708" t="s">
        <v>22</v>
      </c>
      <c r="R708" s="3">
        <v>0.08</v>
      </c>
      <c r="S708" s="2">
        <v>111.73119999999999</v>
      </c>
      <c r="T708">
        <v>7</v>
      </c>
      <c r="U708" t="str">
        <f t="shared" si="35"/>
        <v>Janeiro</v>
      </c>
    </row>
    <row r="709" spans="1:21">
      <c r="A709">
        <v>708</v>
      </c>
      <c r="B709" s="1">
        <v>44215</v>
      </c>
      <c r="C709" s="1" t="str">
        <f t="shared" si="33"/>
        <v>janeiro</v>
      </c>
      <c r="D709">
        <v>84</v>
      </c>
      <c r="E709" t="s">
        <v>44</v>
      </c>
      <c r="F709" t="s">
        <v>46</v>
      </c>
      <c r="G709" s="8">
        <v>39</v>
      </c>
      <c r="H709" s="2">
        <v>117</v>
      </c>
      <c r="I709" s="2">
        <v>4563</v>
      </c>
      <c r="J709" s="4">
        <v>0.12</v>
      </c>
      <c r="K709" s="2">
        <v>4015.44</v>
      </c>
      <c r="L709" s="2">
        <f t="shared" si="34"/>
        <v>547.55999999999995</v>
      </c>
      <c r="M709" s="1">
        <v>44233</v>
      </c>
      <c r="N709" s="1">
        <v>44233</v>
      </c>
      <c r="O709">
        <v>708</v>
      </c>
      <c r="P709">
        <v>6</v>
      </c>
      <c r="Q709" t="s">
        <v>47</v>
      </c>
      <c r="R709" s="3">
        <v>0.08</v>
      </c>
      <c r="S709" s="2">
        <v>321.23520000000002</v>
      </c>
      <c r="T709">
        <v>1</v>
      </c>
      <c r="U709" t="str">
        <f t="shared" si="35"/>
        <v>Janeiro</v>
      </c>
    </row>
    <row r="710" spans="1:21">
      <c r="A710">
        <v>709</v>
      </c>
      <c r="B710" s="1">
        <v>44215</v>
      </c>
      <c r="C710" s="1" t="str">
        <f t="shared" si="33"/>
        <v>janeiro</v>
      </c>
      <c r="D710">
        <v>2</v>
      </c>
      <c r="E710" t="s">
        <v>35</v>
      </c>
      <c r="F710" t="s">
        <v>50</v>
      </c>
      <c r="G710" s="8">
        <v>13</v>
      </c>
      <c r="H710" s="2">
        <v>97</v>
      </c>
      <c r="I710" s="2">
        <v>1261</v>
      </c>
      <c r="J710" s="4">
        <v>0</v>
      </c>
      <c r="K710" s="2">
        <v>1261</v>
      </c>
      <c r="L710" s="2">
        <f t="shared" si="34"/>
        <v>0</v>
      </c>
      <c r="M710" s="1">
        <v>44237</v>
      </c>
      <c r="N710" s="1">
        <v>44237</v>
      </c>
      <c r="O710">
        <v>709</v>
      </c>
      <c r="P710">
        <v>2</v>
      </c>
      <c r="Q710" t="s">
        <v>47</v>
      </c>
      <c r="R710" s="3">
        <v>0.06</v>
      </c>
      <c r="S710" s="2">
        <v>75.66</v>
      </c>
      <c r="T710">
        <v>2</v>
      </c>
      <c r="U710" t="str">
        <f t="shared" si="35"/>
        <v>Janeiro</v>
      </c>
    </row>
    <row r="711" spans="1:21">
      <c r="A711">
        <v>710</v>
      </c>
      <c r="B711" s="1">
        <v>44215</v>
      </c>
      <c r="C711" s="1" t="str">
        <f t="shared" si="33"/>
        <v>janeiro</v>
      </c>
      <c r="D711">
        <v>59</v>
      </c>
      <c r="E711" t="s">
        <v>97</v>
      </c>
      <c r="F711" t="s">
        <v>24</v>
      </c>
      <c r="G711" s="8">
        <v>21</v>
      </c>
      <c r="H711" s="2">
        <v>114</v>
      </c>
      <c r="I711" s="2">
        <v>2394</v>
      </c>
      <c r="J711" s="4">
        <v>0.12</v>
      </c>
      <c r="K711" s="2">
        <v>2106.7200000000003</v>
      </c>
      <c r="L711" s="2">
        <f t="shared" si="34"/>
        <v>287.27999999999975</v>
      </c>
      <c r="M711" s="1">
        <v>44245</v>
      </c>
      <c r="N711" s="1">
        <v>44245</v>
      </c>
      <c r="O711">
        <v>710</v>
      </c>
      <c r="P711">
        <v>7</v>
      </c>
      <c r="Q711" t="s">
        <v>52</v>
      </c>
      <c r="R711" s="3">
        <v>0.05</v>
      </c>
      <c r="S711" s="2">
        <v>105.33600000000001</v>
      </c>
      <c r="T711">
        <v>3</v>
      </c>
      <c r="U711" t="str">
        <f t="shared" si="35"/>
        <v>Janeiro</v>
      </c>
    </row>
    <row r="712" spans="1:21">
      <c r="A712">
        <v>711</v>
      </c>
      <c r="B712" s="1">
        <v>44217</v>
      </c>
      <c r="C712" s="1" t="str">
        <f t="shared" si="33"/>
        <v>janeiro</v>
      </c>
      <c r="D712">
        <v>47</v>
      </c>
      <c r="E712" t="s">
        <v>40</v>
      </c>
      <c r="F712" t="s">
        <v>50</v>
      </c>
      <c r="G712" s="8">
        <v>32</v>
      </c>
      <c r="H712" s="2">
        <v>119</v>
      </c>
      <c r="I712" s="2">
        <v>3808</v>
      </c>
      <c r="J712" s="4">
        <v>0</v>
      </c>
      <c r="K712" s="2">
        <v>3808</v>
      </c>
      <c r="L712" s="2">
        <f t="shared" si="34"/>
        <v>0</v>
      </c>
      <c r="M712" s="1">
        <v>44226</v>
      </c>
      <c r="N712" s="1">
        <v>44226</v>
      </c>
      <c r="O712">
        <v>711</v>
      </c>
      <c r="P712">
        <v>3</v>
      </c>
      <c r="Q712" t="s">
        <v>22</v>
      </c>
      <c r="R712" s="3">
        <v>0.1</v>
      </c>
      <c r="S712" s="2">
        <v>380.8</v>
      </c>
      <c r="T712">
        <v>4</v>
      </c>
      <c r="U712" t="str">
        <f t="shared" si="35"/>
        <v>Janeiro</v>
      </c>
    </row>
    <row r="713" spans="1:21">
      <c r="A713">
        <v>712</v>
      </c>
      <c r="B713" s="1">
        <v>44217</v>
      </c>
      <c r="C713" s="1" t="str">
        <f t="shared" si="33"/>
        <v>janeiro</v>
      </c>
      <c r="D713">
        <v>44</v>
      </c>
      <c r="E713" t="s">
        <v>71</v>
      </c>
      <c r="F713" t="s">
        <v>59</v>
      </c>
      <c r="G713" s="8">
        <v>28</v>
      </c>
      <c r="H713" s="2">
        <v>108</v>
      </c>
      <c r="I713" s="2">
        <v>3024</v>
      </c>
      <c r="J713" s="4">
        <v>0.14000000000000001</v>
      </c>
      <c r="K713" s="2">
        <v>2600.64</v>
      </c>
      <c r="L713" s="2">
        <f t="shared" si="34"/>
        <v>423.36000000000013</v>
      </c>
      <c r="M713" s="1">
        <v>44240</v>
      </c>
      <c r="N713" s="1">
        <v>44240</v>
      </c>
      <c r="O713">
        <v>712</v>
      </c>
      <c r="P713">
        <v>7</v>
      </c>
      <c r="Q713" t="s">
        <v>37</v>
      </c>
      <c r="R713" s="3">
        <v>0.1</v>
      </c>
      <c r="S713" s="2">
        <v>260.06400000000002</v>
      </c>
      <c r="T713">
        <v>5</v>
      </c>
      <c r="U713" t="str">
        <f t="shared" si="35"/>
        <v>Janeiro</v>
      </c>
    </row>
    <row r="714" spans="1:21">
      <c r="A714">
        <v>713</v>
      </c>
      <c r="B714" s="1">
        <v>44218</v>
      </c>
      <c r="C714" s="1" t="str">
        <f t="shared" si="33"/>
        <v>janeiro</v>
      </c>
      <c r="D714">
        <v>34</v>
      </c>
      <c r="E714" t="s">
        <v>58</v>
      </c>
      <c r="F714" t="s">
        <v>55</v>
      </c>
      <c r="G714" s="8">
        <v>31</v>
      </c>
      <c r="H714" s="2">
        <v>119</v>
      </c>
      <c r="I714" s="2">
        <v>3689</v>
      </c>
      <c r="J714" s="4">
        <v>0.12</v>
      </c>
      <c r="K714" s="2">
        <v>3246.32</v>
      </c>
      <c r="L714" s="2">
        <f t="shared" si="34"/>
        <v>442.67999999999984</v>
      </c>
      <c r="M714" s="1">
        <v>44233</v>
      </c>
      <c r="N714" s="1">
        <v>44233</v>
      </c>
      <c r="O714">
        <v>713</v>
      </c>
      <c r="P714">
        <v>6</v>
      </c>
      <c r="Q714" t="s">
        <v>52</v>
      </c>
      <c r="R714" s="3">
        <v>0.09</v>
      </c>
      <c r="S714" s="2">
        <v>292.16879999999998</v>
      </c>
      <c r="T714">
        <v>6</v>
      </c>
      <c r="U714" t="str">
        <f t="shared" si="35"/>
        <v>Janeiro</v>
      </c>
    </row>
    <row r="715" spans="1:21">
      <c r="A715">
        <v>714</v>
      </c>
      <c r="B715" s="1">
        <v>44218</v>
      </c>
      <c r="C715" s="1" t="str">
        <f t="shared" si="33"/>
        <v>janeiro</v>
      </c>
      <c r="D715">
        <v>51</v>
      </c>
      <c r="E715" t="s">
        <v>53</v>
      </c>
      <c r="F715" t="s">
        <v>46</v>
      </c>
      <c r="G715" s="8">
        <v>15</v>
      </c>
      <c r="H715" s="2">
        <v>116</v>
      </c>
      <c r="I715" s="2">
        <v>1740</v>
      </c>
      <c r="J715" s="4">
        <v>0.15</v>
      </c>
      <c r="K715" s="2">
        <v>1479</v>
      </c>
      <c r="L715" s="2">
        <f t="shared" si="34"/>
        <v>261</v>
      </c>
      <c r="M715" s="1">
        <v>44233</v>
      </c>
      <c r="N715" s="1">
        <v>44233</v>
      </c>
      <c r="O715">
        <v>714</v>
      </c>
      <c r="P715">
        <v>6</v>
      </c>
      <c r="Q715" t="s">
        <v>34</v>
      </c>
      <c r="R715" s="3">
        <v>0.06</v>
      </c>
      <c r="S715" s="2">
        <v>88.74</v>
      </c>
      <c r="T715">
        <v>7</v>
      </c>
      <c r="U715" t="str">
        <f t="shared" si="35"/>
        <v>Janeiro</v>
      </c>
    </row>
    <row r="716" spans="1:21">
      <c r="A716">
        <v>715</v>
      </c>
      <c r="B716" s="1">
        <v>44219</v>
      </c>
      <c r="C716" s="1" t="str">
        <f t="shared" si="33"/>
        <v>janeiro</v>
      </c>
      <c r="D716">
        <v>41</v>
      </c>
      <c r="E716" t="s">
        <v>68</v>
      </c>
      <c r="F716" t="s">
        <v>46</v>
      </c>
      <c r="G716" s="8">
        <v>11</v>
      </c>
      <c r="H716" s="2">
        <v>90</v>
      </c>
      <c r="I716" s="2">
        <v>990</v>
      </c>
      <c r="J716" s="4">
        <v>0.09</v>
      </c>
      <c r="K716" s="2">
        <v>900.9</v>
      </c>
      <c r="L716" s="2">
        <f t="shared" si="34"/>
        <v>89.100000000000023</v>
      </c>
      <c r="M716" s="1">
        <v>44229</v>
      </c>
      <c r="N716" s="1">
        <v>44229</v>
      </c>
      <c r="O716">
        <v>715</v>
      </c>
      <c r="P716">
        <v>5</v>
      </c>
      <c r="Q716" t="s">
        <v>32</v>
      </c>
      <c r="R716" s="3">
        <v>0.1</v>
      </c>
      <c r="S716" s="2">
        <v>90.09</v>
      </c>
      <c r="T716">
        <v>1</v>
      </c>
      <c r="U716" t="str">
        <f t="shared" si="35"/>
        <v>Janeiro</v>
      </c>
    </row>
    <row r="717" spans="1:21">
      <c r="A717">
        <v>716</v>
      </c>
      <c r="B717" s="1">
        <v>44219</v>
      </c>
      <c r="C717" s="1" t="str">
        <f t="shared" si="33"/>
        <v>janeiro</v>
      </c>
      <c r="D717">
        <v>89</v>
      </c>
      <c r="E717" t="s">
        <v>49</v>
      </c>
      <c r="F717" t="s">
        <v>59</v>
      </c>
      <c r="G717" s="8">
        <v>26</v>
      </c>
      <c r="H717" s="2">
        <v>116</v>
      </c>
      <c r="I717" s="2">
        <v>3016</v>
      </c>
      <c r="J717" s="4">
        <v>0.03</v>
      </c>
      <c r="K717" s="2">
        <v>2925.52</v>
      </c>
      <c r="L717" s="2">
        <f t="shared" si="34"/>
        <v>90.480000000000018</v>
      </c>
      <c r="M717" s="1">
        <v>44225</v>
      </c>
      <c r="N717" s="1">
        <v>44225</v>
      </c>
      <c r="O717">
        <v>716</v>
      </c>
      <c r="P717">
        <v>4</v>
      </c>
      <c r="Q717" t="s">
        <v>32</v>
      </c>
      <c r="R717" s="3">
        <v>0.1</v>
      </c>
      <c r="S717" s="2">
        <v>292.55200000000002</v>
      </c>
      <c r="T717">
        <v>2</v>
      </c>
      <c r="U717" t="str">
        <f t="shared" si="35"/>
        <v>Janeiro</v>
      </c>
    </row>
    <row r="718" spans="1:21">
      <c r="A718">
        <v>717</v>
      </c>
      <c r="B718" s="1">
        <v>44220</v>
      </c>
      <c r="C718" s="1" t="str">
        <f t="shared" si="33"/>
        <v>janeiro</v>
      </c>
      <c r="D718">
        <v>61</v>
      </c>
      <c r="E718" t="s">
        <v>56</v>
      </c>
      <c r="F718" t="s">
        <v>28</v>
      </c>
      <c r="G718" s="8">
        <v>29</v>
      </c>
      <c r="H718" s="2">
        <v>97</v>
      </c>
      <c r="I718" s="2">
        <v>2813</v>
      </c>
      <c r="J718" s="4">
        <v>0</v>
      </c>
      <c r="K718" s="2">
        <v>2813</v>
      </c>
      <c r="L718" s="2">
        <f t="shared" si="34"/>
        <v>0</v>
      </c>
      <c r="M718" s="1">
        <v>44235</v>
      </c>
      <c r="N718" s="1">
        <v>44235</v>
      </c>
      <c r="O718">
        <v>717</v>
      </c>
      <c r="P718">
        <v>1</v>
      </c>
      <c r="Q718" t="s">
        <v>22</v>
      </c>
      <c r="R718" s="3">
        <v>0.06</v>
      </c>
      <c r="S718" s="2">
        <v>168.78</v>
      </c>
      <c r="T718">
        <v>3</v>
      </c>
      <c r="U718" t="str">
        <f t="shared" si="35"/>
        <v>Janeiro</v>
      </c>
    </row>
    <row r="719" spans="1:21">
      <c r="A719">
        <v>718</v>
      </c>
      <c r="B719" s="1">
        <v>44221</v>
      </c>
      <c r="C719" s="1" t="str">
        <f t="shared" si="33"/>
        <v>janeiro</v>
      </c>
      <c r="D719">
        <v>83</v>
      </c>
      <c r="E719" t="s">
        <v>100</v>
      </c>
      <c r="F719" t="s">
        <v>21</v>
      </c>
      <c r="G719" s="8">
        <v>16</v>
      </c>
      <c r="H719" s="2">
        <v>92</v>
      </c>
      <c r="I719" s="2">
        <v>1472</v>
      </c>
      <c r="J719" s="4">
        <v>0.04</v>
      </c>
      <c r="K719" s="2">
        <v>1413.12</v>
      </c>
      <c r="L719" s="2">
        <f t="shared" si="34"/>
        <v>58.880000000000109</v>
      </c>
      <c r="M719" s="1">
        <v>44229</v>
      </c>
      <c r="N719" s="1">
        <v>44229</v>
      </c>
      <c r="O719">
        <v>718</v>
      </c>
      <c r="P719">
        <v>1</v>
      </c>
      <c r="Q719" t="s">
        <v>37</v>
      </c>
      <c r="R719" s="3">
        <v>0.08</v>
      </c>
      <c r="S719" s="2">
        <v>113.0496</v>
      </c>
      <c r="T719">
        <v>4</v>
      </c>
      <c r="U719" t="str">
        <f t="shared" si="35"/>
        <v>Janeiro</v>
      </c>
    </row>
    <row r="720" spans="1:21">
      <c r="A720">
        <v>719</v>
      </c>
      <c r="B720" s="1">
        <v>44222</v>
      </c>
      <c r="C720" s="1" t="str">
        <f t="shared" si="33"/>
        <v>janeiro</v>
      </c>
      <c r="D720">
        <v>30</v>
      </c>
      <c r="E720" t="s">
        <v>96</v>
      </c>
      <c r="F720" t="s">
        <v>31</v>
      </c>
      <c r="G720" s="8">
        <v>23</v>
      </c>
      <c r="H720" s="2">
        <v>109</v>
      </c>
      <c r="I720" s="2">
        <v>2507</v>
      </c>
      <c r="J720" s="4">
        <v>0.04</v>
      </c>
      <c r="K720" s="2">
        <v>2406.7199999999998</v>
      </c>
      <c r="L720" s="2">
        <f t="shared" si="34"/>
        <v>100.2800000000002</v>
      </c>
      <c r="M720" s="1">
        <v>44239</v>
      </c>
      <c r="N720" s="1">
        <v>44239</v>
      </c>
      <c r="O720">
        <v>719</v>
      </c>
      <c r="P720">
        <v>4</v>
      </c>
      <c r="Q720" t="s">
        <v>52</v>
      </c>
      <c r="R720" s="3">
        <v>0.1</v>
      </c>
      <c r="S720" s="2">
        <v>240.672</v>
      </c>
      <c r="T720">
        <v>5</v>
      </c>
      <c r="U720" t="str">
        <f t="shared" si="35"/>
        <v>Janeiro</v>
      </c>
    </row>
    <row r="721" spans="1:21">
      <c r="A721">
        <v>720</v>
      </c>
      <c r="B721" s="1">
        <v>44222</v>
      </c>
      <c r="C721" s="1" t="str">
        <f t="shared" si="33"/>
        <v>janeiro</v>
      </c>
      <c r="D721">
        <v>93</v>
      </c>
      <c r="E721" t="s">
        <v>33</v>
      </c>
      <c r="F721" t="s">
        <v>28</v>
      </c>
      <c r="G721" s="8">
        <v>50</v>
      </c>
      <c r="H721" s="2">
        <v>120</v>
      </c>
      <c r="I721" s="2">
        <v>6000</v>
      </c>
      <c r="J721" s="4">
        <v>0.08</v>
      </c>
      <c r="K721" s="2">
        <v>5520</v>
      </c>
      <c r="L721" s="2">
        <f t="shared" si="34"/>
        <v>480</v>
      </c>
      <c r="M721" s="1">
        <v>44243</v>
      </c>
      <c r="N721" s="1">
        <v>44243</v>
      </c>
      <c r="O721">
        <v>720</v>
      </c>
      <c r="P721">
        <v>1</v>
      </c>
      <c r="Q721" t="s">
        <v>52</v>
      </c>
      <c r="R721" s="3">
        <v>0.1</v>
      </c>
      <c r="S721" s="2">
        <v>552</v>
      </c>
      <c r="T721">
        <v>6</v>
      </c>
      <c r="U721" t="str">
        <f t="shared" si="35"/>
        <v>Janeiro</v>
      </c>
    </row>
    <row r="722" spans="1:21">
      <c r="A722">
        <v>721</v>
      </c>
      <c r="B722" s="1">
        <v>44223</v>
      </c>
      <c r="C722" s="1" t="str">
        <f t="shared" si="33"/>
        <v>janeiro</v>
      </c>
      <c r="D722">
        <v>38</v>
      </c>
      <c r="E722" t="s">
        <v>73</v>
      </c>
      <c r="F722" t="s">
        <v>59</v>
      </c>
      <c r="G722" s="8">
        <v>37</v>
      </c>
      <c r="H722" s="2">
        <v>109</v>
      </c>
      <c r="I722" s="2">
        <v>4033</v>
      </c>
      <c r="J722" s="4">
        <v>0.05</v>
      </c>
      <c r="K722" s="2">
        <v>3831.35</v>
      </c>
      <c r="L722" s="2">
        <f t="shared" si="34"/>
        <v>201.65000000000009</v>
      </c>
      <c r="M722" s="1">
        <v>44225</v>
      </c>
      <c r="N722" s="1">
        <v>44225</v>
      </c>
      <c r="O722">
        <v>721</v>
      </c>
      <c r="P722">
        <v>5</v>
      </c>
      <c r="Q722" t="s">
        <v>37</v>
      </c>
      <c r="R722" s="3">
        <v>0.05</v>
      </c>
      <c r="S722" s="2">
        <v>191.5675</v>
      </c>
      <c r="T722">
        <v>7</v>
      </c>
      <c r="U722" t="str">
        <f t="shared" si="35"/>
        <v>Janeiro</v>
      </c>
    </row>
    <row r="723" spans="1:21">
      <c r="A723">
        <v>722</v>
      </c>
      <c r="B723" s="1">
        <v>44223</v>
      </c>
      <c r="C723" s="1" t="str">
        <f t="shared" si="33"/>
        <v>janeiro</v>
      </c>
      <c r="D723">
        <v>95</v>
      </c>
      <c r="E723" t="s">
        <v>38</v>
      </c>
      <c r="F723" t="s">
        <v>21</v>
      </c>
      <c r="G723" s="8">
        <v>23</v>
      </c>
      <c r="H723" s="2">
        <v>108</v>
      </c>
      <c r="I723" s="2">
        <v>2484</v>
      </c>
      <c r="J723" s="4">
        <v>0.01</v>
      </c>
      <c r="K723" s="2">
        <v>2459.16</v>
      </c>
      <c r="L723" s="2">
        <f t="shared" si="34"/>
        <v>24.840000000000146</v>
      </c>
      <c r="M723" s="1">
        <v>44244</v>
      </c>
      <c r="N723" s="1">
        <v>44244</v>
      </c>
      <c r="O723">
        <v>722</v>
      </c>
      <c r="P723">
        <v>2</v>
      </c>
      <c r="Q723" t="s">
        <v>34</v>
      </c>
      <c r="R723" s="3">
        <v>0.05</v>
      </c>
      <c r="S723" s="2">
        <v>122.958</v>
      </c>
      <c r="T723">
        <v>1</v>
      </c>
      <c r="U723" t="str">
        <f t="shared" si="35"/>
        <v>Janeiro</v>
      </c>
    </row>
    <row r="724" spans="1:21">
      <c r="A724">
        <v>723</v>
      </c>
      <c r="B724" s="1">
        <v>44224</v>
      </c>
      <c r="C724" s="1" t="str">
        <f t="shared" si="33"/>
        <v>janeiro</v>
      </c>
      <c r="D724">
        <v>81</v>
      </c>
      <c r="E724" t="s">
        <v>103</v>
      </c>
      <c r="F724" t="s">
        <v>24</v>
      </c>
      <c r="G724" s="8">
        <v>11</v>
      </c>
      <c r="H724" s="2">
        <v>91</v>
      </c>
      <c r="I724" s="2">
        <v>1001</v>
      </c>
      <c r="J724" s="4">
        <v>0.04</v>
      </c>
      <c r="K724" s="2">
        <v>960.96</v>
      </c>
      <c r="L724" s="2">
        <f t="shared" si="34"/>
        <v>40.039999999999964</v>
      </c>
      <c r="M724" s="1">
        <v>44250</v>
      </c>
      <c r="N724" s="1">
        <v>44250</v>
      </c>
      <c r="O724">
        <v>723</v>
      </c>
      <c r="P724">
        <v>3</v>
      </c>
      <c r="Q724" t="s">
        <v>52</v>
      </c>
      <c r="R724" s="3">
        <v>0.08</v>
      </c>
      <c r="S724" s="2">
        <v>76.876800000000003</v>
      </c>
      <c r="T724">
        <v>2</v>
      </c>
      <c r="U724" t="str">
        <f t="shared" si="35"/>
        <v>Janeiro</v>
      </c>
    </row>
    <row r="725" spans="1:21">
      <c r="A725">
        <v>724</v>
      </c>
      <c r="B725" s="1">
        <v>44226</v>
      </c>
      <c r="C725" s="1" t="str">
        <f t="shared" si="33"/>
        <v>janeiro</v>
      </c>
      <c r="D725">
        <v>84</v>
      </c>
      <c r="E725" t="s">
        <v>44</v>
      </c>
      <c r="F725" t="s">
        <v>24</v>
      </c>
      <c r="G725" s="8">
        <v>16</v>
      </c>
      <c r="H725" s="2">
        <v>119</v>
      </c>
      <c r="I725" s="2">
        <v>1904</v>
      </c>
      <c r="J725" s="4">
        <v>0.08</v>
      </c>
      <c r="K725" s="2">
        <v>1751.68</v>
      </c>
      <c r="L725" s="2">
        <f t="shared" si="34"/>
        <v>152.31999999999994</v>
      </c>
      <c r="M725" s="1">
        <v>44253</v>
      </c>
      <c r="N725" s="1">
        <v>44253</v>
      </c>
      <c r="O725">
        <v>724</v>
      </c>
      <c r="P725">
        <v>3</v>
      </c>
      <c r="Q725" t="s">
        <v>29</v>
      </c>
      <c r="R725" s="3">
        <v>0.06</v>
      </c>
      <c r="S725" s="2">
        <v>105.10080000000001</v>
      </c>
      <c r="T725">
        <v>3</v>
      </c>
      <c r="U725" t="str">
        <f t="shared" si="35"/>
        <v>Janeiro</v>
      </c>
    </row>
    <row r="726" spans="1:21">
      <c r="A726">
        <v>725</v>
      </c>
      <c r="B726" s="1">
        <v>44226</v>
      </c>
      <c r="C726" s="1" t="str">
        <f t="shared" si="33"/>
        <v>janeiro</v>
      </c>
      <c r="D726">
        <v>96</v>
      </c>
      <c r="E726" t="s">
        <v>42</v>
      </c>
      <c r="F726" t="s">
        <v>21</v>
      </c>
      <c r="G726" s="8">
        <v>13</v>
      </c>
      <c r="H726" s="2">
        <v>107</v>
      </c>
      <c r="I726" s="2">
        <v>1391</v>
      </c>
      <c r="J726" s="4">
        <v>0.14000000000000001</v>
      </c>
      <c r="K726" s="2">
        <v>1196.26</v>
      </c>
      <c r="L726" s="2">
        <f t="shared" si="34"/>
        <v>194.74</v>
      </c>
      <c r="M726" s="1">
        <v>44230</v>
      </c>
      <c r="N726" s="1">
        <v>44230</v>
      </c>
      <c r="O726">
        <v>725</v>
      </c>
      <c r="P726">
        <v>7</v>
      </c>
      <c r="Q726" t="s">
        <v>37</v>
      </c>
      <c r="R726" s="3">
        <v>0.09</v>
      </c>
      <c r="S726" s="2">
        <v>107.6634</v>
      </c>
      <c r="T726">
        <v>4</v>
      </c>
      <c r="U726" t="str">
        <f t="shared" si="35"/>
        <v>Janeiro</v>
      </c>
    </row>
    <row r="727" spans="1:21">
      <c r="A727">
        <v>726</v>
      </c>
      <c r="B727" s="1">
        <v>44228</v>
      </c>
      <c r="C727" s="1" t="str">
        <f t="shared" si="33"/>
        <v>fevereiro</v>
      </c>
      <c r="D727">
        <v>18</v>
      </c>
      <c r="E727" t="s">
        <v>83</v>
      </c>
      <c r="F727" t="s">
        <v>21</v>
      </c>
      <c r="G727" s="8">
        <v>43</v>
      </c>
      <c r="H727" s="2">
        <v>90</v>
      </c>
      <c r="I727" s="2">
        <v>3870</v>
      </c>
      <c r="J727" s="4">
        <v>0.06</v>
      </c>
      <c r="K727" s="2">
        <v>3637.8</v>
      </c>
      <c r="L727" s="2">
        <f t="shared" si="34"/>
        <v>232.19999999999982</v>
      </c>
      <c r="M727" s="1">
        <v>44253</v>
      </c>
      <c r="N727" s="1">
        <v>44253</v>
      </c>
      <c r="O727">
        <v>726</v>
      </c>
      <c r="P727">
        <v>3</v>
      </c>
      <c r="Q727" t="s">
        <v>47</v>
      </c>
      <c r="R727" s="3">
        <v>0.08</v>
      </c>
      <c r="S727" s="2">
        <v>291.024</v>
      </c>
      <c r="T727">
        <v>5</v>
      </c>
      <c r="U727" t="str">
        <f t="shared" si="35"/>
        <v>Fevereiro</v>
      </c>
    </row>
    <row r="728" spans="1:21">
      <c r="A728">
        <v>727</v>
      </c>
      <c r="B728" s="1">
        <v>44228</v>
      </c>
      <c r="C728" s="1" t="str">
        <f t="shared" si="33"/>
        <v>fevereiro</v>
      </c>
      <c r="D728">
        <v>6</v>
      </c>
      <c r="E728" t="s">
        <v>88</v>
      </c>
      <c r="F728" t="s">
        <v>55</v>
      </c>
      <c r="G728" s="8">
        <v>27</v>
      </c>
      <c r="H728" s="2">
        <v>97</v>
      </c>
      <c r="I728" s="2">
        <v>2619</v>
      </c>
      <c r="J728" s="4">
        <v>0.02</v>
      </c>
      <c r="K728" s="2">
        <v>2566.62</v>
      </c>
      <c r="L728" s="2">
        <f t="shared" si="34"/>
        <v>52.380000000000109</v>
      </c>
      <c r="M728" s="1">
        <v>44256</v>
      </c>
      <c r="N728" s="1">
        <v>44256</v>
      </c>
      <c r="O728">
        <v>727</v>
      </c>
      <c r="P728">
        <v>6</v>
      </c>
      <c r="Q728" t="s">
        <v>52</v>
      </c>
      <c r="R728" s="3">
        <v>0.08</v>
      </c>
      <c r="S728" s="2">
        <v>205.3296</v>
      </c>
      <c r="T728">
        <v>6</v>
      </c>
      <c r="U728" t="str">
        <f t="shared" si="35"/>
        <v>Fevereiro</v>
      </c>
    </row>
    <row r="729" spans="1:21">
      <c r="A729">
        <v>728</v>
      </c>
      <c r="B729" s="1">
        <v>44228</v>
      </c>
      <c r="C729" s="1" t="str">
        <f t="shared" si="33"/>
        <v>fevereiro</v>
      </c>
      <c r="D729">
        <v>76</v>
      </c>
      <c r="E729" t="s">
        <v>104</v>
      </c>
      <c r="F729" t="s">
        <v>46</v>
      </c>
      <c r="G729" s="8">
        <v>34</v>
      </c>
      <c r="H729" s="2">
        <v>120</v>
      </c>
      <c r="I729" s="2">
        <v>4080</v>
      </c>
      <c r="J729" s="4">
        <v>0.02</v>
      </c>
      <c r="K729" s="2">
        <v>3998.4</v>
      </c>
      <c r="L729" s="2">
        <f t="shared" si="34"/>
        <v>81.599999999999909</v>
      </c>
      <c r="M729" s="1">
        <v>44231</v>
      </c>
      <c r="N729" s="1">
        <v>44231</v>
      </c>
      <c r="O729">
        <v>728</v>
      </c>
      <c r="P729">
        <v>7</v>
      </c>
      <c r="Q729" t="s">
        <v>34</v>
      </c>
      <c r="R729" s="3">
        <v>0.09</v>
      </c>
      <c r="S729" s="2">
        <v>359.85599999999999</v>
      </c>
      <c r="T729">
        <v>7</v>
      </c>
      <c r="U729" t="str">
        <f t="shared" si="35"/>
        <v>Fevereiro</v>
      </c>
    </row>
    <row r="730" spans="1:21">
      <c r="A730">
        <v>729</v>
      </c>
      <c r="B730" s="1">
        <v>44230</v>
      </c>
      <c r="C730" s="1" t="str">
        <f t="shared" si="33"/>
        <v>fevereiro</v>
      </c>
      <c r="D730">
        <v>32</v>
      </c>
      <c r="E730" t="s">
        <v>77</v>
      </c>
      <c r="F730" t="s">
        <v>28</v>
      </c>
      <c r="G730" s="8">
        <v>46</v>
      </c>
      <c r="H730" s="2">
        <v>93</v>
      </c>
      <c r="I730" s="2">
        <v>4278</v>
      </c>
      <c r="J730" s="4">
        <v>0</v>
      </c>
      <c r="K730" s="2">
        <v>4278</v>
      </c>
      <c r="L730" s="2">
        <f t="shared" si="34"/>
        <v>0</v>
      </c>
      <c r="M730" s="1">
        <v>44255</v>
      </c>
      <c r="N730" s="1">
        <v>44255</v>
      </c>
      <c r="O730">
        <v>729</v>
      </c>
      <c r="P730">
        <v>6</v>
      </c>
      <c r="Q730" t="s">
        <v>22</v>
      </c>
      <c r="R730" s="3">
        <v>0.09</v>
      </c>
      <c r="S730" s="2">
        <v>385.02</v>
      </c>
      <c r="T730">
        <v>1</v>
      </c>
      <c r="U730" t="str">
        <f t="shared" si="35"/>
        <v>Fevereiro</v>
      </c>
    </row>
    <row r="731" spans="1:21">
      <c r="A731">
        <v>730</v>
      </c>
      <c r="B731" s="1">
        <v>44230</v>
      </c>
      <c r="C731" s="1" t="str">
        <f t="shared" si="33"/>
        <v>fevereiro</v>
      </c>
      <c r="D731">
        <v>5</v>
      </c>
      <c r="E731" t="s">
        <v>38</v>
      </c>
      <c r="F731" t="s">
        <v>46</v>
      </c>
      <c r="G731" s="8">
        <v>45</v>
      </c>
      <c r="H731" s="2">
        <v>91</v>
      </c>
      <c r="I731" s="2">
        <v>4095</v>
      </c>
      <c r="J731" s="4">
        <v>0.03</v>
      </c>
      <c r="K731" s="2">
        <v>3972.15</v>
      </c>
      <c r="L731" s="2">
        <f t="shared" si="34"/>
        <v>122.84999999999991</v>
      </c>
      <c r="M731" s="1">
        <v>44253</v>
      </c>
      <c r="N731" s="1">
        <v>44253</v>
      </c>
      <c r="O731">
        <v>730</v>
      </c>
      <c r="P731">
        <v>5</v>
      </c>
      <c r="Q731" t="s">
        <v>69</v>
      </c>
      <c r="R731" s="3">
        <v>7.0000000000000007E-2</v>
      </c>
      <c r="S731" s="2">
        <v>278.05050000000006</v>
      </c>
      <c r="T731">
        <v>2</v>
      </c>
      <c r="U731" t="str">
        <f t="shared" si="35"/>
        <v>Fevereiro</v>
      </c>
    </row>
    <row r="732" spans="1:21">
      <c r="A732">
        <v>731</v>
      </c>
      <c r="B732" s="1">
        <v>44232</v>
      </c>
      <c r="C732" s="1" t="str">
        <f t="shared" si="33"/>
        <v>fevereiro</v>
      </c>
      <c r="D732">
        <v>31</v>
      </c>
      <c r="E732" t="s">
        <v>85</v>
      </c>
      <c r="F732" t="s">
        <v>41</v>
      </c>
      <c r="G732" s="8">
        <v>50</v>
      </c>
      <c r="H732" s="2">
        <v>104</v>
      </c>
      <c r="I732" s="2">
        <v>5200</v>
      </c>
      <c r="J732" s="4">
        <v>0.15</v>
      </c>
      <c r="K732" s="2">
        <v>4420</v>
      </c>
      <c r="L732" s="2">
        <f t="shared" si="34"/>
        <v>780</v>
      </c>
      <c r="M732" s="1">
        <v>44252</v>
      </c>
      <c r="N732" s="1">
        <v>44252</v>
      </c>
      <c r="O732">
        <v>731</v>
      </c>
      <c r="P732">
        <v>7</v>
      </c>
      <c r="Q732" t="s">
        <v>47</v>
      </c>
      <c r="R732" s="3">
        <v>0.06</v>
      </c>
      <c r="S732" s="2">
        <v>265.2</v>
      </c>
      <c r="T732">
        <v>3</v>
      </c>
      <c r="U732" t="str">
        <f t="shared" si="35"/>
        <v>Fevereiro</v>
      </c>
    </row>
    <row r="733" spans="1:21">
      <c r="A733">
        <v>732</v>
      </c>
      <c r="B733" s="1">
        <v>44232</v>
      </c>
      <c r="C733" s="1" t="str">
        <f t="shared" si="33"/>
        <v>fevereiro</v>
      </c>
      <c r="D733">
        <v>72</v>
      </c>
      <c r="E733" t="s">
        <v>38</v>
      </c>
      <c r="F733" t="s">
        <v>21</v>
      </c>
      <c r="G733" s="8">
        <v>32</v>
      </c>
      <c r="H733" s="2">
        <v>99</v>
      </c>
      <c r="I733" s="2">
        <v>3168</v>
      </c>
      <c r="J733" s="4">
        <v>7.0000000000000007E-2</v>
      </c>
      <c r="K733" s="2">
        <v>2946.24</v>
      </c>
      <c r="L733" s="2">
        <f t="shared" si="34"/>
        <v>221.76000000000022</v>
      </c>
      <c r="M733" s="1">
        <v>44249</v>
      </c>
      <c r="N733" s="1">
        <v>44249</v>
      </c>
      <c r="O733">
        <v>732</v>
      </c>
      <c r="P733">
        <v>5</v>
      </c>
      <c r="Q733" t="s">
        <v>25</v>
      </c>
      <c r="R733" s="3">
        <v>7.0000000000000007E-2</v>
      </c>
      <c r="S733" s="2">
        <v>206.23680000000002</v>
      </c>
      <c r="T733">
        <v>4</v>
      </c>
      <c r="U733" t="str">
        <f t="shared" si="35"/>
        <v>Fevereiro</v>
      </c>
    </row>
    <row r="734" spans="1:21">
      <c r="A734">
        <v>733</v>
      </c>
      <c r="B734" s="1">
        <v>44232</v>
      </c>
      <c r="C734" s="1" t="str">
        <f t="shared" si="33"/>
        <v>fevereiro</v>
      </c>
      <c r="D734">
        <v>55</v>
      </c>
      <c r="E734" t="s">
        <v>44</v>
      </c>
      <c r="F734" t="s">
        <v>50</v>
      </c>
      <c r="G734" s="8">
        <v>19</v>
      </c>
      <c r="H734" s="2">
        <v>111</v>
      </c>
      <c r="I734" s="2">
        <v>2109</v>
      </c>
      <c r="J734" s="4">
        <v>0.02</v>
      </c>
      <c r="K734" s="2">
        <v>2066.8200000000002</v>
      </c>
      <c r="L734" s="2">
        <f t="shared" si="34"/>
        <v>42.179999999999836</v>
      </c>
      <c r="M734" s="1">
        <v>44248</v>
      </c>
      <c r="N734" s="1">
        <v>44248</v>
      </c>
      <c r="O734">
        <v>733</v>
      </c>
      <c r="P734">
        <v>4</v>
      </c>
      <c r="Q734" t="s">
        <v>43</v>
      </c>
      <c r="R734" s="3">
        <v>0.06</v>
      </c>
      <c r="S734" s="2">
        <v>124.00920000000001</v>
      </c>
      <c r="T734">
        <v>5</v>
      </c>
      <c r="U734" t="str">
        <f t="shared" si="35"/>
        <v>Fevereiro</v>
      </c>
    </row>
    <row r="735" spans="1:21">
      <c r="A735">
        <v>734</v>
      </c>
      <c r="B735" s="1">
        <v>44232</v>
      </c>
      <c r="C735" s="1" t="str">
        <f t="shared" si="33"/>
        <v>fevereiro</v>
      </c>
      <c r="D735">
        <v>7</v>
      </c>
      <c r="E735" t="s">
        <v>102</v>
      </c>
      <c r="F735" t="s">
        <v>50</v>
      </c>
      <c r="G735" s="8">
        <v>25</v>
      </c>
      <c r="H735" s="2">
        <v>107</v>
      </c>
      <c r="I735" s="2">
        <v>2675</v>
      </c>
      <c r="J735" s="4">
        <v>0.02</v>
      </c>
      <c r="K735" s="2">
        <v>2621.5</v>
      </c>
      <c r="L735" s="2">
        <f t="shared" si="34"/>
        <v>53.5</v>
      </c>
      <c r="M735" s="1">
        <v>44259</v>
      </c>
      <c r="N735" s="1">
        <v>44259</v>
      </c>
      <c r="O735">
        <v>734</v>
      </c>
      <c r="P735">
        <v>6</v>
      </c>
      <c r="Q735" t="s">
        <v>47</v>
      </c>
      <c r="R735" s="3">
        <v>0.06</v>
      </c>
      <c r="S735" s="2">
        <v>157.29</v>
      </c>
      <c r="T735">
        <v>6</v>
      </c>
      <c r="U735" t="str">
        <f t="shared" si="35"/>
        <v>Fevereiro</v>
      </c>
    </row>
    <row r="736" spans="1:21">
      <c r="A736">
        <v>735</v>
      </c>
      <c r="B736" s="1">
        <v>44233</v>
      </c>
      <c r="C736" s="1" t="str">
        <f t="shared" si="33"/>
        <v>fevereiro</v>
      </c>
      <c r="D736">
        <v>19</v>
      </c>
      <c r="E736" t="s">
        <v>38</v>
      </c>
      <c r="F736" t="s">
        <v>50</v>
      </c>
      <c r="G736" s="8">
        <v>20</v>
      </c>
      <c r="H736" s="2">
        <v>107</v>
      </c>
      <c r="I736" s="2">
        <v>2140</v>
      </c>
      <c r="J736" s="4">
        <v>0.05</v>
      </c>
      <c r="K736" s="2">
        <v>2033</v>
      </c>
      <c r="L736" s="2">
        <f t="shared" si="34"/>
        <v>107</v>
      </c>
      <c r="M736" s="1">
        <v>44241</v>
      </c>
      <c r="N736" s="1">
        <v>44241</v>
      </c>
      <c r="O736">
        <v>735</v>
      </c>
      <c r="P736">
        <v>2</v>
      </c>
      <c r="Q736" t="s">
        <v>22</v>
      </c>
      <c r="R736" s="3">
        <v>0.09</v>
      </c>
      <c r="S736" s="2">
        <v>182.97</v>
      </c>
      <c r="T736">
        <v>7</v>
      </c>
      <c r="U736" t="str">
        <f t="shared" si="35"/>
        <v>Fevereiro</v>
      </c>
    </row>
    <row r="737" spans="1:21">
      <c r="A737">
        <v>736</v>
      </c>
      <c r="B737" s="1">
        <v>44233</v>
      </c>
      <c r="C737" s="1" t="str">
        <f t="shared" si="33"/>
        <v>fevereiro</v>
      </c>
      <c r="D737">
        <v>7</v>
      </c>
      <c r="E737" t="s">
        <v>102</v>
      </c>
      <c r="F737" t="s">
        <v>31</v>
      </c>
      <c r="G737" s="8">
        <v>27</v>
      </c>
      <c r="H737" s="2">
        <v>112</v>
      </c>
      <c r="I737" s="2">
        <v>3024</v>
      </c>
      <c r="J737" s="4">
        <v>0.04</v>
      </c>
      <c r="K737" s="2">
        <v>2903.04</v>
      </c>
      <c r="L737" s="2">
        <f t="shared" si="34"/>
        <v>120.96000000000004</v>
      </c>
      <c r="M737" s="1">
        <v>44233</v>
      </c>
      <c r="N737" s="1">
        <v>44233</v>
      </c>
      <c r="O737">
        <v>736</v>
      </c>
      <c r="P737">
        <v>1</v>
      </c>
      <c r="Q737" t="s">
        <v>52</v>
      </c>
      <c r="R737" s="3">
        <v>0.09</v>
      </c>
      <c r="S737" s="2">
        <v>261.27359999999999</v>
      </c>
      <c r="T737">
        <v>1</v>
      </c>
      <c r="U737" t="str">
        <f t="shared" si="35"/>
        <v>Fevereiro</v>
      </c>
    </row>
    <row r="738" spans="1:21">
      <c r="A738">
        <v>737</v>
      </c>
      <c r="B738" s="1">
        <v>44233</v>
      </c>
      <c r="C738" s="1" t="str">
        <f t="shared" si="33"/>
        <v>fevereiro</v>
      </c>
      <c r="D738">
        <v>47</v>
      </c>
      <c r="E738" t="s">
        <v>40</v>
      </c>
      <c r="F738" t="s">
        <v>54</v>
      </c>
      <c r="G738" s="8">
        <v>28</v>
      </c>
      <c r="H738" s="2">
        <v>113</v>
      </c>
      <c r="I738" s="2">
        <v>3164</v>
      </c>
      <c r="J738" s="4">
        <v>0.04</v>
      </c>
      <c r="K738" s="2">
        <v>3037.44</v>
      </c>
      <c r="L738" s="2">
        <f t="shared" si="34"/>
        <v>126.55999999999995</v>
      </c>
      <c r="M738" s="1">
        <v>44233</v>
      </c>
      <c r="N738" s="1">
        <v>44233</v>
      </c>
      <c r="O738">
        <v>737</v>
      </c>
      <c r="P738">
        <v>6</v>
      </c>
      <c r="Q738" t="s">
        <v>37</v>
      </c>
      <c r="R738" s="3">
        <v>0.09</v>
      </c>
      <c r="S738" s="2">
        <v>273.36959999999999</v>
      </c>
      <c r="T738">
        <v>2</v>
      </c>
      <c r="U738" t="str">
        <f t="shared" si="35"/>
        <v>Fevereiro</v>
      </c>
    </row>
    <row r="739" spans="1:21">
      <c r="A739">
        <v>738</v>
      </c>
      <c r="B739" s="1">
        <v>44233</v>
      </c>
      <c r="C739" s="1" t="str">
        <f t="shared" si="33"/>
        <v>fevereiro</v>
      </c>
      <c r="D739">
        <v>48</v>
      </c>
      <c r="E739" t="s">
        <v>61</v>
      </c>
      <c r="F739" t="s">
        <v>54</v>
      </c>
      <c r="G739" s="8">
        <v>33</v>
      </c>
      <c r="H739" s="2">
        <v>110</v>
      </c>
      <c r="I739" s="2">
        <v>3630</v>
      </c>
      <c r="J739" s="4">
        <v>0</v>
      </c>
      <c r="K739" s="2">
        <v>3630</v>
      </c>
      <c r="L739" s="2">
        <f t="shared" si="34"/>
        <v>0</v>
      </c>
      <c r="M739" s="1">
        <v>44255</v>
      </c>
      <c r="N739" s="1">
        <v>44255</v>
      </c>
      <c r="O739">
        <v>738</v>
      </c>
      <c r="P739">
        <v>4</v>
      </c>
      <c r="Q739" t="s">
        <v>69</v>
      </c>
      <c r="R739" s="3">
        <v>7.0000000000000007E-2</v>
      </c>
      <c r="S739" s="2">
        <v>254.10000000000002</v>
      </c>
      <c r="T739">
        <v>3</v>
      </c>
      <c r="U739" t="str">
        <f t="shared" si="35"/>
        <v>Fevereiro</v>
      </c>
    </row>
    <row r="740" spans="1:21">
      <c r="A740">
        <v>739</v>
      </c>
      <c r="B740" s="1">
        <v>44234</v>
      </c>
      <c r="C740" s="1" t="str">
        <f t="shared" si="33"/>
        <v>fevereiro</v>
      </c>
      <c r="D740">
        <v>37</v>
      </c>
      <c r="E740" t="s">
        <v>48</v>
      </c>
      <c r="F740" t="s">
        <v>31</v>
      </c>
      <c r="G740" s="8">
        <v>16</v>
      </c>
      <c r="H740" s="2">
        <v>92</v>
      </c>
      <c r="I740" s="2">
        <v>1472</v>
      </c>
      <c r="J740" s="4">
        <v>0.14000000000000001</v>
      </c>
      <c r="K740" s="2">
        <v>1265.92</v>
      </c>
      <c r="L740" s="2">
        <f t="shared" si="34"/>
        <v>206.07999999999993</v>
      </c>
      <c r="M740" s="1">
        <v>44235</v>
      </c>
      <c r="N740" s="1">
        <v>44235</v>
      </c>
      <c r="O740">
        <v>739</v>
      </c>
      <c r="P740">
        <v>7</v>
      </c>
      <c r="Q740" t="s">
        <v>37</v>
      </c>
      <c r="R740" s="3">
        <v>0.08</v>
      </c>
      <c r="S740" s="2">
        <v>101.2736</v>
      </c>
      <c r="T740">
        <v>4</v>
      </c>
      <c r="U740" t="str">
        <f t="shared" si="35"/>
        <v>Fevereiro</v>
      </c>
    </row>
    <row r="741" spans="1:21">
      <c r="A741">
        <v>740</v>
      </c>
      <c r="B741" s="1">
        <v>44235</v>
      </c>
      <c r="C741" s="1" t="str">
        <f t="shared" si="33"/>
        <v>fevereiro</v>
      </c>
      <c r="D741">
        <v>65</v>
      </c>
      <c r="E741" t="s">
        <v>64</v>
      </c>
      <c r="F741" t="s">
        <v>50</v>
      </c>
      <c r="G741" s="8">
        <v>15</v>
      </c>
      <c r="H741" s="2">
        <v>99</v>
      </c>
      <c r="I741" s="2">
        <v>1485</v>
      </c>
      <c r="J741" s="4">
        <v>0.12</v>
      </c>
      <c r="K741" s="2">
        <v>1306.8</v>
      </c>
      <c r="L741" s="2">
        <f t="shared" si="34"/>
        <v>178.20000000000005</v>
      </c>
      <c r="M741" s="1">
        <v>44250</v>
      </c>
      <c r="N741" s="1">
        <v>44250</v>
      </c>
      <c r="O741">
        <v>740</v>
      </c>
      <c r="P741">
        <v>4</v>
      </c>
      <c r="Q741" t="s">
        <v>34</v>
      </c>
      <c r="R741" s="3">
        <v>0.06</v>
      </c>
      <c r="S741" s="2">
        <v>78.408000000000001</v>
      </c>
      <c r="T741">
        <v>5</v>
      </c>
      <c r="U741" t="str">
        <f t="shared" si="35"/>
        <v>Fevereiro</v>
      </c>
    </row>
    <row r="742" spans="1:21">
      <c r="A742">
        <v>741</v>
      </c>
      <c r="B742" s="1">
        <v>44236</v>
      </c>
      <c r="C742" s="1" t="str">
        <f t="shared" si="33"/>
        <v>fevereiro</v>
      </c>
      <c r="D742">
        <v>7</v>
      </c>
      <c r="E742" t="s">
        <v>102</v>
      </c>
      <c r="F742" t="s">
        <v>46</v>
      </c>
      <c r="G742" s="8">
        <v>44</v>
      </c>
      <c r="H742" s="2">
        <v>101</v>
      </c>
      <c r="I742" s="2">
        <v>4444</v>
      </c>
      <c r="J742" s="4">
        <v>0.08</v>
      </c>
      <c r="K742" s="2">
        <v>4088.48</v>
      </c>
      <c r="L742" s="2">
        <f t="shared" si="34"/>
        <v>355.52</v>
      </c>
      <c r="M742" s="1">
        <v>44263</v>
      </c>
      <c r="N742" s="1">
        <v>44263</v>
      </c>
      <c r="O742">
        <v>741</v>
      </c>
      <c r="P742">
        <v>1</v>
      </c>
      <c r="Q742" t="s">
        <v>22</v>
      </c>
      <c r="R742" s="3">
        <v>0.06</v>
      </c>
      <c r="S742" s="2">
        <v>245.30879999999999</v>
      </c>
      <c r="T742">
        <v>6</v>
      </c>
      <c r="U742" t="str">
        <f t="shared" si="35"/>
        <v>Fevereiro</v>
      </c>
    </row>
    <row r="743" spans="1:21">
      <c r="A743">
        <v>742</v>
      </c>
      <c r="B743" s="1">
        <v>44236</v>
      </c>
      <c r="C743" s="1" t="str">
        <f t="shared" si="33"/>
        <v>fevereiro</v>
      </c>
      <c r="D743">
        <v>28</v>
      </c>
      <c r="E743" t="s">
        <v>86</v>
      </c>
      <c r="F743" t="s">
        <v>28</v>
      </c>
      <c r="G743" s="8">
        <v>30</v>
      </c>
      <c r="H743" s="2">
        <v>119</v>
      </c>
      <c r="I743" s="2">
        <v>3570</v>
      </c>
      <c r="J743" s="4">
        <v>0.15</v>
      </c>
      <c r="K743" s="2">
        <v>3034.5</v>
      </c>
      <c r="L743" s="2">
        <f t="shared" si="34"/>
        <v>535.5</v>
      </c>
      <c r="M743" s="1">
        <v>44265</v>
      </c>
      <c r="N743" s="1">
        <v>44265</v>
      </c>
      <c r="O743">
        <v>742</v>
      </c>
      <c r="P743">
        <v>4</v>
      </c>
      <c r="Q743" t="s">
        <v>29</v>
      </c>
      <c r="R743" s="3">
        <v>7.0000000000000007E-2</v>
      </c>
      <c r="S743" s="2">
        <v>212.41500000000002</v>
      </c>
      <c r="T743">
        <v>7</v>
      </c>
      <c r="U743" t="str">
        <f t="shared" si="35"/>
        <v>Fevereiro</v>
      </c>
    </row>
    <row r="744" spans="1:21">
      <c r="A744">
        <v>743</v>
      </c>
      <c r="B744" s="1">
        <v>44237</v>
      </c>
      <c r="C744" s="1" t="str">
        <f t="shared" si="33"/>
        <v>fevereiro</v>
      </c>
      <c r="D744">
        <v>23</v>
      </c>
      <c r="E744" t="s">
        <v>105</v>
      </c>
      <c r="F744" t="s">
        <v>46</v>
      </c>
      <c r="G744" s="8">
        <v>19</v>
      </c>
      <c r="H744" s="2">
        <v>98</v>
      </c>
      <c r="I744" s="2">
        <v>1862</v>
      </c>
      <c r="J744" s="4">
        <v>0</v>
      </c>
      <c r="K744" s="2">
        <v>1862</v>
      </c>
      <c r="L744" s="2">
        <f t="shared" si="34"/>
        <v>0</v>
      </c>
      <c r="M744" s="1">
        <v>44249</v>
      </c>
      <c r="N744" s="1">
        <v>44249</v>
      </c>
      <c r="O744">
        <v>743</v>
      </c>
      <c r="P744">
        <v>5</v>
      </c>
      <c r="Q744" t="s">
        <v>37</v>
      </c>
      <c r="R744" s="3">
        <v>7.0000000000000007E-2</v>
      </c>
      <c r="S744" s="2">
        <v>130.34</v>
      </c>
      <c r="T744">
        <v>1</v>
      </c>
      <c r="U744" t="str">
        <f t="shared" si="35"/>
        <v>Fevereiro</v>
      </c>
    </row>
    <row r="745" spans="1:21">
      <c r="A745">
        <v>744</v>
      </c>
      <c r="B745" s="1">
        <v>44239</v>
      </c>
      <c r="C745" s="1" t="str">
        <f t="shared" si="33"/>
        <v>fevereiro</v>
      </c>
      <c r="D745">
        <v>29</v>
      </c>
      <c r="E745" t="s">
        <v>98</v>
      </c>
      <c r="F745" t="s">
        <v>50</v>
      </c>
      <c r="G745" s="8">
        <v>49</v>
      </c>
      <c r="H745" s="2">
        <v>92</v>
      </c>
      <c r="I745" s="2">
        <v>4508</v>
      </c>
      <c r="J745" s="4">
        <v>0.02</v>
      </c>
      <c r="K745" s="2">
        <v>4417.84</v>
      </c>
      <c r="L745" s="2">
        <f t="shared" si="34"/>
        <v>90.159999999999854</v>
      </c>
      <c r="M745" s="1">
        <v>44239</v>
      </c>
      <c r="N745" s="1">
        <v>44239</v>
      </c>
      <c r="O745">
        <v>744</v>
      </c>
      <c r="P745">
        <v>5</v>
      </c>
      <c r="Q745" t="s">
        <v>34</v>
      </c>
      <c r="R745" s="3">
        <v>0.08</v>
      </c>
      <c r="S745" s="2">
        <v>353.42720000000003</v>
      </c>
      <c r="T745">
        <v>2</v>
      </c>
      <c r="U745" t="str">
        <f t="shared" si="35"/>
        <v>Fevereiro</v>
      </c>
    </row>
    <row r="746" spans="1:21">
      <c r="A746">
        <v>745</v>
      </c>
      <c r="B746" s="1">
        <v>44240</v>
      </c>
      <c r="C746" s="1" t="str">
        <f t="shared" si="33"/>
        <v>fevereiro</v>
      </c>
      <c r="D746">
        <v>42</v>
      </c>
      <c r="E746" t="s">
        <v>92</v>
      </c>
      <c r="F746" t="s">
        <v>24</v>
      </c>
      <c r="G746" s="8">
        <v>19</v>
      </c>
      <c r="H746" s="2">
        <v>92</v>
      </c>
      <c r="I746" s="2">
        <v>1748</v>
      </c>
      <c r="J746" s="4">
        <v>0.03</v>
      </c>
      <c r="K746" s="2">
        <v>1695.56</v>
      </c>
      <c r="L746" s="2">
        <f t="shared" si="34"/>
        <v>52.440000000000055</v>
      </c>
      <c r="M746" s="1">
        <v>44258</v>
      </c>
      <c r="N746" s="1">
        <v>44258</v>
      </c>
      <c r="O746">
        <v>745</v>
      </c>
      <c r="P746">
        <v>5</v>
      </c>
      <c r="Q746" t="s">
        <v>22</v>
      </c>
      <c r="R746" s="3">
        <v>7.0000000000000007E-2</v>
      </c>
      <c r="S746" s="2">
        <v>118.68920000000001</v>
      </c>
      <c r="T746">
        <v>3</v>
      </c>
      <c r="U746" t="str">
        <f t="shared" si="35"/>
        <v>Fevereiro</v>
      </c>
    </row>
    <row r="747" spans="1:21">
      <c r="A747">
        <v>746</v>
      </c>
      <c r="B747" s="1">
        <v>44241</v>
      </c>
      <c r="C747" s="1" t="str">
        <f t="shared" si="33"/>
        <v>fevereiro</v>
      </c>
      <c r="D747">
        <v>16</v>
      </c>
      <c r="E747" t="s">
        <v>27</v>
      </c>
      <c r="F747" t="s">
        <v>24</v>
      </c>
      <c r="G747" s="8">
        <v>29</v>
      </c>
      <c r="H747" s="2">
        <v>96</v>
      </c>
      <c r="I747" s="2">
        <v>2784</v>
      </c>
      <c r="J747" s="4">
        <v>7.0000000000000007E-2</v>
      </c>
      <c r="K747" s="2">
        <v>2589.12</v>
      </c>
      <c r="L747" s="2">
        <f t="shared" si="34"/>
        <v>194.88000000000011</v>
      </c>
      <c r="M747" s="1">
        <v>44266</v>
      </c>
      <c r="N747" s="1">
        <v>44266</v>
      </c>
      <c r="O747">
        <v>746</v>
      </c>
      <c r="P747">
        <v>5</v>
      </c>
      <c r="Q747" t="s">
        <v>47</v>
      </c>
      <c r="R747" s="3">
        <v>0.08</v>
      </c>
      <c r="S747" s="2">
        <v>207.12959999999998</v>
      </c>
      <c r="T747">
        <v>4</v>
      </c>
      <c r="U747" t="str">
        <f t="shared" si="35"/>
        <v>Fevereiro</v>
      </c>
    </row>
    <row r="748" spans="1:21">
      <c r="A748">
        <v>747</v>
      </c>
      <c r="B748" s="1">
        <v>44241</v>
      </c>
      <c r="C748" s="1" t="str">
        <f t="shared" si="33"/>
        <v>fevereiro</v>
      </c>
      <c r="D748">
        <v>74</v>
      </c>
      <c r="E748" t="s">
        <v>38</v>
      </c>
      <c r="F748" t="s">
        <v>55</v>
      </c>
      <c r="G748" s="8">
        <v>32</v>
      </c>
      <c r="H748" s="2">
        <v>103</v>
      </c>
      <c r="I748" s="2">
        <v>3296</v>
      </c>
      <c r="J748" s="4">
        <v>0.03</v>
      </c>
      <c r="K748" s="2">
        <v>3197.12</v>
      </c>
      <c r="L748" s="2">
        <f t="shared" si="34"/>
        <v>98.880000000000109</v>
      </c>
      <c r="M748" s="1">
        <v>44243</v>
      </c>
      <c r="N748" s="1">
        <v>44243</v>
      </c>
      <c r="O748">
        <v>747</v>
      </c>
      <c r="P748">
        <v>1</v>
      </c>
      <c r="Q748" t="s">
        <v>32</v>
      </c>
      <c r="R748" s="3">
        <v>0.08</v>
      </c>
      <c r="S748" s="2">
        <v>255.7696</v>
      </c>
      <c r="T748">
        <v>5</v>
      </c>
      <c r="U748" t="str">
        <f t="shared" si="35"/>
        <v>Fevereiro</v>
      </c>
    </row>
    <row r="749" spans="1:21">
      <c r="A749">
        <v>748</v>
      </c>
      <c r="B749" s="1">
        <v>44241</v>
      </c>
      <c r="C749" s="1" t="str">
        <f t="shared" si="33"/>
        <v>fevereiro</v>
      </c>
      <c r="D749">
        <v>30</v>
      </c>
      <c r="E749" t="s">
        <v>96</v>
      </c>
      <c r="F749" t="s">
        <v>24</v>
      </c>
      <c r="G749" s="8">
        <v>38</v>
      </c>
      <c r="H749" s="2">
        <v>117</v>
      </c>
      <c r="I749" s="2">
        <v>4446</v>
      </c>
      <c r="J749" s="4">
        <v>0.14000000000000001</v>
      </c>
      <c r="K749" s="2">
        <v>3823.56</v>
      </c>
      <c r="L749" s="2">
        <f t="shared" si="34"/>
        <v>622.44000000000005</v>
      </c>
      <c r="M749" s="1">
        <v>44252</v>
      </c>
      <c r="N749" s="1">
        <v>44252</v>
      </c>
      <c r="O749">
        <v>748</v>
      </c>
      <c r="P749">
        <v>6</v>
      </c>
      <c r="Q749" t="s">
        <v>25</v>
      </c>
      <c r="R749" s="3">
        <v>7.0000000000000007E-2</v>
      </c>
      <c r="S749" s="2">
        <v>267.64920000000001</v>
      </c>
      <c r="T749">
        <v>6</v>
      </c>
      <c r="U749" t="str">
        <f t="shared" si="35"/>
        <v>Fevereiro</v>
      </c>
    </row>
    <row r="750" spans="1:21">
      <c r="A750">
        <v>749</v>
      </c>
      <c r="B750" s="1">
        <v>44242</v>
      </c>
      <c r="C750" s="1" t="str">
        <f t="shared" si="33"/>
        <v>fevereiro</v>
      </c>
      <c r="D750">
        <v>94</v>
      </c>
      <c r="E750" t="s">
        <v>49</v>
      </c>
      <c r="F750" t="s">
        <v>46</v>
      </c>
      <c r="G750" s="8">
        <v>18</v>
      </c>
      <c r="H750" s="2">
        <v>97</v>
      </c>
      <c r="I750" s="2">
        <v>1746</v>
      </c>
      <c r="J750" s="4">
        <v>0.06</v>
      </c>
      <c r="K750" s="2">
        <v>1641.24</v>
      </c>
      <c r="L750" s="2">
        <f t="shared" si="34"/>
        <v>104.75999999999999</v>
      </c>
      <c r="M750" s="1">
        <v>44272</v>
      </c>
      <c r="N750" s="1">
        <v>44272</v>
      </c>
      <c r="O750">
        <v>749</v>
      </c>
      <c r="P750">
        <v>7</v>
      </c>
      <c r="Q750" t="s">
        <v>37</v>
      </c>
      <c r="R750" s="3">
        <v>0.08</v>
      </c>
      <c r="S750" s="2">
        <v>131.29920000000001</v>
      </c>
      <c r="T750">
        <v>7</v>
      </c>
      <c r="U750" t="str">
        <f t="shared" si="35"/>
        <v>Fevereiro</v>
      </c>
    </row>
    <row r="751" spans="1:21">
      <c r="A751">
        <v>750</v>
      </c>
      <c r="B751" s="1">
        <v>44242</v>
      </c>
      <c r="C751" s="1" t="str">
        <f t="shared" si="33"/>
        <v>fevereiro</v>
      </c>
      <c r="D751">
        <v>62</v>
      </c>
      <c r="E751" t="s">
        <v>38</v>
      </c>
      <c r="F751" t="s">
        <v>59</v>
      </c>
      <c r="G751" s="8">
        <v>47</v>
      </c>
      <c r="H751" s="2">
        <v>90</v>
      </c>
      <c r="I751" s="2">
        <v>4230</v>
      </c>
      <c r="J751" s="4">
        <v>0.06</v>
      </c>
      <c r="K751" s="2">
        <v>3976.2</v>
      </c>
      <c r="L751" s="2">
        <f t="shared" si="34"/>
        <v>253.80000000000018</v>
      </c>
      <c r="M751" s="1">
        <v>44266</v>
      </c>
      <c r="N751" s="1">
        <v>44266</v>
      </c>
      <c r="O751">
        <v>750</v>
      </c>
      <c r="P751">
        <v>7</v>
      </c>
      <c r="Q751" t="s">
        <v>69</v>
      </c>
      <c r="R751" s="3">
        <v>0.05</v>
      </c>
      <c r="S751" s="2">
        <v>198.81</v>
      </c>
      <c r="T751">
        <v>1</v>
      </c>
      <c r="U751" t="str">
        <f t="shared" si="35"/>
        <v>Fevereiro</v>
      </c>
    </row>
    <row r="752" spans="1:21">
      <c r="A752">
        <v>751</v>
      </c>
      <c r="B752" s="1">
        <v>44243</v>
      </c>
      <c r="C752" s="1" t="str">
        <f t="shared" si="33"/>
        <v>fevereiro</v>
      </c>
      <c r="D752">
        <v>12</v>
      </c>
      <c r="E752" t="s">
        <v>45</v>
      </c>
      <c r="F752" t="s">
        <v>54</v>
      </c>
      <c r="G752" s="8">
        <v>49</v>
      </c>
      <c r="H752" s="2">
        <v>117</v>
      </c>
      <c r="I752" s="2">
        <v>5733</v>
      </c>
      <c r="J752" s="4">
        <v>0.04</v>
      </c>
      <c r="K752" s="2">
        <v>5503.68</v>
      </c>
      <c r="L752" s="2">
        <f t="shared" si="34"/>
        <v>229.31999999999971</v>
      </c>
      <c r="M752" s="1">
        <v>44273</v>
      </c>
      <c r="N752" s="1">
        <v>44273</v>
      </c>
      <c r="O752">
        <v>751</v>
      </c>
      <c r="P752">
        <v>1</v>
      </c>
      <c r="Q752" t="s">
        <v>32</v>
      </c>
      <c r="R752" s="3">
        <v>0.09</v>
      </c>
      <c r="S752" s="2">
        <v>495.33120000000002</v>
      </c>
      <c r="T752">
        <v>2</v>
      </c>
      <c r="U752" t="str">
        <f t="shared" si="35"/>
        <v>Fevereiro</v>
      </c>
    </row>
    <row r="753" spans="1:21">
      <c r="A753">
        <v>752</v>
      </c>
      <c r="B753" s="1">
        <v>44244</v>
      </c>
      <c r="C753" s="1" t="str">
        <f t="shared" si="33"/>
        <v>fevereiro</v>
      </c>
      <c r="D753">
        <v>54</v>
      </c>
      <c r="E753" t="s">
        <v>79</v>
      </c>
      <c r="F753" t="s">
        <v>54</v>
      </c>
      <c r="G753" s="8">
        <v>49</v>
      </c>
      <c r="H753" s="2">
        <v>115</v>
      </c>
      <c r="I753" s="2">
        <v>5635</v>
      </c>
      <c r="J753" s="4">
        <v>0.15</v>
      </c>
      <c r="K753" s="2">
        <v>4789.75</v>
      </c>
      <c r="L753" s="2">
        <f t="shared" si="34"/>
        <v>845.25</v>
      </c>
      <c r="M753" s="1">
        <v>44270</v>
      </c>
      <c r="N753" s="1">
        <v>44270</v>
      </c>
      <c r="O753">
        <v>752</v>
      </c>
      <c r="P753">
        <v>3</v>
      </c>
      <c r="Q753" t="s">
        <v>37</v>
      </c>
      <c r="R753" s="3">
        <v>0.08</v>
      </c>
      <c r="S753" s="2">
        <v>383.18</v>
      </c>
      <c r="T753">
        <v>3</v>
      </c>
      <c r="U753" t="str">
        <f t="shared" si="35"/>
        <v>Fevereiro</v>
      </c>
    </row>
    <row r="754" spans="1:21">
      <c r="A754">
        <v>753</v>
      </c>
      <c r="B754" s="1">
        <v>44245</v>
      </c>
      <c r="C754" s="1" t="str">
        <f t="shared" si="33"/>
        <v>fevereiro</v>
      </c>
      <c r="D754">
        <v>84</v>
      </c>
      <c r="E754" t="s">
        <v>44</v>
      </c>
      <c r="F754" t="s">
        <v>54</v>
      </c>
      <c r="G754" s="8">
        <v>11</v>
      </c>
      <c r="H754" s="2">
        <v>113</v>
      </c>
      <c r="I754" s="2">
        <v>1243</v>
      </c>
      <c r="J754" s="4">
        <v>0.13</v>
      </c>
      <c r="K754" s="2">
        <v>1081.4100000000001</v>
      </c>
      <c r="L754" s="2">
        <f t="shared" si="34"/>
        <v>161.58999999999992</v>
      </c>
      <c r="M754" s="1">
        <v>44265</v>
      </c>
      <c r="N754" s="1">
        <v>44265</v>
      </c>
      <c r="O754">
        <v>753</v>
      </c>
      <c r="P754">
        <v>1</v>
      </c>
      <c r="Q754" t="s">
        <v>25</v>
      </c>
      <c r="R754" s="3">
        <v>7.0000000000000007E-2</v>
      </c>
      <c r="S754" s="2">
        <v>75.698700000000017</v>
      </c>
      <c r="T754">
        <v>4</v>
      </c>
      <c r="U754" t="str">
        <f t="shared" si="35"/>
        <v>Fevereiro</v>
      </c>
    </row>
    <row r="755" spans="1:21">
      <c r="A755">
        <v>754</v>
      </c>
      <c r="B755" s="1">
        <v>44245</v>
      </c>
      <c r="C755" s="1" t="str">
        <f t="shared" si="33"/>
        <v>fevereiro</v>
      </c>
      <c r="D755">
        <v>79</v>
      </c>
      <c r="E755" t="s">
        <v>33</v>
      </c>
      <c r="F755" t="s">
        <v>31</v>
      </c>
      <c r="G755" s="8">
        <v>19</v>
      </c>
      <c r="H755" s="2">
        <v>115</v>
      </c>
      <c r="I755" s="2">
        <v>2185</v>
      </c>
      <c r="J755" s="4">
        <v>7.0000000000000007E-2</v>
      </c>
      <c r="K755" s="2">
        <v>2032.05</v>
      </c>
      <c r="L755" s="2">
        <f t="shared" si="34"/>
        <v>152.95000000000005</v>
      </c>
      <c r="M755" s="1">
        <v>44271</v>
      </c>
      <c r="N755" s="1">
        <v>44271</v>
      </c>
      <c r="O755">
        <v>754</v>
      </c>
      <c r="P755">
        <v>5</v>
      </c>
      <c r="Q755" t="s">
        <v>37</v>
      </c>
      <c r="R755" s="3">
        <v>0.05</v>
      </c>
      <c r="S755" s="2">
        <v>101.60250000000001</v>
      </c>
      <c r="T755">
        <v>5</v>
      </c>
      <c r="U755" t="str">
        <f t="shared" si="35"/>
        <v>Fevereiro</v>
      </c>
    </row>
    <row r="756" spans="1:21">
      <c r="A756">
        <v>755</v>
      </c>
      <c r="B756" s="1">
        <v>44246</v>
      </c>
      <c r="C756" s="1" t="str">
        <f t="shared" si="33"/>
        <v>fevereiro</v>
      </c>
      <c r="D756">
        <v>93</v>
      </c>
      <c r="E756" t="s">
        <v>33</v>
      </c>
      <c r="F756" t="s">
        <v>50</v>
      </c>
      <c r="G756" s="8">
        <v>44</v>
      </c>
      <c r="H756" s="2">
        <v>105</v>
      </c>
      <c r="I756" s="2">
        <v>4620</v>
      </c>
      <c r="J756" s="4">
        <v>0.04</v>
      </c>
      <c r="K756" s="2">
        <v>4435.2</v>
      </c>
      <c r="L756" s="2">
        <f t="shared" si="34"/>
        <v>184.80000000000018</v>
      </c>
      <c r="M756" s="1">
        <v>44269</v>
      </c>
      <c r="N756" s="1">
        <v>44269</v>
      </c>
      <c r="O756">
        <v>755</v>
      </c>
      <c r="P756">
        <v>4</v>
      </c>
      <c r="Q756" t="s">
        <v>25</v>
      </c>
      <c r="R756" s="3">
        <v>7.0000000000000007E-2</v>
      </c>
      <c r="S756" s="2">
        <v>310.464</v>
      </c>
      <c r="T756">
        <v>6</v>
      </c>
      <c r="U756" t="str">
        <f t="shared" si="35"/>
        <v>Fevereiro</v>
      </c>
    </row>
    <row r="757" spans="1:21">
      <c r="A757">
        <v>756</v>
      </c>
      <c r="B757" s="1">
        <v>44246</v>
      </c>
      <c r="C757" s="1" t="str">
        <f t="shared" si="33"/>
        <v>fevereiro</v>
      </c>
      <c r="D757">
        <v>83</v>
      </c>
      <c r="E757" t="s">
        <v>100</v>
      </c>
      <c r="F757" t="s">
        <v>46</v>
      </c>
      <c r="G757" s="8">
        <v>20</v>
      </c>
      <c r="H757" s="2">
        <v>90</v>
      </c>
      <c r="I757" s="2">
        <v>1800</v>
      </c>
      <c r="J757" s="4">
        <v>0</v>
      </c>
      <c r="K757" s="2">
        <v>1800</v>
      </c>
      <c r="L757" s="2">
        <f t="shared" si="34"/>
        <v>0</v>
      </c>
      <c r="M757" s="1">
        <v>44258</v>
      </c>
      <c r="N757" s="1">
        <v>44258</v>
      </c>
      <c r="O757">
        <v>756</v>
      </c>
      <c r="P757">
        <v>6</v>
      </c>
      <c r="Q757" t="s">
        <v>37</v>
      </c>
      <c r="R757" s="3">
        <v>0.05</v>
      </c>
      <c r="S757" s="2">
        <v>90</v>
      </c>
      <c r="T757">
        <v>7</v>
      </c>
      <c r="U757" t="str">
        <f t="shared" si="35"/>
        <v>Fevereiro</v>
      </c>
    </row>
    <row r="758" spans="1:21">
      <c r="A758">
        <v>757</v>
      </c>
      <c r="B758" s="1">
        <v>44246</v>
      </c>
      <c r="C758" s="1" t="str">
        <f t="shared" si="33"/>
        <v>fevereiro</v>
      </c>
      <c r="D758">
        <v>87</v>
      </c>
      <c r="E758" t="s">
        <v>40</v>
      </c>
      <c r="F758" t="s">
        <v>50</v>
      </c>
      <c r="G758" s="8">
        <v>39</v>
      </c>
      <c r="H758" s="2">
        <v>105</v>
      </c>
      <c r="I758" s="2">
        <v>4095</v>
      </c>
      <c r="J758" s="4">
        <v>0.08</v>
      </c>
      <c r="K758" s="2">
        <v>3767.4</v>
      </c>
      <c r="L758" s="2">
        <f t="shared" si="34"/>
        <v>327.59999999999991</v>
      </c>
      <c r="M758" s="1">
        <v>44255</v>
      </c>
      <c r="N758" s="1">
        <v>44255</v>
      </c>
      <c r="O758">
        <v>757</v>
      </c>
      <c r="P758">
        <v>7</v>
      </c>
      <c r="Q758" t="s">
        <v>25</v>
      </c>
      <c r="R758" s="3">
        <v>0.08</v>
      </c>
      <c r="S758" s="2">
        <v>301.392</v>
      </c>
      <c r="T758">
        <v>1</v>
      </c>
      <c r="U758" t="str">
        <f t="shared" si="35"/>
        <v>Fevereiro</v>
      </c>
    </row>
    <row r="759" spans="1:21">
      <c r="A759">
        <v>758</v>
      </c>
      <c r="B759" s="1">
        <v>44246</v>
      </c>
      <c r="C759" s="1" t="str">
        <f t="shared" si="33"/>
        <v>fevereiro</v>
      </c>
      <c r="D759">
        <v>34</v>
      </c>
      <c r="E759" t="s">
        <v>58</v>
      </c>
      <c r="F759" t="s">
        <v>24</v>
      </c>
      <c r="G759" s="8">
        <v>14</v>
      </c>
      <c r="H759" s="2">
        <v>106</v>
      </c>
      <c r="I759" s="2">
        <v>1484</v>
      </c>
      <c r="J759" s="4">
        <v>0.12</v>
      </c>
      <c r="K759" s="2">
        <v>1305.92</v>
      </c>
      <c r="L759" s="2">
        <f t="shared" si="34"/>
        <v>178.07999999999993</v>
      </c>
      <c r="M759" s="1">
        <v>44251</v>
      </c>
      <c r="N759" s="1">
        <v>44251</v>
      </c>
      <c r="O759">
        <v>758</v>
      </c>
      <c r="P759">
        <v>1</v>
      </c>
      <c r="Q759" t="s">
        <v>25</v>
      </c>
      <c r="R759" s="3">
        <v>0.1</v>
      </c>
      <c r="S759" s="2">
        <v>130.59200000000001</v>
      </c>
      <c r="T759">
        <v>2</v>
      </c>
      <c r="U759" t="str">
        <f t="shared" si="35"/>
        <v>Fevereiro</v>
      </c>
    </row>
    <row r="760" spans="1:21">
      <c r="A760">
        <v>759</v>
      </c>
      <c r="B760" s="1">
        <v>44247</v>
      </c>
      <c r="C760" s="1" t="str">
        <f t="shared" si="33"/>
        <v>fevereiro</v>
      </c>
      <c r="D760">
        <v>94</v>
      </c>
      <c r="E760" t="s">
        <v>49</v>
      </c>
      <c r="F760" t="s">
        <v>31</v>
      </c>
      <c r="G760" s="8">
        <v>12</v>
      </c>
      <c r="H760" s="2">
        <v>90</v>
      </c>
      <c r="I760" s="2">
        <v>1080</v>
      </c>
      <c r="J760" s="4">
        <v>0.05</v>
      </c>
      <c r="K760" s="2">
        <v>1026</v>
      </c>
      <c r="L760" s="2">
        <f t="shared" si="34"/>
        <v>54</v>
      </c>
      <c r="M760" s="1">
        <v>44256</v>
      </c>
      <c r="N760" s="1">
        <v>44256</v>
      </c>
      <c r="O760">
        <v>759</v>
      </c>
      <c r="P760">
        <v>7</v>
      </c>
      <c r="Q760" t="s">
        <v>69</v>
      </c>
      <c r="R760" s="3">
        <v>0.08</v>
      </c>
      <c r="S760" s="2">
        <v>82.08</v>
      </c>
      <c r="T760">
        <v>3</v>
      </c>
      <c r="U760" t="str">
        <f t="shared" si="35"/>
        <v>Fevereiro</v>
      </c>
    </row>
    <row r="761" spans="1:21">
      <c r="A761">
        <v>760</v>
      </c>
      <c r="B761" s="1">
        <v>44247</v>
      </c>
      <c r="C761" s="1" t="str">
        <f t="shared" si="33"/>
        <v>fevereiro</v>
      </c>
      <c r="D761">
        <v>84</v>
      </c>
      <c r="E761" t="s">
        <v>44</v>
      </c>
      <c r="F761" t="s">
        <v>24</v>
      </c>
      <c r="G761" s="8">
        <v>27</v>
      </c>
      <c r="H761" s="2">
        <v>100</v>
      </c>
      <c r="I761" s="2">
        <v>2700</v>
      </c>
      <c r="J761" s="4">
        <v>0.11</v>
      </c>
      <c r="K761" s="2">
        <v>2403</v>
      </c>
      <c r="L761" s="2">
        <f t="shared" si="34"/>
        <v>297</v>
      </c>
      <c r="M761" s="1">
        <v>44261</v>
      </c>
      <c r="N761" s="1">
        <v>44261</v>
      </c>
      <c r="O761">
        <v>760</v>
      </c>
      <c r="P761">
        <v>3</v>
      </c>
      <c r="Q761" t="s">
        <v>43</v>
      </c>
      <c r="R761" s="3">
        <v>7.0000000000000007E-2</v>
      </c>
      <c r="S761" s="2">
        <v>168.21</v>
      </c>
      <c r="T761">
        <v>4</v>
      </c>
      <c r="U761" t="str">
        <f t="shared" si="35"/>
        <v>Fevereiro</v>
      </c>
    </row>
    <row r="762" spans="1:21">
      <c r="A762">
        <v>761</v>
      </c>
      <c r="B762" s="1">
        <v>44248</v>
      </c>
      <c r="C762" s="1" t="str">
        <f t="shared" si="33"/>
        <v>fevereiro</v>
      </c>
      <c r="D762">
        <v>74</v>
      </c>
      <c r="E762" t="s">
        <v>38</v>
      </c>
      <c r="F762" t="s">
        <v>46</v>
      </c>
      <c r="G762" s="8">
        <v>27</v>
      </c>
      <c r="H762" s="2">
        <v>90</v>
      </c>
      <c r="I762" s="2">
        <v>2430</v>
      </c>
      <c r="J762" s="4">
        <v>0.14000000000000001</v>
      </c>
      <c r="K762" s="2">
        <v>2089.8000000000002</v>
      </c>
      <c r="L762" s="2">
        <f t="shared" si="34"/>
        <v>340.19999999999982</v>
      </c>
      <c r="M762" s="1">
        <v>44248</v>
      </c>
      <c r="N762" s="1">
        <v>44248</v>
      </c>
      <c r="O762">
        <v>761</v>
      </c>
      <c r="P762">
        <v>5</v>
      </c>
      <c r="Q762" t="s">
        <v>29</v>
      </c>
      <c r="R762" s="3">
        <v>0.08</v>
      </c>
      <c r="S762" s="2">
        <v>167.18400000000003</v>
      </c>
      <c r="T762">
        <v>5</v>
      </c>
      <c r="U762" t="str">
        <f t="shared" si="35"/>
        <v>Fevereiro</v>
      </c>
    </row>
    <row r="763" spans="1:21">
      <c r="A763">
        <v>762</v>
      </c>
      <c r="B763" s="1">
        <v>44248</v>
      </c>
      <c r="C763" s="1" t="str">
        <f t="shared" si="33"/>
        <v>fevereiro</v>
      </c>
      <c r="D763">
        <v>26</v>
      </c>
      <c r="E763" t="s">
        <v>95</v>
      </c>
      <c r="F763" t="s">
        <v>28</v>
      </c>
      <c r="G763" s="8">
        <v>48</v>
      </c>
      <c r="H763" s="2">
        <v>96</v>
      </c>
      <c r="I763" s="2">
        <v>4608</v>
      </c>
      <c r="J763" s="4">
        <v>0.13</v>
      </c>
      <c r="K763" s="2">
        <v>4008.96</v>
      </c>
      <c r="L763" s="2">
        <f t="shared" si="34"/>
        <v>599.04</v>
      </c>
      <c r="M763" s="1">
        <v>44278</v>
      </c>
      <c r="N763" s="1">
        <v>44278</v>
      </c>
      <c r="O763">
        <v>762</v>
      </c>
      <c r="P763">
        <v>2</v>
      </c>
      <c r="Q763" t="s">
        <v>47</v>
      </c>
      <c r="R763" s="3">
        <v>7.0000000000000007E-2</v>
      </c>
      <c r="S763" s="2">
        <v>280.62720000000002</v>
      </c>
      <c r="T763">
        <v>6</v>
      </c>
      <c r="U763" t="str">
        <f t="shared" si="35"/>
        <v>Fevereiro</v>
      </c>
    </row>
    <row r="764" spans="1:21">
      <c r="A764">
        <v>763</v>
      </c>
      <c r="B764" s="1">
        <v>44248</v>
      </c>
      <c r="C764" s="1" t="str">
        <f t="shared" si="33"/>
        <v>fevereiro</v>
      </c>
      <c r="D764">
        <v>53</v>
      </c>
      <c r="E764" t="s">
        <v>88</v>
      </c>
      <c r="F764" t="s">
        <v>50</v>
      </c>
      <c r="G764" s="8">
        <v>41</v>
      </c>
      <c r="H764" s="2">
        <v>100</v>
      </c>
      <c r="I764" s="2">
        <v>4100</v>
      </c>
      <c r="J764" s="4">
        <v>0</v>
      </c>
      <c r="K764" s="2">
        <v>4100</v>
      </c>
      <c r="L764" s="2">
        <f t="shared" si="34"/>
        <v>0</v>
      </c>
      <c r="M764" s="1">
        <v>44271</v>
      </c>
      <c r="N764" s="1">
        <v>44271</v>
      </c>
      <c r="O764">
        <v>763</v>
      </c>
      <c r="P764">
        <v>5</v>
      </c>
      <c r="Q764" t="s">
        <v>43</v>
      </c>
      <c r="R764" s="3">
        <v>0.06</v>
      </c>
      <c r="S764" s="2">
        <v>246</v>
      </c>
      <c r="T764">
        <v>7</v>
      </c>
      <c r="U764" t="str">
        <f t="shared" si="35"/>
        <v>Fevereiro</v>
      </c>
    </row>
    <row r="765" spans="1:21">
      <c r="A765">
        <v>764</v>
      </c>
      <c r="B765" s="1">
        <v>44248</v>
      </c>
      <c r="C765" s="1" t="str">
        <f t="shared" si="33"/>
        <v>fevereiro</v>
      </c>
      <c r="D765">
        <v>65</v>
      </c>
      <c r="E765" t="s">
        <v>64</v>
      </c>
      <c r="F765" t="s">
        <v>31</v>
      </c>
      <c r="G765" s="8">
        <v>45</v>
      </c>
      <c r="H765" s="2">
        <v>112</v>
      </c>
      <c r="I765" s="2">
        <v>5040</v>
      </c>
      <c r="J765" s="4">
        <v>0.05</v>
      </c>
      <c r="K765" s="2">
        <v>4788</v>
      </c>
      <c r="L765" s="2">
        <f t="shared" si="34"/>
        <v>252</v>
      </c>
      <c r="M765" s="1">
        <v>44249</v>
      </c>
      <c r="N765" s="1">
        <v>44249</v>
      </c>
      <c r="O765">
        <v>764</v>
      </c>
      <c r="P765">
        <v>3</v>
      </c>
      <c r="Q765" t="s">
        <v>25</v>
      </c>
      <c r="R765" s="3">
        <v>0.09</v>
      </c>
      <c r="S765" s="2">
        <v>430.91999999999996</v>
      </c>
      <c r="T765">
        <v>1</v>
      </c>
      <c r="U765" t="str">
        <f t="shared" si="35"/>
        <v>Fevereiro</v>
      </c>
    </row>
    <row r="766" spans="1:21">
      <c r="A766">
        <v>765</v>
      </c>
      <c r="B766" s="1">
        <v>44248</v>
      </c>
      <c r="C766" s="1" t="str">
        <f t="shared" si="33"/>
        <v>fevereiro</v>
      </c>
      <c r="D766">
        <v>18</v>
      </c>
      <c r="E766" t="s">
        <v>83</v>
      </c>
      <c r="F766" t="s">
        <v>31</v>
      </c>
      <c r="G766" s="8">
        <v>20</v>
      </c>
      <c r="H766" s="2">
        <v>92</v>
      </c>
      <c r="I766" s="2">
        <v>1840</v>
      </c>
      <c r="J766" s="4">
        <v>0.15</v>
      </c>
      <c r="K766" s="2">
        <v>1564</v>
      </c>
      <c r="L766" s="2">
        <f t="shared" si="34"/>
        <v>276</v>
      </c>
      <c r="M766" s="1">
        <v>44270</v>
      </c>
      <c r="N766" s="1">
        <v>44270</v>
      </c>
      <c r="O766">
        <v>765</v>
      </c>
      <c r="P766">
        <v>3</v>
      </c>
      <c r="Q766" t="s">
        <v>34</v>
      </c>
      <c r="R766" s="3">
        <v>0.05</v>
      </c>
      <c r="S766" s="2">
        <v>78.2</v>
      </c>
      <c r="T766">
        <v>2</v>
      </c>
      <c r="U766" t="str">
        <f t="shared" si="35"/>
        <v>Fevereiro</v>
      </c>
    </row>
    <row r="767" spans="1:21">
      <c r="A767">
        <v>766</v>
      </c>
      <c r="B767" s="1">
        <v>44248</v>
      </c>
      <c r="C767" s="1" t="str">
        <f t="shared" si="33"/>
        <v>fevereiro</v>
      </c>
      <c r="D767">
        <v>94</v>
      </c>
      <c r="E767" t="s">
        <v>49</v>
      </c>
      <c r="F767" t="s">
        <v>31</v>
      </c>
      <c r="G767" s="8">
        <v>28</v>
      </c>
      <c r="H767" s="2">
        <v>105</v>
      </c>
      <c r="I767" s="2">
        <v>2940</v>
      </c>
      <c r="J767" s="4">
        <v>0.02</v>
      </c>
      <c r="K767" s="2">
        <v>2881.2</v>
      </c>
      <c r="L767" s="2">
        <f t="shared" si="34"/>
        <v>58.800000000000182</v>
      </c>
      <c r="M767" s="1">
        <v>44250</v>
      </c>
      <c r="N767" s="1">
        <v>44250</v>
      </c>
      <c r="O767">
        <v>766</v>
      </c>
      <c r="P767">
        <v>5</v>
      </c>
      <c r="Q767" t="s">
        <v>25</v>
      </c>
      <c r="R767" s="3">
        <v>0.1</v>
      </c>
      <c r="S767" s="2">
        <v>288.12</v>
      </c>
      <c r="T767">
        <v>3</v>
      </c>
      <c r="U767" t="str">
        <f t="shared" si="35"/>
        <v>Fevereiro</v>
      </c>
    </row>
    <row r="768" spans="1:21">
      <c r="A768">
        <v>767</v>
      </c>
      <c r="B768" s="1">
        <v>44249</v>
      </c>
      <c r="C768" s="1" t="str">
        <f t="shared" si="33"/>
        <v>fevereiro</v>
      </c>
      <c r="D768">
        <v>38</v>
      </c>
      <c r="E768" t="s">
        <v>73</v>
      </c>
      <c r="F768" t="s">
        <v>46</v>
      </c>
      <c r="G768" s="8">
        <v>38</v>
      </c>
      <c r="H768" s="2">
        <v>119</v>
      </c>
      <c r="I768" s="2">
        <v>4522</v>
      </c>
      <c r="J768" s="4">
        <v>0.04</v>
      </c>
      <c r="K768" s="2">
        <v>4341.12</v>
      </c>
      <c r="L768" s="2">
        <f t="shared" si="34"/>
        <v>180.88000000000011</v>
      </c>
      <c r="M768" s="1">
        <v>44259</v>
      </c>
      <c r="N768" s="1">
        <v>44259</v>
      </c>
      <c r="O768">
        <v>767</v>
      </c>
      <c r="P768">
        <v>4</v>
      </c>
      <c r="Q768" t="s">
        <v>32</v>
      </c>
      <c r="R768" s="3">
        <v>0.06</v>
      </c>
      <c r="S768" s="2">
        <v>260.46719999999999</v>
      </c>
      <c r="T768">
        <v>4</v>
      </c>
      <c r="U768" t="str">
        <f t="shared" si="35"/>
        <v>Fevereiro</v>
      </c>
    </row>
    <row r="769" spans="1:21">
      <c r="A769">
        <v>768</v>
      </c>
      <c r="B769" s="1">
        <v>44249</v>
      </c>
      <c r="C769" s="1" t="str">
        <f t="shared" si="33"/>
        <v>fevereiro</v>
      </c>
      <c r="D769">
        <v>23</v>
      </c>
      <c r="E769" t="s">
        <v>105</v>
      </c>
      <c r="F769" t="s">
        <v>46</v>
      </c>
      <c r="G769" s="8">
        <v>29</v>
      </c>
      <c r="H769" s="2">
        <v>109</v>
      </c>
      <c r="I769" s="2">
        <v>3161</v>
      </c>
      <c r="J769" s="4">
        <v>0.09</v>
      </c>
      <c r="K769" s="2">
        <v>2876.51</v>
      </c>
      <c r="L769" s="2">
        <f t="shared" si="34"/>
        <v>284.48999999999978</v>
      </c>
      <c r="M769" s="1">
        <v>44278</v>
      </c>
      <c r="N769" s="1">
        <v>44278</v>
      </c>
      <c r="O769">
        <v>768</v>
      </c>
      <c r="P769">
        <v>3</v>
      </c>
      <c r="Q769" t="s">
        <v>22</v>
      </c>
      <c r="R769" s="3">
        <v>0.05</v>
      </c>
      <c r="S769" s="2">
        <v>143.82550000000001</v>
      </c>
      <c r="T769">
        <v>5</v>
      </c>
      <c r="U769" t="str">
        <f t="shared" si="35"/>
        <v>Fevereiro</v>
      </c>
    </row>
    <row r="770" spans="1:21">
      <c r="A770">
        <v>769</v>
      </c>
      <c r="B770" s="1">
        <v>44249</v>
      </c>
      <c r="C770" s="1" t="str">
        <f t="shared" si="33"/>
        <v>fevereiro</v>
      </c>
      <c r="D770">
        <v>89</v>
      </c>
      <c r="E770" t="s">
        <v>49</v>
      </c>
      <c r="F770" t="s">
        <v>31</v>
      </c>
      <c r="G770" s="8">
        <v>11</v>
      </c>
      <c r="H770" s="2">
        <v>106</v>
      </c>
      <c r="I770" s="2">
        <v>1166</v>
      </c>
      <c r="J770" s="4">
        <v>0.06</v>
      </c>
      <c r="K770" s="2">
        <v>1096.04</v>
      </c>
      <c r="L770" s="2">
        <f t="shared" si="34"/>
        <v>69.960000000000036</v>
      </c>
      <c r="M770" s="1">
        <v>44279</v>
      </c>
      <c r="N770" s="1">
        <v>44279</v>
      </c>
      <c r="O770">
        <v>769</v>
      </c>
      <c r="P770">
        <v>7</v>
      </c>
      <c r="Q770" t="s">
        <v>34</v>
      </c>
      <c r="R770" s="3">
        <v>0.05</v>
      </c>
      <c r="S770" s="2">
        <v>54.802</v>
      </c>
      <c r="T770">
        <v>6</v>
      </c>
      <c r="U770" t="str">
        <f t="shared" si="35"/>
        <v>Fevereiro</v>
      </c>
    </row>
    <row r="771" spans="1:21">
      <c r="A771">
        <v>770</v>
      </c>
      <c r="B771" s="1">
        <v>44250</v>
      </c>
      <c r="C771" s="1" t="str">
        <f t="shared" ref="C771:C834" si="36">TEXT(B771,"mmmm")</f>
        <v>fevereiro</v>
      </c>
      <c r="D771">
        <v>96</v>
      </c>
      <c r="E771" t="s">
        <v>42</v>
      </c>
      <c r="F771" t="s">
        <v>55</v>
      </c>
      <c r="G771" s="8">
        <v>20</v>
      </c>
      <c r="H771" s="2">
        <v>102</v>
      </c>
      <c r="I771" s="2">
        <v>2040</v>
      </c>
      <c r="J771" s="4">
        <v>0.08</v>
      </c>
      <c r="K771" s="2">
        <v>1876.8</v>
      </c>
      <c r="L771" s="2">
        <f t="shared" ref="L771:L834" si="37">I771-K771</f>
        <v>163.20000000000005</v>
      </c>
      <c r="M771" s="1">
        <v>44267</v>
      </c>
      <c r="N771" s="1">
        <v>44267</v>
      </c>
      <c r="O771">
        <v>770</v>
      </c>
      <c r="P771">
        <v>5</v>
      </c>
      <c r="Q771" t="s">
        <v>47</v>
      </c>
      <c r="R771" s="3">
        <v>0.08</v>
      </c>
      <c r="S771" s="2">
        <v>150.14400000000001</v>
      </c>
      <c r="T771">
        <v>7</v>
      </c>
      <c r="U771" t="str">
        <f t="shared" ref="U771:U834" si="38">PROPER(TEXT(B771,"mmmm"))</f>
        <v>Fevereiro</v>
      </c>
    </row>
    <row r="772" spans="1:21">
      <c r="A772">
        <v>771</v>
      </c>
      <c r="B772" s="1">
        <v>44250</v>
      </c>
      <c r="C772" s="1" t="str">
        <f t="shared" si="36"/>
        <v>fevereiro</v>
      </c>
      <c r="D772">
        <v>86</v>
      </c>
      <c r="E772" t="s">
        <v>90</v>
      </c>
      <c r="F772" t="s">
        <v>28</v>
      </c>
      <c r="G772" s="8">
        <v>33</v>
      </c>
      <c r="H772" s="2">
        <v>118</v>
      </c>
      <c r="I772" s="2">
        <v>3894</v>
      </c>
      <c r="J772" s="4">
        <v>0.09</v>
      </c>
      <c r="K772" s="2">
        <v>3543.54</v>
      </c>
      <c r="L772" s="2">
        <f t="shared" si="37"/>
        <v>350.46000000000004</v>
      </c>
      <c r="M772" s="1">
        <v>44260</v>
      </c>
      <c r="N772" s="1">
        <v>44260</v>
      </c>
      <c r="O772">
        <v>771</v>
      </c>
      <c r="P772">
        <v>7</v>
      </c>
      <c r="Q772" t="s">
        <v>43</v>
      </c>
      <c r="R772" s="3">
        <v>0.05</v>
      </c>
      <c r="S772" s="2">
        <v>177.17700000000002</v>
      </c>
      <c r="T772">
        <v>1</v>
      </c>
      <c r="U772" t="str">
        <f t="shared" si="38"/>
        <v>Fevereiro</v>
      </c>
    </row>
    <row r="773" spans="1:21">
      <c r="A773">
        <v>772</v>
      </c>
      <c r="B773" s="1">
        <v>44251</v>
      </c>
      <c r="C773" s="1" t="str">
        <f t="shared" si="36"/>
        <v>fevereiro</v>
      </c>
      <c r="D773">
        <v>51</v>
      </c>
      <c r="E773" t="s">
        <v>53</v>
      </c>
      <c r="F773" t="s">
        <v>28</v>
      </c>
      <c r="G773" s="8">
        <v>19</v>
      </c>
      <c r="H773" s="2">
        <v>99</v>
      </c>
      <c r="I773" s="2">
        <v>1881</v>
      </c>
      <c r="J773" s="4">
        <v>0.06</v>
      </c>
      <c r="K773" s="2">
        <v>1768.14</v>
      </c>
      <c r="L773" s="2">
        <f t="shared" si="37"/>
        <v>112.8599999999999</v>
      </c>
      <c r="M773" s="1">
        <v>44275</v>
      </c>
      <c r="N773" s="1">
        <v>44275</v>
      </c>
      <c r="O773">
        <v>772</v>
      </c>
      <c r="P773">
        <v>6</v>
      </c>
      <c r="Q773" t="s">
        <v>52</v>
      </c>
      <c r="R773" s="3">
        <v>0.08</v>
      </c>
      <c r="S773" s="2">
        <v>141.4512</v>
      </c>
      <c r="T773">
        <v>2</v>
      </c>
      <c r="U773" t="str">
        <f t="shared" si="38"/>
        <v>Fevereiro</v>
      </c>
    </row>
    <row r="774" spans="1:21">
      <c r="A774">
        <v>773</v>
      </c>
      <c r="B774" s="1">
        <v>44251</v>
      </c>
      <c r="C774" s="1" t="str">
        <f t="shared" si="36"/>
        <v>fevereiro</v>
      </c>
      <c r="D774">
        <v>33</v>
      </c>
      <c r="E774" t="s">
        <v>76</v>
      </c>
      <c r="F774" t="s">
        <v>50</v>
      </c>
      <c r="G774" s="8">
        <v>36</v>
      </c>
      <c r="H774" s="2">
        <v>98</v>
      </c>
      <c r="I774" s="2">
        <v>3528</v>
      </c>
      <c r="J774" s="4">
        <v>0.1</v>
      </c>
      <c r="K774" s="2">
        <v>3175.2</v>
      </c>
      <c r="L774" s="2">
        <f t="shared" si="37"/>
        <v>352.80000000000018</v>
      </c>
      <c r="M774" s="1">
        <v>44279</v>
      </c>
      <c r="N774" s="1">
        <v>44279</v>
      </c>
      <c r="O774">
        <v>773</v>
      </c>
      <c r="P774">
        <v>1</v>
      </c>
      <c r="Q774" t="s">
        <v>52</v>
      </c>
      <c r="R774" s="3">
        <v>0.09</v>
      </c>
      <c r="S774" s="2">
        <v>285.76799999999997</v>
      </c>
      <c r="T774">
        <v>3</v>
      </c>
      <c r="U774" t="str">
        <f t="shared" si="38"/>
        <v>Fevereiro</v>
      </c>
    </row>
    <row r="775" spans="1:21">
      <c r="A775">
        <v>774</v>
      </c>
      <c r="B775" s="1">
        <v>44252</v>
      </c>
      <c r="C775" s="1" t="str">
        <f t="shared" si="36"/>
        <v>fevereiro</v>
      </c>
      <c r="D775">
        <v>60</v>
      </c>
      <c r="E775" t="s">
        <v>82</v>
      </c>
      <c r="F775" t="s">
        <v>31</v>
      </c>
      <c r="G775" s="8">
        <v>28</v>
      </c>
      <c r="H775" s="2">
        <v>97</v>
      </c>
      <c r="I775" s="2">
        <v>2716</v>
      </c>
      <c r="J775" s="4">
        <v>0.06</v>
      </c>
      <c r="K775" s="2">
        <v>2553.04</v>
      </c>
      <c r="L775" s="2">
        <f t="shared" si="37"/>
        <v>162.96000000000004</v>
      </c>
      <c r="M775" s="1">
        <v>44260</v>
      </c>
      <c r="N775" s="1">
        <v>44260</v>
      </c>
      <c r="O775">
        <v>774</v>
      </c>
      <c r="P775">
        <v>1</v>
      </c>
      <c r="Q775" t="s">
        <v>69</v>
      </c>
      <c r="R775" s="3">
        <v>0.08</v>
      </c>
      <c r="S775" s="2">
        <v>204.2432</v>
      </c>
      <c r="T775">
        <v>4</v>
      </c>
      <c r="U775" t="str">
        <f t="shared" si="38"/>
        <v>Fevereiro</v>
      </c>
    </row>
    <row r="776" spans="1:21">
      <c r="A776">
        <v>775</v>
      </c>
      <c r="B776" s="1">
        <v>44252</v>
      </c>
      <c r="C776" s="1" t="str">
        <f t="shared" si="36"/>
        <v>fevereiro</v>
      </c>
      <c r="D776">
        <v>75</v>
      </c>
      <c r="E776" t="s">
        <v>38</v>
      </c>
      <c r="F776" t="s">
        <v>24</v>
      </c>
      <c r="G776" s="8">
        <v>39</v>
      </c>
      <c r="H776" s="2">
        <v>113</v>
      </c>
      <c r="I776" s="2">
        <v>4407</v>
      </c>
      <c r="J776" s="4">
        <v>0.1</v>
      </c>
      <c r="K776" s="2">
        <v>3966.3</v>
      </c>
      <c r="L776" s="2">
        <f t="shared" si="37"/>
        <v>440.69999999999982</v>
      </c>
      <c r="M776" s="1">
        <v>44282</v>
      </c>
      <c r="N776" s="1">
        <v>44282</v>
      </c>
      <c r="O776">
        <v>775</v>
      </c>
      <c r="P776">
        <v>5</v>
      </c>
      <c r="Q776" t="s">
        <v>25</v>
      </c>
      <c r="R776" s="3">
        <v>0.06</v>
      </c>
      <c r="S776" s="2">
        <v>237.97800000000001</v>
      </c>
      <c r="T776">
        <v>5</v>
      </c>
      <c r="U776" t="str">
        <f t="shared" si="38"/>
        <v>Fevereiro</v>
      </c>
    </row>
    <row r="777" spans="1:21">
      <c r="A777">
        <v>776</v>
      </c>
      <c r="B777" s="1">
        <v>44252</v>
      </c>
      <c r="C777" s="1" t="str">
        <f t="shared" si="36"/>
        <v>fevereiro</v>
      </c>
      <c r="D777">
        <v>62</v>
      </c>
      <c r="E777" t="s">
        <v>38</v>
      </c>
      <c r="F777" t="s">
        <v>50</v>
      </c>
      <c r="G777" s="8">
        <v>35</v>
      </c>
      <c r="H777" s="2">
        <v>98</v>
      </c>
      <c r="I777" s="2">
        <v>3430</v>
      </c>
      <c r="J777" s="4">
        <v>0.02</v>
      </c>
      <c r="K777" s="2">
        <v>3361.4</v>
      </c>
      <c r="L777" s="2">
        <f t="shared" si="37"/>
        <v>68.599999999999909</v>
      </c>
      <c r="M777" s="1">
        <v>44282</v>
      </c>
      <c r="N777" s="1">
        <v>44282</v>
      </c>
      <c r="O777">
        <v>776</v>
      </c>
      <c r="P777">
        <v>7</v>
      </c>
      <c r="Q777" t="s">
        <v>43</v>
      </c>
      <c r="R777" s="3">
        <v>0.05</v>
      </c>
      <c r="S777" s="2">
        <v>168.07000000000002</v>
      </c>
      <c r="T777">
        <v>6</v>
      </c>
      <c r="U777" t="str">
        <f t="shared" si="38"/>
        <v>Fevereiro</v>
      </c>
    </row>
    <row r="778" spans="1:21">
      <c r="A778">
        <v>777</v>
      </c>
      <c r="B778" s="1">
        <v>44252</v>
      </c>
      <c r="C778" s="1" t="str">
        <f t="shared" si="36"/>
        <v>fevereiro</v>
      </c>
      <c r="D778">
        <v>21</v>
      </c>
      <c r="E778" t="s">
        <v>87</v>
      </c>
      <c r="F778" t="s">
        <v>28</v>
      </c>
      <c r="G778" s="8">
        <v>13</v>
      </c>
      <c r="H778" s="2">
        <v>106</v>
      </c>
      <c r="I778" s="2">
        <v>1378</v>
      </c>
      <c r="J778" s="4">
        <v>0</v>
      </c>
      <c r="K778" s="2">
        <v>1378</v>
      </c>
      <c r="L778" s="2">
        <f t="shared" si="37"/>
        <v>0</v>
      </c>
      <c r="M778" s="1">
        <v>44255</v>
      </c>
      <c r="N778" s="1">
        <v>44255</v>
      </c>
      <c r="O778">
        <v>777</v>
      </c>
      <c r="P778">
        <v>4</v>
      </c>
      <c r="Q778" t="s">
        <v>25</v>
      </c>
      <c r="R778" s="3">
        <v>0.05</v>
      </c>
      <c r="S778" s="2">
        <v>68.900000000000006</v>
      </c>
      <c r="T778">
        <v>7</v>
      </c>
      <c r="U778" t="str">
        <f t="shared" si="38"/>
        <v>Fevereiro</v>
      </c>
    </row>
    <row r="779" spans="1:21">
      <c r="A779">
        <v>778</v>
      </c>
      <c r="B779" s="1">
        <v>44253</v>
      </c>
      <c r="C779" s="1" t="str">
        <f t="shared" si="36"/>
        <v>fevereiro</v>
      </c>
      <c r="D779">
        <v>17</v>
      </c>
      <c r="E779" t="s">
        <v>67</v>
      </c>
      <c r="F779" t="s">
        <v>46</v>
      </c>
      <c r="G779" s="8">
        <v>10</v>
      </c>
      <c r="H779" s="2">
        <v>104</v>
      </c>
      <c r="I779" s="2">
        <v>1040</v>
      </c>
      <c r="J779" s="4">
        <v>0.12</v>
      </c>
      <c r="K779" s="2">
        <v>915.2</v>
      </c>
      <c r="L779" s="2">
        <f t="shared" si="37"/>
        <v>124.79999999999995</v>
      </c>
      <c r="M779" s="1">
        <v>44264</v>
      </c>
      <c r="N779" s="1">
        <v>44264</v>
      </c>
      <c r="O779">
        <v>778</v>
      </c>
      <c r="P779">
        <v>2</v>
      </c>
      <c r="Q779" t="s">
        <v>47</v>
      </c>
      <c r="R779" s="3">
        <v>0.09</v>
      </c>
      <c r="S779" s="2">
        <v>82.367999999999995</v>
      </c>
      <c r="T779">
        <v>1</v>
      </c>
      <c r="U779" t="str">
        <f t="shared" si="38"/>
        <v>Fevereiro</v>
      </c>
    </row>
    <row r="780" spans="1:21">
      <c r="A780">
        <v>779</v>
      </c>
      <c r="B780" s="1">
        <v>44253</v>
      </c>
      <c r="C780" s="1" t="str">
        <f t="shared" si="36"/>
        <v>fevereiro</v>
      </c>
      <c r="D780">
        <v>49</v>
      </c>
      <c r="E780" t="s">
        <v>38</v>
      </c>
      <c r="F780" t="s">
        <v>54</v>
      </c>
      <c r="G780" s="8">
        <v>37</v>
      </c>
      <c r="H780" s="2">
        <v>112</v>
      </c>
      <c r="I780" s="2">
        <v>4144</v>
      </c>
      <c r="J780" s="4">
        <v>0.03</v>
      </c>
      <c r="K780" s="2">
        <v>4019.68</v>
      </c>
      <c r="L780" s="2">
        <f t="shared" si="37"/>
        <v>124.32000000000016</v>
      </c>
      <c r="M780" s="1">
        <v>44269</v>
      </c>
      <c r="N780" s="1">
        <v>44269</v>
      </c>
      <c r="O780">
        <v>779</v>
      </c>
      <c r="P780">
        <v>4</v>
      </c>
      <c r="Q780" t="s">
        <v>32</v>
      </c>
      <c r="R780" s="3">
        <v>0.08</v>
      </c>
      <c r="S780" s="2">
        <v>321.57439999999997</v>
      </c>
      <c r="T780">
        <v>2</v>
      </c>
      <c r="U780" t="str">
        <f t="shared" si="38"/>
        <v>Fevereiro</v>
      </c>
    </row>
    <row r="781" spans="1:21">
      <c r="A781">
        <v>780</v>
      </c>
      <c r="B781" s="1">
        <v>44253</v>
      </c>
      <c r="C781" s="1" t="str">
        <f t="shared" si="36"/>
        <v>fevereiro</v>
      </c>
      <c r="D781">
        <v>24</v>
      </c>
      <c r="E781" t="s">
        <v>74</v>
      </c>
      <c r="F781" t="s">
        <v>54</v>
      </c>
      <c r="G781" s="8">
        <v>30</v>
      </c>
      <c r="H781" s="2">
        <v>110</v>
      </c>
      <c r="I781" s="2">
        <v>3300</v>
      </c>
      <c r="J781" s="4">
        <v>0.01</v>
      </c>
      <c r="K781" s="2">
        <v>3267</v>
      </c>
      <c r="L781" s="2">
        <f t="shared" si="37"/>
        <v>33</v>
      </c>
      <c r="M781" s="1">
        <v>44276</v>
      </c>
      <c r="N781" s="1">
        <v>44276</v>
      </c>
      <c r="O781">
        <v>780</v>
      </c>
      <c r="P781">
        <v>2</v>
      </c>
      <c r="Q781" t="s">
        <v>22</v>
      </c>
      <c r="R781" s="3">
        <v>0.08</v>
      </c>
      <c r="S781" s="2">
        <v>261.36</v>
      </c>
      <c r="T781">
        <v>3</v>
      </c>
      <c r="U781" t="str">
        <f t="shared" si="38"/>
        <v>Fevereiro</v>
      </c>
    </row>
    <row r="782" spans="1:21">
      <c r="A782">
        <v>781</v>
      </c>
      <c r="B782" s="1">
        <v>44254</v>
      </c>
      <c r="C782" s="1" t="str">
        <f t="shared" si="36"/>
        <v>fevereiro</v>
      </c>
      <c r="D782">
        <v>14</v>
      </c>
      <c r="E782" t="s">
        <v>27</v>
      </c>
      <c r="F782" t="s">
        <v>50</v>
      </c>
      <c r="G782" s="8">
        <v>45</v>
      </c>
      <c r="H782" s="2">
        <v>104</v>
      </c>
      <c r="I782" s="2">
        <v>4680</v>
      </c>
      <c r="J782" s="4">
        <v>0.13</v>
      </c>
      <c r="K782" s="2">
        <v>4071.6</v>
      </c>
      <c r="L782" s="2">
        <f t="shared" si="37"/>
        <v>608.40000000000009</v>
      </c>
      <c r="M782" s="1">
        <v>44284</v>
      </c>
      <c r="N782" s="1">
        <v>44284</v>
      </c>
      <c r="O782">
        <v>781</v>
      </c>
      <c r="P782">
        <v>3</v>
      </c>
      <c r="Q782" t="s">
        <v>43</v>
      </c>
      <c r="R782" s="3">
        <v>0.06</v>
      </c>
      <c r="S782" s="2">
        <v>244.29599999999999</v>
      </c>
      <c r="T782">
        <v>4</v>
      </c>
      <c r="U782" t="str">
        <f t="shared" si="38"/>
        <v>Fevereiro</v>
      </c>
    </row>
    <row r="783" spans="1:21">
      <c r="A783">
        <v>782</v>
      </c>
      <c r="B783" s="1">
        <v>44254</v>
      </c>
      <c r="C783" s="1" t="str">
        <f t="shared" si="36"/>
        <v>fevereiro</v>
      </c>
      <c r="D783">
        <v>21</v>
      </c>
      <c r="E783" t="s">
        <v>87</v>
      </c>
      <c r="F783" t="s">
        <v>28</v>
      </c>
      <c r="G783" s="8">
        <v>50</v>
      </c>
      <c r="H783" s="2">
        <v>114</v>
      </c>
      <c r="I783" s="2">
        <v>5700</v>
      </c>
      <c r="J783" s="4">
        <v>0</v>
      </c>
      <c r="K783" s="2">
        <v>5700</v>
      </c>
      <c r="L783" s="2">
        <f t="shared" si="37"/>
        <v>0</v>
      </c>
      <c r="M783" s="1">
        <v>44282</v>
      </c>
      <c r="N783" s="1">
        <v>44282</v>
      </c>
      <c r="O783">
        <v>782</v>
      </c>
      <c r="P783">
        <v>3</v>
      </c>
      <c r="Q783" t="s">
        <v>69</v>
      </c>
      <c r="R783" s="3">
        <v>0.1</v>
      </c>
      <c r="S783" s="2">
        <v>570</v>
      </c>
      <c r="T783">
        <v>5</v>
      </c>
      <c r="U783" t="str">
        <f t="shared" si="38"/>
        <v>Fevereiro</v>
      </c>
    </row>
    <row r="784" spans="1:21">
      <c r="A784">
        <v>783</v>
      </c>
      <c r="B784" s="1">
        <v>44255</v>
      </c>
      <c r="C784" s="1" t="str">
        <f t="shared" si="36"/>
        <v>fevereiro</v>
      </c>
      <c r="D784">
        <v>15</v>
      </c>
      <c r="E784" t="s">
        <v>77</v>
      </c>
      <c r="F784" t="s">
        <v>28</v>
      </c>
      <c r="G784" s="8">
        <v>15</v>
      </c>
      <c r="H784" s="2">
        <v>112</v>
      </c>
      <c r="I784" s="2">
        <v>1680</v>
      </c>
      <c r="J784" s="4">
        <v>0.14000000000000001</v>
      </c>
      <c r="K784" s="2">
        <v>1444.8</v>
      </c>
      <c r="L784" s="2">
        <f t="shared" si="37"/>
        <v>235.20000000000005</v>
      </c>
      <c r="M784" s="1">
        <v>44283</v>
      </c>
      <c r="N784" s="1">
        <v>44283</v>
      </c>
      <c r="O784">
        <v>783</v>
      </c>
      <c r="P784">
        <v>1</v>
      </c>
      <c r="Q784" t="s">
        <v>34</v>
      </c>
      <c r="R784" s="3">
        <v>7.0000000000000007E-2</v>
      </c>
      <c r="S784" s="2">
        <v>101.13600000000001</v>
      </c>
      <c r="T784">
        <v>6</v>
      </c>
      <c r="U784" t="str">
        <f t="shared" si="38"/>
        <v>Fevereiro</v>
      </c>
    </row>
    <row r="785" spans="1:21">
      <c r="A785">
        <v>784</v>
      </c>
      <c r="B785" s="1">
        <v>44256</v>
      </c>
      <c r="C785" s="1" t="str">
        <f t="shared" si="36"/>
        <v>março</v>
      </c>
      <c r="D785">
        <v>38</v>
      </c>
      <c r="E785" t="s">
        <v>73</v>
      </c>
      <c r="F785" t="s">
        <v>50</v>
      </c>
      <c r="G785" s="8">
        <v>47</v>
      </c>
      <c r="H785" s="2">
        <v>105</v>
      </c>
      <c r="I785" s="2">
        <v>4935</v>
      </c>
      <c r="J785" s="4">
        <v>0.15</v>
      </c>
      <c r="K785" s="2">
        <v>4194.75</v>
      </c>
      <c r="L785" s="2">
        <f t="shared" si="37"/>
        <v>740.25</v>
      </c>
      <c r="M785" s="1">
        <v>44276</v>
      </c>
      <c r="N785" s="1">
        <v>44276</v>
      </c>
      <c r="O785">
        <v>784</v>
      </c>
      <c r="P785">
        <v>6</v>
      </c>
      <c r="Q785" t="s">
        <v>69</v>
      </c>
      <c r="R785" s="3">
        <v>0.1</v>
      </c>
      <c r="S785" s="2">
        <v>419.47500000000002</v>
      </c>
      <c r="T785">
        <v>7</v>
      </c>
      <c r="U785" t="str">
        <f t="shared" si="38"/>
        <v>Março</v>
      </c>
    </row>
    <row r="786" spans="1:21">
      <c r="A786">
        <v>785</v>
      </c>
      <c r="B786" s="1">
        <v>44257</v>
      </c>
      <c r="C786" s="1" t="str">
        <f t="shared" si="36"/>
        <v>março</v>
      </c>
      <c r="D786">
        <v>85</v>
      </c>
      <c r="E786" t="s">
        <v>57</v>
      </c>
      <c r="F786" t="s">
        <v>28</v>
      </c>
      <c r="G786" s="8">
        <v>13</v>
      </c>
      <c r="H786" s="2">
        <v>94</v>
      </c>
      <c r="I786" s="2">
        <v>1222</v>
      </c>
      <c r="J786" s="4">
        <v>0.02</v>
      </c>
      <c r="K786" s="2">
        <v>1197.56</v>
      </c>
      <c r="L786" s="2">
        <f t="shared" si="37"/>
        <v>24.440000000000055</v>
      </c>
      <c r="M786" s="1">
        <v>44283</v>
      </c>
      <c r="N786" s="1">
        <v>44283</v>
      </c>
      <c r="O786">
        <v>785</v>
      </c>
      <c r="P786">
        <v>4</v>
      </c>
      <c r="Q786" t="s">
        <v>37</v>
      </c>
      <c r="R786" s="3">
        <v>0.09</v>
      </c>
      <c r="S786" s="2">
        <v>107.78039999999999</v>
      </c>
      <c r="T786">
        <v>1</v>
      </c>
      <c r="U786" t="str">
        <f t="shared" si="38"/>
        <v>Março</v>
      </c>
    </row>
    <row r="787" spans="1:21">
      <c r="A787">
        <v>786</v>
      </c>
      <c r="B787" s="1">
        <v>44257</v>
      </c>
      <c r="C787" s="1" t="str">
        <f t="shared" si="36"/>
        <v>março</v>
      </c>
      <c r="D787">
        <v>70</v>
      </c>
      <c r="E787" t="s">
        <v>67</v>
      </c>
      <c r="F787" t="s">
        <v>50</v>
      </c>
      <c r="G787" s="8">
        <v>29</v>
      </c>
      <c r="H787" s="2">
        <v>96</v>
      </c>
      <c r="I787" s="2">
        <v>2784</v>
      </c>
      <c r="J787" s="4">
        <v>7.0000000000000007E-2</v>
      </c>
      <c r="K787" s="2">
        <v>2589.12</v>
      </c>
      <c r="L787" s="2">
        <f t="shared" si="37"/>
        <v>194.88000000000011</v>
      </c>
      <c r="M787" s="1">
        <v>44266</v>
      </c>
      <c r="N787" s="1">
        <v>44266</v>
      </c>
      <c r="O787">
        <v>786</v>
      </c>
      <c r="P787">
        <v>1</v>
      </c>
      <c r="Q787" t="s">
        <v>29</v>
      </c>
      <c r="R787" s="3">
        <v>7.0000000000000007E-2</v>
      </c>
      <c r="S787" s="2">
        <v>181.23840000000001</v>
      </c>
      <c r="T787">
        <v>2</v>
      </c>
      <c r="U787" t="str">
        <f t="shared" si="38"/>
        <v>Março</v>
      </c>
    </row>
    <row r="788" spans="1:21">
      <c r="A788">
        <v>787</v>
      </c>
      <c r="B788" s="1">
        <v>44257</v>
      </c>
      <c r="C788" s="1" t="str">
        <f t="shared" si="36"/>
        <v>março</v>
      </c>
      <c r="D788">
        <v>30</v>
      </c>
      <c r="E788" t="s">
        <v>96</v>
      </c>
      <c r="F788" t="s">
        <v>50</v>
      </c>
      <c r="G788" s="8">
        <v>24</v>
      </c>
      <c r="H788" s="2">
        <v>100</v>
      </c>
      <c r="I788" s="2">
        <v>2400</v>
      </c>
      <c r="J788" s="4">
        <v>0.15</v>
      </c>
      <c r="K788" s="2">
        <v>2040</v>
      </c>
      <c r="L788" s="2">
        <f t="shared" si="37"/>
        <v>360</v>
      </c>
      <c r="M788" s="1">
        <v>44279</v>
      </c>
      <c r="N788" s="1">
        <v>44279</v>
      </c>
      <c r="O788">
        <v>787</v>
      </c>
      <c r="P788">
        <v>3</v>
      </c>
      <c r="Q788" t="s">
        <v>47</v>
      </c>
      <c r="R788" s="3">
        <v>0.06</v>
      </c>
      <c r="S788" s="2">
        <v>122.39999999999999</v>
      </c>
      <c r="T788">
        <v>3</v>
      </c>
      <c r="U788" t="str">
        <f t="shared" si="38"/>
        <v>Março</v>
      </c>
    </row>
    <row r="789" spans="1:21">
      <c r="A789">
        <v>788</v>
      </c>
      <c r="B789" s="1">
        <v>44257</v>
      </c>
      <c r="C789" s="1" t="str">
        <f t="shared" si="36"/>
        <v>março</v>
      </c>
      <c r="D789">
        <v>66</v>
      </c>
      <c r="E789" t="s">
        <v>30</v>
      </c>
      <c r="F789" t="s">
        <v>24</v>
      </c>
      <c r="G789" s="8">
        <v>34</v>
      </c>
      <c r="H789" s="2">
        <v>111</v>
      </c>
      <c r="I789" s="2">
        <v>3774</v>
      </c>
      <c r="J789" s="4">
        <v>7.0000000000000007E-2</v>
      </c>
      <c r="K789" s="2">
        <v>3509.82</v>
      </c>
      <c r="L789" s="2">
        <f t="shared" si="37"/>
        <v>264.17999999999984</v>
      </c>
      <c r="M789" s="1">
        <v>44279</v>
      </c>
      <c r="N789" s="1">
        <v>44279</v>
      </c>
      <c r="O789">
        <v>788</v>
      </c>
      <c r="P789">
        <v>2</v>
      </c>
      <c r="Q789" t="s">
        <v>43</v>
      </c>
      <c r="R789" s="3">
        <v>0.06</v>
      </c>
      <c r="S789" s="2">
        <v>210.58920000000001</v>
      </c>
      <c r="T789">
        <v>4</v>
      </c>
      <c r="U789" t="str">
        <f t="shared" si="38"/>
        <v>Março</v>
      </c>
    </row>
    <row r="790" spans="1:21">
      <c r="A790">
        <v>789</v>
      </c>
      <c r="B790" s="1">
        <v>44259</v>
      </c>
      <c r="C790" s="1" t="str">
        <f t="shared" si="36"/>
        <v>março</v>
      </c>
      <c r="D790">
        <v>98</v>
      </c>
      <c r="E790" t="s">
        <v>26</v>
      </c>
      <c r="F790" t="s">
        <v>31</v>
      </c>
      <c r="G790" s="8">
        <v>49</v>
      </c>
      <c r="H790" s="2">
        <v>115</v>
      </c>
      <c r="I790" s="2">
        <v>5635</v>
      </c>
      <c r="J790" s="4">
        <v>0.09</v>
      </c>
      <c r="K790" s="2">
        <v>5127.8500000000004</v>
      </c>
      <c r="L790" s="2">
        <f t="shared" si="37"/>
        <v>507.14999999999964</v>
      </c>
      <c r="M790" s="1">
        <v>44287</v>
      </c>
      <c r="N790" s="1">
        <v>44287</v>
      </c>
      <c r="O790">
        <v>789</v>
      </c>
      <c r="P790">
        <v>1</v>
      </c>
      <c r="Q790" t="s">
        <v>69</v>
      </c>
      <c r="R790" s="3">
        <v>0.08</v>
      </c>
      <c r="S790" s="2">
        <v>410.22800000000007</v>
      </c>
      <c r="T790">
        <v>5</v>
      </c>
      <c r="U790" t="str">
        <f t="shared" si="38"/>
        <v>Março</v>
      </c>
    </row>
    <row r="791" spans="1:21">
      <c r="A791">
        <v>790</v>
      </c>
      <c r="B791" s="1">
        <v>44260</v>
      </c>
      <c r="C791" s="1" t="str">
        <f t="shared" si="36"/>
        <v>março</v>
      </c>
      <c r="D791">
        <v>1</v>
      </c>
      <c r="E791" t="s">
        <v>93</v>
      </c>
      <c r="F791" t="s">
        <v>46</v>
      </c>
      <c r="G791" s="8">
        <v>37</v>
      </c>
      <c r="H791" s="2">
        <v>97</v>
      </c>
      <c r="I791" s="2">
        <v>3589</v>
      </c>
      <c r="J791" s="4">
        <v>0.03</v>
      </c>
      <c r="K791" s="2">
        <v>3481.33</v>
      </c>
      <c r="L791" s="2">
        <f t="shared" si="37"/>
        <v>107.67000000000007</v>
      </c>
      <c r="M791" s="1">
        <v>44282</v>
      </c>
      <c r="N791" s="1">
        <v>44282</v>
      </c>
      <c r="O791">
        <v>790</v>
      </c>
      <c r="P791">
        <v>4</v>
      </c>
      <c r="Q791" t="s">
        <v>47</v>
      </c>
      <c r="R791" s="3">
        <v>0.09</v>
      </c>
      <c r="S791" s="2">
        <v>313.31969999999995</v>
      </c>
      <c r="T791">
        <v>6</v>
      </c>
      <c r="U791" t="str">
        <f t="shared" si="38"/>
        <v>Março</v>
      </c>
    </row>
    <row r="792" spans="1:21">
      <c r="A792">
        <v>791</v>
      </c>
      <c r="B792" s="1">
        <v>44260</v>
      </c>
      <c r="C792" s="1" t="str">
        <f t="shared" si="36"/>
        <v>março</v>
      </c>
      <c r="D792">
        <v>42</v>
      </c>
      <c r="E792" t="s">
        <v>92</v>
      </c>
      <c r="F792" t="s">
        <v>46</v>
      </c>
      <c r="G792" s="8">
        <v>47</v>
      </c>
      <c r="H792" s="2">
        <v>98</v>
      </c>
      <c r="I792" s="2">
        <v>4606</v>
      </c>
      <c r="J792" s="4">
        <v>0.01</v>
      </c>
      <c r="K792" s="2">
        <v>4559.9399999999996</v>
      </c>
      <c r="L792" s="2">
        <f t="shared" si="37"/>
        <v>46.0600000000004</v>
      </c>
      <c r="M792" s="1">
        <v>44275</v>
      </c>
      <c r="N792" s="1">
        <v>44275</v>
      </c>
      <c r="O792">
        <v>791</v>
      </c>
      <c r="P792">
        <v>5</v>
      </c>
      <c r="Q792" t="s">
        <v>52</v>
      </c>
      <c r="R792" s="3">
        <v>0.06</v>
      </c>
      <c r="S792" s="2">
        <v>273.59639999999996</v>
      </c>
      <c r="T792">
        <v>7</v>
      </c>
      <c r="U792" t="str">
        <f t="shared" si="38"/>
        <v>Março</v>
      </c>
    </row>
    <row r="793" spans="1:21">
      <c r="A793">
        <v>792</v>
      </c>
      <c r="B793" s="1">
        <v>44260</v>
      </c>
      <c r="C793" s="1" t="str">
        <f t="shared" si="36"/>
        <v>março</v>
      </c>
      <c r="D793">
        <v>81</v>
      </c>
      <c r="E793" t="s">
        <v>103</v>
      </c>
      <c r="F793" t="s">
        <v>21</v>
      </c>
      <c r="G793" s="8">
        <v>12</v>
      </c>
      <c r="H793" s="2">
        <v>101</v>
      </c>
      <c r="I793" s="2">
        <v>1212</v>
      </c>
      <c r="J793" s="4">
        <v>0.01</v>
      </c>
      <c r="K793" s="2">
        <v>1199.8800000000001</v>
      </c>
      <c r="L793" s="2">
        <f t="shared" si="37"/>
        <v>12.119999999999891</v>
      </c>
      <c r="M793" s="1">
        <v>44283</v>
      </c>
      <c r="N793" s="1">
        <v>44283</v>
      </c>
      <c r="O793">
        <v>792</v>
      </c>
      <c r="P793">
        <v>3</v>
      </c>
      <c r="Q793" t="s">
        <v>22</v>
      </c>
      <c r="R793" s="3">
        <v>7.0000000000000007E-2</v>
      </c>
      <c r="S793" s="2">
        <v>83.99160000000002</v>
      </c>
      <c r="T793">
        <v>1</v>
      </c>
      <c r="U793" t="str">
        <f t="shared" si="38"/>
        <v>Março</v>
      </c>
    </row>
    <row r="794" spans="1:21">
      <c r="A794">
        <v>793</v>
      </c>
      <c r="B794" s="1">
        <v>44261</v>
      </c>
      <c r="C794" s="1" t="str">
        <f t="shared" si="36"/>
        <v>março</v>
      </c>
      <c r="D794">
        <v>91</v>
      </c>
      <c r="E794" t="s">
        <v>62</v>
      </c>
      <c r="F794" t="s">
        <v>28</v>
      </c>
      <c r="G794" s="8">
        <v>49</v>
      </c>
      <c r="H794" s="2">
        <v>112</v>
      </c>
      <c r="I794" s="2">
        <v>5488</v>
      </c>
      <c r="J794" s="4">
        <v>0.02</v>
      </c>
      <c r="K794" s="2">
        <v>5378.24</v>
      </c>
      <c r="L794" s="2">
        <f t="shared" si="37"/>
        <v>109.76000000000022</v>
      </c>
      <c r="M794" s="1">
        <v>44272</v>
      </c>
      <c r="N794" s="1">
        <v>44272</v>
      </c>
      <c r="O794">
        <v>793</v>
      </c>
      <c r="P794">
        <v>2</v>
      </c>
      <c r="Q794" t="s">
        <v>32</v>
      </c>
      <c r="R794" s="3">
        <v>0.1</v>
      </c>
      <c r="S794" s="2">
        <v>537.82399999999996</v>
      </c>
      <c r="T794">
        <v>2</v>
      </c>
      <c r="U794" t="str">
        <f t="shared" si="38"/>
        <v>Março</v>
      </c>
    </row>
    <row r="795" spans="1:21">
      <c r="A795">
        <v>794</v>
      </c>
      <c r="B795" s="1">
        <v>44261</v>
      </c>
      <c r="C795" s="1" t="str">
        <f t="shared" si="36"/>
        <v>março</v>
      </c>
      <c r="D795">
        <v>93</v>
      </c>
      <c r="E795" t="s">
        <v>33</v>
      </c>
      <c r="F795" t="s">
        <v>28</v>
      </c>
      <c r="G795" s="8">
        <v>30</v>
      </c>
      <c r="H795" s="2">
        <v>90</v>
      </c>
      <c r="I795" s="2">
        <v>2700</v>
      </c>
      <c r="J795" s="4">
        <v>0.02</v>
      </c>
      <c r="K795" s="2">
        <v>2646</v>
      </c>
      <c r="L795" s="2">
        <f t="shared" si="37"/>
        <v>54</v>
      </c>
      <c r="M795" s="1">
        <v>44289</v>
      </c>
      <c r="N795" s="1">
        <v>44289</v>
      </c>
      <c r="O795">
        <v>794</v>
      </c>
      <c r="P795">
        <v>5</v>
      </c>
      <c r="Q795" t="s">
        <v>69</v>
      </c>
      <c r="R795" s="3">
        <v>0.05</v>
      </c>
      <c r="S795" s="2">
        <v>132.30000000000001</v>
      </c>
      <c r="T795">
        <v>3</v>
      </c>
      <c r="U795" t="str">
        <f t="shared" si="38"/>
        <v>Março</v>
      </c>
    </row>
    <row r="796" spans="1:21">
      <c r="A796">
        <v>795</v>
      </c>
      <c r="B796" s="1">
        <v>44261</v>
      </c>
      <c r="C796" s="1" t="str">
        <f t="shared" si="36"/>
        <v>março</v>
      </c>
      <c r="D796">
        <v>6</v>
      </c>
      <c r="E796" t="s">
        <v>88</v>
      </c>
      <c r="F796" t="s">
        <v>46</v>
      </c>
      <c r="G796" s="8">
        <v>41</v>
      </c>
      <c r="H796" s="2">
        <v>110</v>
      </c>
      <c r="I796" s="2">
        <v>4510</v>
      </c>
      <c r="J796" s="4">
        <v>0.1</v>
      </c>
      <c r="K796" s="2">
        <v>4059</v>
      </c>
      <c r="L796" s="2">
        <f t="shared" si="37"/>
        <v>451</v>
      </c>
      <c r="M796" s="1">
        <v>44264</v>
      </c>
      <c r="O796">
        <v>795</v>
      </c>
      <c r="P796">
        <v>3</v>
      </c>
      <c r="Q796" t="s">
        <v>37</v>
      </c>
      <c r="R796" s="3">
        <v>0.06</v>
      </c>
      <c r="S796" s="2">
        <v>243.54</v>
      </c>
      <c r="T796">
        <v>4</v>
      </c>
      <c r="U796" t="str">
        <f t="shared" si="38"/>
        <v>Março</v>
      </c>
    </row>
    <row r="797" spans="1:21">
      <c r="A797">
        <v>796</v>
      </c>
      <c r="B797" s="1">
        <v>44261</v>
      </c>
      <c r="C797" s="1" t="str">
        <f t="shared" si="36"/>
        <v>março</v>
      </c>
      <c r="D797">
        <v>11</v>
      </c>
      <c r="E797" t="s">
        <v>60</v>
      </c>
      <c r="F797" t="s">
        <v>21</v>
      </c>
      <c r="G797" s="8">
        <v>23</v>
      </c>
      <c r="H797" s="2">
        <v>114</v>
      </c>
      <c r="I797" s="2">
        <v>2622</v>
      </c>
      <c r="J797" s="4">
        <v>0.15</v>
      </c>
      <c r="K797" s="2">
        <v>2228.6999999999998</v>
      </c>
      <c r="L797" s="2">
        <f t="shared" si="37"/>
        <v>393.30000000000018</v>
      </c>
      <c r="M797" s="1">
        <v>44268</v>
      </c>
      <c r="N797" s="1">
        <v>44268</v>
      </c>
      <c r="O797">
        <v>796</v>
      </c>
      <c r="P797">
        <v>6</v>
      </c>
      <c r="Q797" t="s">
        <v>22</v>
      </c>
      <c r="R797" s="3">
        <v>7.0000000000000007E-2</v>
      </c>
      <c r="S797" s="2">
        <v>156.00900000000001</v>
      </c>
      <c r="T797">
        <v>5</v>
      </c>
      <c r="U797" t="str">
        <f t="shared" si="38"/>
        <v>Março</v>
      </c>
    </row>
    <row r="798" spans="1:21">
      <c r="A798">
        <v>797</v>
      </c>
      <c r="B798" s="1">
        <v>44261</v>
      </c>
      <c r="C798" s="1" t="str">
        <f t="shared" si="36"/>
        <v>março</v>
      </c>
      <c r="D798">
        <v>15</v>
      </c>
      <c r="E798" t="s">
        <v>77</v>
      </c>
      <c r="F798" t="s">
        <v>24</v>
      </c>
      <c r="G798" s="8">
        <v>29</v>
      </c>
      <c r="H798" s="2">
        <v>107</v>
      </c>
      <c r="I798" s="2">
        <v>3103</v>
      </c>
      <c r="J798" s="4">
        <v>0.15</v>
      </c>
      <c r="K798" s="2">
        <v>2637.55</v>
      </c>
      <c r="L798" s="2">
        <f t="shared" si="37"/>
        <v>465.44999999999982</v>
      </c>
      <c r="M798" s="1">
        <v>44281</v>
      </c>
      <c r="N798" s="1">
        <v>44281</v>
      </c>
      <c r="O798">
        <v>797</v>
      </c>
      <c r="P798">
        <v>2</v>
      </c>
      <c r="Q798" t="s">
        <v>29</v>
      </c>
      <c r="R798" s="3">
        <v>0.06</v>
      </c>
      <c r="S798" s="2">
        <v>158.25300000000001</v>
      </c>
      <c r="T798">
        <v>6</v>
      </c>
      <c r="U798" t="str">
        <f t="shared" si="38"/>
        <v>Março</v>
      </c>
    </row>
    <row r="799" spans="1:21">
      <c r="A799">
        <v>798</v>
      </c>
      <c r="B799" s="1">
        <v>44262</v>
      </c>
      <c r="C799" s="1" t="str">
        <f t="shared" si="36"/>
        <v>março</v>
      </c>
      <c r="D799">
        <v>89</v>
      </c>
      <c r="E799" t="s">
        <v>49</v>
      </c>
      <c r="F799" t="s">
        <v>59</v>
      </c>
      <c r="G799" s="8">
        <v>39</v>
      </c>
      <c r="H799" s="2">
        <v>109</v>
      </c>
      <c r="I799" s="2">
        <v>4251</v>
      </c>
      <c r="J799" s="4">
        <v>0</v>
      </c>
      <c r="K799" s="2">
        <v>4251</v>
      </c>
      <c r="L799" s="2">
        <f t="shared" si="37"/>
        <v>0</v>
      </c>
      <c r="M799" s="1">
        <v>44267</v>
      </c>
      <c r="N799" s="1">
        <v>44267</v>
      </c>
      <c r="O799">
        <v>798</v>
      </c>
      <c r="P799">
        <v>5</v>
      </c>
      <c r="Q799" t="s">
        <v>69</v>
      </c>
      <c r="R799" s="3">
        <v>0.08</v>
      </c>
      <c r="S799" s="2">
        <v>340.08</v>
      </c>
      <c r="T799">
        <v>7</v>
      </c>
      <c r="U799" t="str">
        <f t="shared" si="38"/>
        <v>Março</v>
      </c>
    </row>
    <row r="800" spans="1:21">
      <c r="A800">
        <v>799</v>
      </c>
      <c r="B800" s="1">
        <v>44262</v>
      </c>
      <c r="C800" s="1" t="str">
        <f t="shared" si="36"/>
        <v>março</v>
      </c>
      <c r="D800">
        <v>15</v>
      </c>
      <c r="E800" t="s">
        <v>77</v>
      </c>
      <c r="F800" t="s">
        <v>50</v>
      </c>
      <c r="G800" s="8">
        <v>27</v>
      </c>
      <c r="H800" s="2">
        <v>109</v>
      </c>
      <c r="I800" s="2">
        <v>2943</v>
      </c>
      <c r="J800" s="4">
        <v>0.05</v>
      </c>
      <c r="K800" s="2">
        <v>2795.85</v>
      </c>
      <c r="L800" s="2">
        <f t="shared" si="37"/>
        <v>147.15000000000009</v>
      </c>
      <c r="M800" s="1">
        <v>44277</v>
      </c>
      <c r="N800" s="1">
        <v>44277</v>
      </c>
      <c r="O800">
        <v>799</v>
      </c>
      <c r="P800">
        <v>5</v>
      </c>
      <c r="Q800" t="s">
        <v>52</v>
      </c>
      <c r="R800" s="3">
        <v>7.0000000000000007E-2</v>
      </c>
      <c r="S800" s="2">
        <v>195.70950000000002</v>
      </c>
      <c r="T800">
        <v>1</v>
      </c>
      <c r="U800" t="str">
        <f t="shared" si="38"/>
        <v>Março</v>
      </c>
    </row>
    <row r="801" spans="1:21">
      <c r="A801">
        <v>800</v>
      </c>
      <c r="B801" s="1">
        <v>44262</v>
      </c>
      <c r="C801" s="1" t="str">
        <f t="shared" si="36"/>
        <v>março</v>
      </c>
      <c r="D801">
        <v>61</v>
      </c>
      <c r="E801" t="s">
        <v>56</v>
      </c>
      <c r="F801" t="s">
        <v>21</v>
      </c>
      <c r="G801" s="8">
        <v>25</v>
      </c>
      <c r="H801" s="2">
        <v>119</v>
      </c>
      <c r="I801" s="2">
        <v>2975</v>
      </c>
      <c r="J801" s="4">
        <v>0.05</v>
      </c>
      <c r="K801" s="2">
        <v>2826.25</v>
      </c>
      <c r="L801" s="2">
        <f t="shared" si="37"/>
        <v>148.75</v>
      </c>
      <c r="M801" s="1">
        <v>44269</v>
      </c>
      <c r="N801" s="1">
        <v>44269</v>
      </c>
      <c r="O801">
        <v>800</v>
      </c>
      <c r="P801">
        <v>4</v>
      </c>
      <c r="Q801" t="s">
        <v>37</v>
      </c>
      <c r="R801" s="3">
        <v>0.09</v>
      </c>
      <c r="S801" s="2">
        <v>254.36249999999998</v>
      </c>
      <c r="T801">
        <v>2</v>
      </c>
      <c r="U801" t="str">
        <f t="shared" si="38"/>
        <v>Março</v>
      </c>
    </row>
    <row r="802" spans="1:21">
      <c r="A802">
        <v>801</v>
      </c>
      <c r="B802" s="1">
        <v>44262</v>
      </c>
      <c r="C802" s="1" t="str">
        <f t="shared" si="36"/>
        <v>março</v>
      </c>
      <c r="D802">
        <v>3</v>
      </c>
      <c r="E802" t="s">
        <v>91</v>
      </c>
      <c r="F802" t="s">
        <v>55</v>
      </c>
      <c r="G802" s="8">
        <v>19</v>
      </c>
      <c r="H802" s="2">
        <v>98</v>
      </c>
      <c r="I802" s="2">
        <v>1862</v>
      </c>
      <c r="J802" s="4">
        <v>0.02</v>
      </c>
      <c r="K802" s="2">
        <v>1824.76</v>
      </c>
      <c r="L802" s="2">
        <f t="shared" si="37"/>
        <v>37.240000000000009</v>
      </c>
      <c r="M802" s="1">
        <v>44289</v>
      </c>
      <c r="N802" s="1">
        <v>44289</v>
      </c>
      <c r="O802">
        <v>801</v>
      </c>
      <c r="P802">
        <v>5</v>
      </c>
      <c r="Q802" t="s">
        <v>25</v>
      </c>
      <c r="R802" s="3">
        <v>7.0000000000000007E-2</v>
      </c>
      <c r="S802" s="2">
        <v>127.73320000000001</v>
      </c>
      <c r="T802">
        <v>3</v>
      </c>
      <c r="U802" t="str">
        <f t="shared" si="38"/>
        <v>Março</v>
      </c>
    </row>
    <row r="803" spans="1:21">
      <c r="A803">
        <v>802</v>
      </c>
      <c r="B803" s="1">
        <v>44262</v>
      </c>
      <c r="C803" s="1" t="str">
        <f t="shared" si="36"/>
        <v>março</v>
      </c>
      <c r="D803">
        <v>22</v>
      </c>
      <c r="E803" t="s">
        <v>51</v>
      </c>
      <c r="F803" t="s">
        <v>24</v>
      </c>
      <c r="G803" s="8">
        <v>10</v>
      </c>
      <c r="H803" s="2">
        <v>97</v>
      </c>
      <c r="I803" s="2">
        <v>970</v>
      </c>
      <c r="J803" s="4">
        <v>0.01</v>
      </c>
      <c r="K803" s="2">
        <v>960.3</v>
      </c>
      <c r="L803" s="2">
        <f t="shared" si="37"/>
        <v>9.7000000000000455</v>
      </c>
      <c r="M803" s="1">
        <v>44267</v>
      </c>
      <c r="N803" s="1">
        <v>44267</v>
      </c>
      <c r="O803">
        <v>802</v>
      </c>
      <c r="P803">
        <v>7</v>
      </c>
      <c r="Q803" t="s">
        <v>37</v>
      </c>
      <c r="R803" s="3">
        <v>0.1</v>
      </c>
      <c r="S803" s="2">
        <v>96.03</v>
      </c>
      <c r="T803">
        <v>4</v>
      </c>
      <c r="U803" t="str">
        <f t="shared" si="38"/>
        <v>Março</v>
      </c>
    </row>
    <row r="804" spans="1:21">
      <c r="A804">
        <v>803</v>
      </c>
      <c r="B804" s="1">
        <v>44264</v>
      </c>
      <c r="C804" s="1" t="str">
        <f t="shared" si="36"/>
        <v>março</v>
      </c>
      <c r="D804">
        <v>87</v>
      </c>
      <c r="E804" t="s">
        <v>40</v>
      </c>
      <c r="F804" t="s">
        <v>46</v>
      </c>
      <c r="G804" s="8">
        <v>25</v>
      </c>
      <c r="H804" s="2">
        <v>119</v>
      </c>
      <c r="I804" s="2">
        <v>2975</v>
      </c>
      <c r="J804" s="4">
        <v>0.01</v>
      </c>
      <c r="K804" s="2">
        <v>2945.25</v>
      </c>
      <c r="L804" s="2">
        <f t="shared" si="37"/>
        <v>29.75</v>
      </c>
      <c r="M804" s="1">
        <v>44287</v>
      </c>
      <c r="N804" s="1">
        <v>44287</v>
      </c>
      <c r="O804">
        <v>803</v>
      </c>
      <c r="P804">
        <v>3</v>
      </c>
      <c r="Q804" t="s">
        <v>29</v>
      </c>
      <c r="R804" s="3">
        <v>0.05</v>
      </c>
      <c r="S804" s="2">
        <v>147.26250000000002</v>
      </c>
      <c r="T804">
        <v>5</v>
      </c>
      <c r="U804" t="str">
        <f t="shared" si="38"/>
        <v>Março</v>
      </c>
    </row>
    <row r="805" spans="1:21">
      <c r="A805">
        <v>804</v>
      </c>
      <c r="B805" s="1">
        <v>44264</v>
      </c>
      <c r="C805" s="1" t="str">
        <f t="shared" si="36"/>
        <v>março</v>
      </c>
      <c r="D805">
        <v>26</v>
      </c>
      <c r="E805" t="s">
        <v>95</v>
      </c>
      <c r="F805" t="s">
        <v>46</v>
      </c>
      <c r="G805" s="8">
        <v>45</v>
      </c>
      <c r="H805" s="2">
        <v>116</v>
      </c>
      <c r="I805" s="2">
        <v>5220</v>
      </c>
      <c r="J805" s="4">
        <v>0.15</v>
      </c>
      <c r="K805" s="2">
        <v>4437</v>
      </c>
      <c r="L805" s="2">
        <f t="shared" si="37"/>
        <v>783</v>
      </c>
      <c r="M805" s="1">
        <v>44273</v>
      </c>
      <c r="N805" s="1">
        <v>44273</v>
      </c>
      <c r="O805">
        <v>804</v>
      </c>
      <c r="P805">
        <v>1</v>
      </c>
      <c r="Q805" t="s">
        <v>32</v>
      </c>
      <c r="R805" s="3">
        <v>0.06</v>
      </c>
      <c r="S805" s="2">
        <v>266.21999999999997</v>
      </c>
      <c r="T805">
        <v>6</v>
      </c>
      <c r="U805" t="str">
        <f t="shared" si="38"/>
        <v>Março</v>
      </c>
    </row>
    <row r="806" spans="1:21">
      <c r="A806">
        <v>805</v>
      </c>
      <c r="B806" s="1">
        <v>44264</v>
      </c>
      <c r="C806" s="1" t="str">
        <f t="shared" si="36"/>
        <v>março</v>
      </c>
      <c r="D806">
        <v>3</v>
      </c>
      <c r="E806" t="s">
        <v>91</v>
      </c>
      <c r="F806" t="s">
        <v>21</v>
      </c>
      <c r="G806" s="8">
        <v>39</v>
      </c>
      <c r="H806" s="2">
        <v>115</v>
      </c>
      <c r="I806" s="2">
        <v>4485</v>
      </c>
      <c r="J806" s="4">
        <v>0.14000000000000001</v>
      </c>
      <c r="K806" s="2">
        <v>3857.1</v>
      </c>
      <c r="L806" s="2">
        <f t="shared" si="37"/>
        <v>627.90000000000009</v>
      </c>
      <c r="M806" s="1">
        <v>44273</v>
      </c>
      <c r="N806" s="1">
        <v>44273</v>
      </c>
      <c r="O806">
        <v>805</v>
      </c>
      <c r="P806">
        <v>6</v>
      </c>
      <c r="Q806" t="s">
        <v>29</v>
      </c>
      <c r="R806" s="3">
        <v>0.06</v>
      </c>
      <c r="S806" s="2">
        <v>231.42599999999999</v>
      </c>
      <c r="T806">
        <v>7</v>
      </c>
      <c r="U806" t="str">
        <f t="shared" si="38"/>
        <v>Março</v>
      </c>
    </row>
    <row r="807" spans="1:21">
      <c r="A807">
        <v>806</v>
      </c>
      <c r="B807" s="1">
        <v>44265</v>
      </c>
      <c r="C807" s="1" t="str">
        <f t="shared" si="36"/>
        <v>março</v>
      </c>
      <c r="D807">
        <v>68</v>
      </c>
      <c r="E807" t="s">
        <v>49</v>
      </c>
      <c r="F807" t="s">
        <v>59</v>
      </c>
      <c r="G807" s="8">
        <v>48</v>
      </c>
      <c r="H807" s="2">
        <v>112</v>
      </c>
      <c r="I807" s="2">
        <v>5376</v>
      </c>
      <c r="J807" s="4">
        <v>0.09</v>
      </c>
      <c r="K807" s="2">
        <v>4892.16</v>
      </c>
      <c r="L807" s="2">
        <f t="shared" si="37"/>
        <v>483.84000000000015</v>
      </c>
      <c r="M807" s="1">
        <v>44280</v>
      </c>
      <c r="N807" s="1">
        <v>44280</v>
      </c>
      <c r="O807">
        <v>806</v>
      </c>
      <c r="P807">
        <v>1</v>
      </c>
      <c r="Q807" t="s">
        <v>37</v>
      </c>
      <c r="R807" s="3">
        <v>7.0000000000000007E-2</v>
      </c>
      <c r="S807" s="2">
        <v>342.45120000000003</v>
      </c>
      <c r="T807">
        <v>1</v>
      </c>
      <c r="U807" t="str">
        <f t="shared" si="38"/>
        <v>Março</v>
      </c>
    </row>
    <row r="808" spans="1:21">
      <c r="A808">
        <v>807</v>
      </c>
      <c r="B808" s="1">
        <v>44265</v>
      </c>
      <c r="C808" s="1" t="str">
        <f t="shared" si="36"/>
        <v>março</v>
      </c>
      <c r="D808">
        <v>46</v>
      </c>
      <c r="E808" t="s">
        <v>94</v>
      </c>
      <c r="F808" t="s">
        <v>24</v>
      </c>
      <c r="G808" s="8">
        <v>38</v>
      </c>
      <c r="H808" s="2">
        <v>102</v>
      </c>
      <c r="I808" s="2">
        <v>3876</v>
      </c>
      <c r="J808" s="4">
        <v>0.08</v>
      </c>
      <c r="K808" s="2">
        <v>3565.92</v>
      </c>
      <c r="L808" s="2">
        <f t="shared" si="37"/>
        <v>310.07999999999993</v>
      </c>
      <c r="M808" s="1">
        <v>44269</v>
      </c>
      <c r="N808" s="1">
        <v>44269</v>
      </c>
      <c r="O808">
        <v>807</v>
      </c>
      <c r="P808">
        <v>7</v>
      </c>
      <c r="Q808" t="s">
        <v>52</v>
      </c>
      <c r="R808" s="3">
        <v>0.09</v>
      </c>
      <c r="S808" s="2">
        <v>320.93279999999999</v>
      </c>
      <c r="T808">
        <v>2</v>
      </c>
      <c r="U808" t="str">
        <f t="shared" si="38"/>
        <v>Março</v>
      </c>
    </row>
    <row r="809" spans="1:21">
      <c r="A809">
        <v>808</v>
      </c>
      <c r="B809" s="1">
        <v>44265</v>
      </c>
      <c r="C809" s="1" t="str">
        <f t="shared" si="36"/>
        <v>março</v>
      </c>
      <c r="D809">
        <v>37</v>
      </c>
      <c r="E809" t="s">
        <v>48</v>
      </c>
      <c r="F809" t="s">
        <v>31</v>
      </c>
      <c r="G809" s="8">
        <v>14</v>
      </c>
      <c r="H809" s="2">
        <v>113</v>
      </c>
      <c r="I809" s="2">
        <v>1582</v>
      </c>
      <c r="J809" s="4">
        <v>0.01</v>
      </c>
      <c r="K809" s="2">
        <v>1566.18</v>
      </c>
      <c r="L809" s="2">
        <f t="shared" si="37"/>
        <v>15.819999999999936</v>
      </c>
      <c r="M809" s="1">
        <v>44291</v>
      </c>
      <c r="O809">
        <v>808</v>
      </c>
      <c r="P809">
        <v>3</v>
      </c>
      <c r="Q809" t="s">
        <v>43</v>
      </c>
      <c r="R809" s="3">
        <v>0.05</v>
      </c>
      <c r="S809" s="2">
        <v>78.309000000000012</v>
      </c>
      <c r="T809">
        <v>3</v>
      </c>
      <c r="U809" t="str">
        <f t="shared" si="38"/>
        <v>Março</v>
      </c>
    </row>
    <row r="810" spans="1:21">
      <c r="A810">
        <v>809</v>
      </c>
      <c r="B810" s="1">
        <v>44265</v>
      </c>
      <c r="C810" s="1" t="str">
        <f t="shared" si="36"/>
        <v>março</v>
      </c>
      <c r="D810">
        <v>11</v>
      </c>
      <c r="E810" t="s">
        <v>60</v>
      </c>
      <c r="F810" t="s">
        <v>24</v>
      </c>
      <c r="G810" s="8">
        <v>27</v>
      </c>
      <c r="H810" s="2">
        <v>104</v>
      </c>
      <c r="I810" s="2">
        <v>2808</v>
      </c>
      <c r="J810" s="4">
        <v>0.02</v>
      </c>
      <c r="K810" s="2">
        <v>2751.84</v>
      </c>
      <c r="L810" s="2">
        <f t="shared" si="37"/>
        <v>56.159999999999854</v>
      </c>
      <c r="M810" s="1">
        <v>44276</v>
      </c>
      <c r="N810" s="1">
        <v>44276</v>
      </c>
      <c r="O810">
        <v>809</v>
      </c>
      <c r="P810">
        <v>3</v>
      </c>
      <c r="Q810" t="s">
        <v>25</v>
      </c>
      <c r="R810" s="3">
        <v>0.08</v>
      </c>
      <c r="S810" s="2">
        <v>220.14720000000003</v>
      </c>
      <c r="T810">
        <v>4</v>
      </c>
      <c r="U810" t="str">
        <f t="shared" si="38"/>
        <v>Março</v>
      </c>
    </row>
    <row r="811" spans="1:21">
      <c r="A811">
        <v>810</v>
      </c>
      <c r="B811" s="1">
        <v>44266</v>
      </c>
      <c r="C811" s="1" t="str">
        <f t="shared" si="36"/>
        <v>março</v>
      </c>
      <c r="D811">
        <v>100</v>
      </c>
      <c r="E811" t="s">
        <v>38</v>
      </c>
      <c r="F811" t="s">
        <v>54</v>
      </c>
      <c r="G811" s="8">
        <v>48</v>
      </c>
      <c r="H811" s="2">
        <v>96</v>
      </c>
      <c r="I811" s="2">
        <v>4608</v>
      </c>
      <c r="J811" s="4">
        <v>0.06</v>
      </c>
      <c r="K811" s="2">
        <v>4331.5200000000004</v>
      </c>
      <c r="L811" s="2">
        <f t="shared" si="37"/>
        <v>276.47999999999956</v>
      </c>
      <c r="M811" s="1">
        <v>44282</v>
      </c>
      <c r="N811" s="1">
        <v>44282</v>
      </c>
      <c r="O811">
        <v>810</v>
      </c>
      <c r="P811">
        <v>5</v>
      </c>
      <c r="Q811" t="s">
        <v>52</v>
      </c>
      <c r="R811" s="3">
        <v>0.05</v>
      </c>
      <c r="S811" s="2">
        <v>216.57600000000002</v>
      </c>
      <c r="T811">
        <v>5</v>
      </c>
      <c r="U811" t="str">
        <f t="shared" si="38"/>
        <v>Março</v>
      </c>
    </row>
    <row r="812" spans="1:21">
      <c r="A812">
        <v>811</v>
      </c>
      <c r="B812" s="1">
        <v>44267</v>
      </c>
      <c r="C812" s="1" t="str">
        <f t="shared" si="36"/>
        <v>março</v>
      </c>
      <c r="D812">
        <v>75</v>
      </c>
      <c r="E812" t="s">
        <v>38</v>
      </c>
      <c r="F812" t="s">
        <v>59</v>
      </c>
      <c r="G812" s="8">
        <v>22</v>
      </c>
      <c r="H812" s="2">
        <v>101</v>
      </c>
      <c r="I812" s="2">
        <v>2222</v>
      </c>
      <c r="J812" s="4">
        <v>0.02</v>
      </c>
      <c r="K812" s="2">
        <v>2177.56</v>
      </c>
      <c r="L812" s="2">
        <f t="shared" si="37"/>
        <v>44.440000000000055</v>
      </c>
      <c r="M812" s="1">
        <v>44289</v>
      </c>
      <c r="N812" s="1">
        <v>44289</v>
      </c>
      <c r="O812">
        <v>811</v>
      </c>
      <c r="P812">
        <v>7</v>
      </c>
      <c r="Q812" t="s">
        <v>43</v>
      </c>
      <c r="R812" s="3">
        <v>0.1</v>
      </c>
      <c r="S812" s="2">
        <v>217.756</v>
      </c>
      <c r="T812">
        <v>6</v>
      </c>
      <c r="U812" t="str">
        <f t="shared" si="38"/>
        <v>Março</v>
      </c>
    </row>
    <row r="813" spans="1:21">
      <c r="A813">
        <v>812</v>
      </c>
      <c r="B813" s="1">
        <v>44267</v>
      </c>
      <c r="C813" s="1" t="str">
        <f t="shared" si="36"/>
        <v>março</v>
      </c>
      <c r="D813">
        <v>35</v>
      </c>
      <c r="E813" t="s">
        <v>38</v>
      </c>
      <c r="F813" t="s">
        <v>55</v>
      </c>
      <c r="G813" s="8">
        <v>30</v>
      </c>
      <c r="H813" s="2">
        <v>118</v>
      </c>
      <c r="I813" s="2">
        <v>3540</v>
      </c>
      <c r="J813" s="4">
        <v>0.01</v>
      </c>
      <c r="K813" s="2">
        <v>3504.6</v>
      </c>
      <c r="L813" s="2">
        <f t="shared" si="37"/>
        <v>35.400000000000091</v>
      </c>
      <c r="M813" s="1">
        <v>44271</v>
      </c>
      <c r="N813" s="1">
        <v>44271</v>
      </c>
      <c r="O813">
        <v>812</v>
      </c>
      <c r="P813">
        <v>1</v>
      </c>
      <c r="Q813" t="s">
        <v>25</v>
      </c>
      <c r="R813" s="3">
        <v>0.06</v>
      </c>
      <c r="S813" s="2">
        <v>210.27599999999998</v>
      </c>
      <c r="T813">
        <v>7</v>
      </c>
      <c r="U813" t="str">
        <f t="shared" si="38"/>
        <v>Março</v>
      </c>
    </row>
    <row r="814" spans="1:21">
      <c r="A814">
        <v>813</v>
      </c>
      <c r="B814" s="1">
        <v>44268</v>
      </c>
      <c r="C814" s="1" t="str">
        <f t="shared" si="36"/>
        <v>março</v>
      </c>
      <c r="D814">
        <v>26</v>
      </c>
      <c r="E814" t="s">
        <v>95</v>
      </c>
      <c r="F814" t="s">
        <v>31</v>
      </c>
      <c r="G814" s="8">
        <v>17</v>
      </c>
      <c r="H814" s="2">
        <v>111</v>
      </c>
      <c r="I814" s="2">
        <v>1887</v>
      </c>
      <c r="J814" s="4">
        <v>0</v>
      </c>
      <c r="K814" s="2">
        <v>1887</v>
      </c>
      <c r="L814" s="2">
        <f t="shared" si="37"/>
        <v>0</v>
      </c>
      <c r="M814" s="1">
        <v>44273</v>
      </c>
      <c r="N814" s="1">
        <v>44273</v>
      </c>
      <c r="O814">
        <v>813</v>
      </c>
      <c r="P814">
        <v>5</v>
      </c>
      <c r="Q814" t="s">
        <v>52</v>
      </c>
      <c r="R814" s="3">
        <v>0.05</v>
      </c>
      <c r="S814" s="2">
        <v>94.350000000000009</v>
      </c>
      <c r="T814">
        <v>1</v>
      </c>
      <c r="U814" t="str">
        <f t="shared" si="38"/>
        <v>Março</v>
      </c>
    </row>
    <row r="815" spans="1:21">
      <c r="A815">
        <v>814</v>
      </c>
      <c r="B815" s="1">
        <v>44268</v>
      </c>
      <c r="C815" s="1" t="str">
        <f t="shared" si="36"/>
        <v>março</v>
      </c>
      <c r="D815">
        <v>49</v>
      </c>
      <c r="E815" t="s">
        <v>38</v>
      </c>
      <c r="F815" t="s">
        <v>28</v>
      </c>
      <c r="G815" s="8">
        <v>14</v>
      </c>
      <c r="H815" s="2">
        <v>113</v>
      </c>
      <c r="I815" s="2">
        <v>1582</v>
      </c>
      <c r="J815" s="4">
        <v>0.11</v>
      </c>
      <c r="K815" s="2">
        <v>1407.98</v>
      </c>
      <c r="L815" s="2">
        <f t="shared" si="37"/>
        <v>174.01999999999998</v>
      </c>
      <c r="M815" s="1">
        <v>44268</v>
      </c>
      <c r="N815" s="1">
        <v>44268</v>
      </c>
      <c r="O815">
        <v>814</v>
      </c>
      <c r="P815">
        <v>3</v>
      </c>
      <c r="Q815" t="s">
        <v>29</v>
      </c>
      <c r="R815" s="3">
        <v>7.0000000000000007E-2</v>
      </c>
      <c r="S815" s="2">
        <v>98.558600000000013</v>
      </c>
      <c r="T815">
        <v>2</v>
      </c>
      <c r="U815" t="str">
        <f t="shared" si="38"/>
        <v>Março</v>
      </c>
    </row>
    <row r="816" spans="1:21">
      <c r="A816">
        <v>815</v>
      </c>
      <c r="B816" s="1">
        <v>44269</v>
      </c>
      <c r="C816" s="1" t="str">
        <f t="shared" si="36"/>
        <v>março</v>
      </c>
      <c r="D816">
        <v>14</v>
      </c>
      <c r="E816" t="s">
        <v>27</v>
      </c>
      <c r="F816" t="s">
        <v>46</v>
      </c>
      <c r="G816" s="8">
        <v>15</v>
      </c>
      <c r="H816" s="2">
        <v>118</v>
      </c>
      <c r="I816" s="2">
        <v>1770</v>
      </c>
      <c r="J816" s="4">
        <v>0.14000000000000001</v>
      </c>
      <c r="K816" s="2">
        <v>1522.2</v>
      </c>
      <c r="L816" s="2">
        <f t="shared" si="37"/>
        <v>247.79999999999995</v>
      </c>
      <c r="M816" s="1">
        <v>44279</v>
      </c>
      <c r="N816" s="1">
        <v>44279</v>
      </c>
      <c r="O816">
        <v>815</v>
      </c>
      <c r="P816">
        <v>3</v>
      </c>
      <c r="Q816" t="s">
        <v>32</v>
      </c>
      <c r="R816" s="3">
        <v>0.09</v>
      </c>
      <c r="S816" s="2">
        <v>136.99799999999999</v>
      </c>
      <c r="T816">
        <v>3</v>
      </c>
      <c r="U816" t="str">
        <f t="shared" si="38"/>
        <v>Março</v>
      </c>
    </row>
    <row r="817" spans="1:21">
      <c r="A817">
        <v>816</v>
      </c>
      <c r="B817" s="1">
        <v>44270</v>
      </c>
      <c r="C817" s="1" t="str">
        <f t="shared" si="36"/>
        <v>março</v>
      </c>
      <c r="D817">
        <v>69</v>
      </c>
      <c r="E817" t="s">
        <v>67</v>
      </c>
      <c r="F817" t="s">
        <v>24</v>
      </c>
      <c r="G817" s="8">
        <v>10</v>
      </c>
      <c r="H817" s="2">
        <v>100</v>
      </c>
      <c r="I817" s="2">
        <v>1000</v>
      </c>
      <c r="J817" s="4">
        <v>0.08</v>
      </c>
      <c r="K817" s="2">
        <v>920</v>
      </c>
      <c r="L817" s="2">
        <f t="shared" si="37"/>
        <v>80</v>
      </c>
      <c r="M817" s="1">
        <v>44297</v>
      </c>
      <c r="N817" s="1">
        <v>44297</v>
      </c>
      <c r="O817">
        <v>816</v>
      </c>
      <c r="P817">
        <v>2</v>
      </c>
      <c r="Q817" t="s">
        <v>52</v>
      </c>
      <c r="R817" s="3">
        <v>0.08</v>
      </c>
      <c r="S817" s="2">
        <v>73.600000000000009</v>
      </c>
      <c r="T817">
        <v>4</v>
      </c>
      <c r="U817" t="str">
        <f t="shared" si="38"/>
        <v>Março</v>
      </c>
    </row>
    <row r="818" spans="1:21">
      <c r="A818">
        <v>817</v>
      </c>
      <c r="B818" s="1">
        <v>44271</v>
      </c>
      <c r="C818" s="1" t="str">
        <f t="shared" si="36"/>
        <v>março</v>
      </c>
      <c r="D818">
        <v>66</v>
      </c>
      <c r="E818" t="s">
        <v>30</v>
      </c>
      <c r="F818" t="s">
        <v>31</v>
      </c>
      <c r="G818" s="8">
        <v>48</v>
      </c>
      <c r="H818" s="2">
        <v>102</v>
      </c>
      <c r="I818" s="2">
        <v>4896</v>
      </c>
      <c r="J818" s="4">
        <v>0.05</v>
      </c>
      <c r="K818" s="2">
        <v>4651.2</v>
      </c>
      <c r="L818" s="2">
        <f t="shared" si="37"/>
        <v>244.80000000000018</v>
      </c>
      <c r="M818" s="1">
        <v>44291</v>
      </c>
      <c r="N818" s="1">
        <v>44291</v>
      </c>
      <c r="O818">
        <v>817</v>
      </c>
      <c r="P818">
        <v>1</v>
      </c>
      <c r="Q818" t="s">
        <v>43</v>
      </c>
      <c r="R818" s="3">
        <v>0.08</v>
      </c>
      <c r="S818" s="2">
        <v>372.096</v>
      </c>
      <c r="T818">
        <v>5</v>
      </c>
      <c r="U818" t="str">
        <f t="shared" si="38"/>
        <v>Março</v>
      </c>
    </row>
    <row r="819" spans="1:21">
      <c r="A819">
        <v>818</v>
      </c>
      <c r="B819" s="1">
        <v>44271</v>
      </c>
      <c r="C819" s="1" t="str">
        <f t="shared" si="36"/>
        <v>março</v>
      </c>
      <c r="D819">
        <v>21</v>
      </c>
      <c r="E819" t="s">
        <v>87</v>
      </c>
      <c r="F819" t="s">
        <v>50</v>
      </c>
      <c r="G819" s="8">
        <v>11</v>
      </c>
      <c r="H819" s="2">
        <v>92</v>
      </c>
      <c r="I819" s="2">
        <v>1012</v>
      </c>
      <c r="J819" s="4">
        <v>0.14000000000000001</v>
      </c>
      <c r="K819" s="2">
        <v>870.31999999999994</v>
      </c>
      <c r="L819" s="2">
        <f t="shared" si="37"/>
        <v>141.68000000000006</v>
      </c>
      <c r="M819" s="1">
        <v>44288</v>
      </c>
      <c r="N819" s="1">
        <v>44288</v>
      </c>
      <c r="O819">
        <v>818</v>
      </c>
      <c r="P819">
        <v>5</v>
      </c>
      <c r="Q819" t="s">
        <v>34</v>
      </c>
      <c r="R819" s="3">
        <v>7.0000000000000007E-2</v>
      </c>
      <c r="S819" s="2">
        <v>60.922400000000003</v>
      </c>
      <c r="T819">
        <v>6</v>
      </c>
      <c r="U819" t="str">
        <f t="shared" si="38"/>
        <v>Março</v>
      </c>
    </row>
    <row r="820" spans="1:21">
      <c r="A820">
        <v>819</v>
      </c>
      <c r="B820" s="1">
        <v>44271</v>
      </c>
      <c r="C820" s="1" t="str">
        <f t="shared" si="36"/>
        <v>março</v>
      </c>
      <c r="D820">
        <v>50</v>
      </c>
      <c r="E820" t="s">
        <v>81</v>
      </c>
      <c r="F820" t="s">
        <v>31</v>
      </c>
      <c r="G820" s="8">
        <v>23</v>
      </c>
      <c r="H820" s="2">
        <v>119</v>
      </c>
      <c r="I820" s="2">
        <v>2737</v>
      </c>
      <c r="J820" s="4">
        <v>0.02</v>
      </c>
      <c r="K820" s="2">
        <v>2682.26</v>
      </c>
      <c r="L820" s="2">
        <f t="shared" si="37"/>
        <v>54.739999999999782</v>
      </c>
      <c r="M820" s="1">
        <v>44284</v>
      </c>
      <c r="N820" s="1">
        <v>44284</v>
      </c>
      <c r="O820">
        <v>819</v>
      </c>
      <c r="P820">
        <v>4</v>
      </c>
      <c r="Q820" t="s">
        <v>37</v>
      </c>
      <c r="R820" s="3">
        <v>0.08</v>
      </c>
      <c r="S820" s="2">
        <v>214.58080000000001</v>
      </c>
      <c r="T820">
        <v>7</v>
      </c>
      <c r="U820" t="str">
        <f t="shared" si="38"/>
        <v>Março</v>
      </c>
    </row>
    <row r="821" spans="1:21">
      <c r="A821">
        <v>820</v>
      </c>
      <c r="B821" s="1">
        <v>44272</v>
      </c>
      <c r="C821" s="1" t="str">
        <f t="shared" si="36"/>
        <v>março</v>
      </c>
      <c r="D821">
        <v>87</v>
      </c>
      <c r="E821" t="s">
        <v>40</v>
      </c>
      <c r="F821" t="s">
        <v>50</v>
      </c>
      <c r="G821" s="8">
        <v>14</v>
      </c>
      <c r="H821" s="2">
        <v>117</v>
      </c>
      <c r="I821" s="2">
        <v>1638</v>
      </c>
      <c r="J821" s="4">
        <v>0.09</v>
      </c>
      <c r="K821" s="2">
        <v>1490.58</v>
      </c>
      <c r="L821" s="2">
        <f t="shared" si="37"/>
        <v>147.42000000000007</v>
      </c>
      <c r="M821" s="1">
        <v>44290</v>
      </c>
      <c r="N821" s="1">
        <v>44290</v>
      </c>
      <c r="O821">
        <v>820</v>
      </c>
      <c r="P821">
        <v>3</v>
      </c>
      <c r="Q821" t="s">
        <v>52</v>
      </c>
      <c r="R821" s="3">
        <v>0.06</v>
      </c>
      <c r="S821" s="2">
        <v>89.434799999999996</v>
      </c>
      <c r="T821">
        <v>1</v>
      </c>
      <c r="U821" t="str">
        <f t="shared" si="38"/>
        <v>Março</v>
      </c>
    </row>
    <row r="822" spans="1:21">
      <c r="A822">
        <v>821</v>
      </c>
      <c r="B822" s="1">
        <v>44273</v>
      </c>
      <c r="C822" s="1" t="str">
        <f t="shared" si="36"/>
        <v>março</v>
      </c>
      <c r="D822">
        <v>19</v>
      </c>
      <c r="E822" t="s">
        <v>38</v>
      </c>
      <c r="F822" t="s">
        <v>24</v>
      </c>
      <c r="G822" s="8">
        <v>45</v>
      </c>
      <c r="H822" s="2">
        <v>96</v>
      </c>
      <c r="I822" s="2">
        <v>4320</v>
      </c>
      <c r="J822" s="4">
        <v>0.1</v>
      </c>
      <c r="K822" s="2">
        <v>3888</v>
      </c>
      <c r="L822" s="2">
        <f t="shared" si="37"/>
        <v>432</v>
      </c>
      <c r="M822" s="1">
        <v>44290</v>
      </c>
      <c r="N822" s="1">
        <v>44290</v>
      </c>
      <c r="O822">
        <v>821</v>
      </c>
      <c r="P822">
        <v>2</v>
      </c>
      <c r="Q822" t="s">
        <v>37</v>
      </c>
      <c r="R822" s="3">
        <v>0.08</v>
      </c>
      <c r="S822" s="2">
        <v>311.04000000000002</v>
      </c>
      <c r="T822">
        <v>2</v>
      </c>
      <c r="U822" t="str">
        <f t="shared" si="38"/>
        <v>Março</v>
      </c>
    </row>
    <row r="823" spans="1:21">
      <c r="A823">
        <v>822</v>
      </c>
      <c r="B823" s="1">
        <v>44273</v>
      </c>
      <c r="C823" s="1" t="str">
        <f t="shared" si="36"/>
        <v>março</v>
      </c>
      <c r="D823">
        <v>61</v>
      </c>
      <c r="E823" t="s">
        <v>56</v>
      </c>
      <c r="F823" t="s">
        <v>24</v>
      </c>
      <c r="G823" s="8">
        <v>30</v>
      </c>
      <c r="H823" s="2">
        <v>112</v>
      </c>
      <c r="I823" s="2">
        <v>3360</v>
      </c>
      <c r="J823" s="4">
        <v>0.09</v>
      </c>
      <c r="K823" s="2">
        <v>3057.6</v>
      </c>
      <c r="L823" s="2">
        <f t="shared" si="37"/>
        <v>302.40000000000009</v>
      </c>
      <c r="M823" s="1">
        <v>44300</v>
      </c>
      <c r="N823" s="1">
        <v>44300</v>
      </c>
      <c r="O823">
        <v>822</v>
      </c>
      <c r="P823">
        <v>6</v>
      </c>
      <c r="Q823" t="s">
        <v>25</v>
      </c>
      <c r="R823" s="3">
        <v>0.09</v>
      </c>
      <c r="S823" s="2">
        <v>275.18399999999997</v>
      </c>
      <c r="T823">
        <v>3</v>
      </c>
      <c r="U823" t="str">
        <f t="shared" si="38"/>
        <v>Março</v>
      </c>
    </row>
    <row r="824" spans="1:21">
      <c r="A824">
        <v>823</v>
      </c>
      <c r="B824" s="1">
        <v>44273</v>
      </c>
      <c r="C824" s="1" t="str">
        <f t="shared" si="36"/>
        <v>março</v>
      </c>
      <c r="D824">
        <v>73</v>
      </c>
      <c r="E824" t="s">
        <v>38</v>
      </c>
      <c r="F824" t="s">
        <v>46</v>
      </c>
      <c r="G824" s="8">
        <v>34</v>
      </c>
      <c r="H824" s="2">
        <v>92</v>
      </c>
      <c r="I824" s="2">
        <v>3128</v>
      </c>
      <c r="J824" s="4">
        <v>0.14000000000000001</v>
      </c>
      <c r="K824" s="2">
        <v>2690.08</v>
      </c>
      <c r="L824" s="2">
        <f t="shared" si="37"/>
        <v>437.92000000000007</v>
      </c>
      <c r="M824" s="1">
        <v>44277</v>
      </c>
      <c r="N824" s="1">
        <v>44277</v>
      </c>
      <c r="O824">
        <v>823</v>
      </c>
      <c r="P824">
        <v>4</v>
      </c>
      <c r="Q824" t="s">
        <v>43</v>
      </c>
      <c r="R824" s="3">
        <v>0.05</v>
      </c>
      <c r="S824" s="2">
        <v>134.50399999999999</v>
      </c>
      <c r="T824">
        <v>4</v>
      </c>
      <c r="U824" t="str">
        <f t="shared" si="38"/>
        <v>Março</v>
      </c>
    </row>
    <row r="825" spans="1:21">
      <c r="A825">
        <v>824</v>
      </c>
      <c r="B825" s="1">
        <v>44273</v>
      </c>
      <c r="C825" s="1" t="str">
        <f t="shared" si="36"/>
        <v>março</v>
      </c>
      <c r="D825">
        <v>37</v>
      </c>
      <c r="E825" t="s">
        <v>48</v>
      </c>
      <c r="F825" t="s">
        <v>31</v>
      </c>
      <c r="G825" s="8">
        <v>12</v>
      </c>
      <c r="H825" s="2">
        <v>118</v>
      </c>
      <c r="I825" s="2">
        <v>1416</v>
      </c>
      <c r="J825" s="4">
        <v>0.06</v>
      </c>
      <c r="K825" s="2">
        <v>1331.04</v>
      </c>
      <c r="L825" s="2">
        <f t="shared" si="37"/>
        <v>84.960000000000036</v>
      </c>
      <c r="M825" s="1">
        <v>44283</v>
      </c>
      <c r="N825" s="1">
        <v>44283</v>
      </c>
      <c r="O825">
        <v>824</v>
      </c>
      <c r="P825">
        <v>3</v>
      </c>
      <c r="Q825" t="s">
        <v>34</v>
      </c>
      <c r="R825" s="3">
        <v>0.05</v>
      </c>
      <c r="S825" s="2">
        <v>66.552000000000007</v>
      </c>
      <c r="T825">
        <v>5</v>
      </c>
      <c r="U825" t="str">
        <f t="shared" si="38"/>
        <v>Março</v>
      </c>
    </row>
    <row r="826" spans="1:21">
      <c r="A826">
        <v>825</v>
      </c>
      <c r="B826" s="1">
        <v>44274</v>
      </c>
      <c r="C826" s="1" t="str">
        <f t="shared" si="36"/>
        <v>março</v>
      </c>
      <c r="D826">
        <v>86</v>
      </c>
      <c r="E826" t="s">
        <v>90</v>
      </c>
      <c r="F826" t="s">
        <v>46</v>
      </c>
      <c r="G826" s="8">
        <v>40</v>
      </c>
      <c r="H826" s="2">
        <v>90</v>
      </c>
      <c r="I826" s="2">
        <v>3600</v>
      </c>
      <c r="J826" s="4">
        <v>0.13</v>
      </c>
      <c r="K826" s="2">
        <v>3132</v>
      </c>
      <c r="L826" s="2">
        <f t="shared" si="37"/>
        <v>468</v>
      </c>
      <c r="M826" s="1">
        <v>44282</v>
      </c>
      <c r="N826" s="1">
        <v>44282</v>
      </c>
      <c r="O826">
        <v>825</v>
      </c>
      <c r="P826">
        <v>4</v>
      </c>
      <c r="Q826" t="s">
        <v>22</v>
      </c>
      <c r="R826" s="3">
        <v>0.09</v>
      </c>
      <c r="S826" s="2">
        <v>281.88</v>
      </c>
      <c r="T826">
        <v>6</v>
      </c>
      <c r="U826" t="str">
        <f t="shared" si="38"/>
        <v>Março</v>
      </c>
    </row>
    <row r="827" spans="1:21">
      <c r="A827">
        <v>826</v>
      </c>
      <c r="B827" s="1">
        <v>44275</v>
      </c>
      <c r="C827" s="1" t="str">
        <f t="shared" si="36"/>
        <v>março</v>
      </c>
      <c r="D827">
        <v>6</v>
      </c>
      <c r="E827" t="s">
        <v>88</v>
      </c>
      <c r="F827" t="s">
        <v>50</v>
      </c>
      <c r="G827" s="8">
        <v>34</v>
      </c>
      <c r="H827" s="2">
        <v>117</v>
      </c>
      <c r="I827" s="2">
        <v>3978</v>
      </c>
      <c r="J827" s="4">
        <v>0.01</v>
      </c>
      <c r="K827" s="2">
        <v>3938.22</v>
      </c>
      <c r="L827" s="2">
        <f t="shared" si="37"/>
        <v>39.7800000000002</v>
      </c>
      <c r="M827" s="1">
        <v>44277</v>
      </c>
      <c r="N827" s="1">
        <v>44277</v>
      </c>
      <c r="O827">
        <v>826</v>
      </c>
      <c r="P827">
        <v>6</v>
      </c>
      <c r="Q827" t="s">
        <v>32</v>
      </c>
      <c r="R827" s="3">
        <v>7.0000000000000007E-2</v>
      </c>
      <c r="S827" s="2">
        <v>275.67540000000002</v>
      </c>
      <c r="T827">
        <v>7</v>
      </c>
      <c r="U827" t="str">
        <f t="shared" si="38"/>
        <v>Março</v>
      </c>
    </row>
    <row r="828" spans="1:21">
      <c r="A828">
        <v>827</v>
      </c>
      <c r="B828" s="1">
        <v>44278</v>
      </c>
      <c r="C828" s="1" t="str">
        <f t="shared" si="36"/>
        <v>março</v>
      </c>
      <c r="D828">
        <v>63</v>
      </c>
      <c r="E828" t="s">
        <v>80</v>
      </c>
      <c r="F828" t="s">
        <v>46</v>
      </c>
      <c r="G828" s="8">
        <v>48</v>
      </c>
      <c r="H828" s="2">
        <v>108</v>
      </c>
      <c r="I828" s="2">
        <v>5184</v>
      </c>
      <c r="J828" s="4">
        <v>0.04</v>
      </c>
      <c r="K828" s="2">
        <v>4976.6400000000003</v>
      </c>
      <c r="L828" s="2">
        <f t="shared" si="37"/>
        <v>207.35999999999967</v>
      </c>
      <c r="M828" s="1">
        <v>44306</v>
      </c>
      <c r="N828" s="1">
        <v>44306</v>
      </c>
      <c r="O828">
        <v>827</v>
      </c>
      <c r="P828">
        <v>5</v>
      </c>
      <c r="Q828" t="s">
        <v>29</v>
      </c>
      <c r="R828" s="3">
        <v>0.09</v>
      </c>
      <c r="S828" s="2">
        <v>447.89760000000001</v>
      </c>
      <c r="T828">
        <v>1</v>
      </c>
      <c r="U828" t="str">
        <f t="shared" si="38"/>
        <v>Março</v>
      </c>
    </row>
    <row r="829" spans="1:21">
      <c r="A829">
        <v>828</v>
      </c>
      <c r="B829" s="1">
        <v>44279</v>
      </c>
      <c r="C829" s="1" t="str">
        <f t="shared" si="36"/>
        <v>março</v>
      </c>
      <c r="D829">
        <v>37</v>
      </c>
      <c r="E829" t="s">
        <v>48</v>
      </c>
      <c r="F829" t="s">
        <v>31</v>
      </c>
      <c r="G829" s="8">
        <v>47</v>
      </c>
      <c r="H829" s="2">
        <v>108</v>
      </c>
      <c r="I829" s="2">
        <v>5076</v>
      </c>
      <c r="J829" s="4">
        <v>0</v>
      </c>
      <c r="K829" s="2">
        <v>5076</v>
      </c>
      <c r="L829" s="2">
        <f t="shared" si="37"/>
        <v>0</v>
      </c>
      <c r="M829" s="1">
        <v>44295</v>
      </c>
      <c r="N829" s="1">
        <v>44295</v>
      </c>
      <c r="O829">
        <v>828</v>
      </c>
      <c r="P829">
        <v>5</v>
      </c>
      <c r="Q829" t="s">
        <v>34</v>
      </c>
      <c r="R829" s="3">
        <v>7.0000000000000007E-2</v>
      </c>
      <c r="S829" s="2">
        <v>355.32000000000005</v>
      </c>
      <c r="T829">
        <v>2</v>
      </c>
      <c r="U829" t="str">
        <f t="shared" si="38"/>
        <v>Março</v>
      </c>
    </row>
    <row r="830" spans="1:21">
      <c r="A830">
        <v>829</v>
      </c>
      <c r="B830" s="1">
        <v>44279</v>
      </c>
      <c r="C830" s="1" t="str">
        <f t="shared" si="36"/>
        <v>março</v>
      </c>
      <c r="D830">
        <v>10</v>
      </c>
      <c r="E830" t="s">
        <v>89</v>
      </c>
      <c r="F830" t="s">
        <v>24</v>
      </c>
      <c r="G830" s="8">
        <v>20</v>
      </c>
      <c r="H830" s="2">
        <v>117</v>
      </c>
      <c r="I830" s="2">
        <v>2340</v>
      </c>
      <c r="J830" s="4">
        <v>0.08</v>
      </c>
      <c r="K830" s="2">
        <v>2152.8000000000002</v>
      </c>
      <c r="L830" s="2">
        <f t="shared" si="37"/>
        <v>187.19999999999982</v>
      </c>
      <c r="M830" s="1">
        <v>44294</v>
      </c>
      <c r="N830" s="1">
        <v>44294</v>
      </c>
      <c r="O830">
        <v>829</v>
      </c>
      <c r="P830">
        <v>3</v>
      </c>
      <c r="Q830" t="s">
        <v>29</v>
      </c>
      <c r="R830" s="3">
        <v>0.1</v>
      </c>
      <c r="S830" s="2">
        <v>215.28000000000003</v>
      </c>
      <c r="T830">
        <v>3</v>
      </c>
      <c r="U830" t="str">
        <f t="shared" si="38"/>
        <v>Março</v>
      </c>
    </row>
    <row r="831" spans="1:21">
      <c r="A831">
        <v>830</v>
      </c>
      <c r="B831" s="1">
        <v>44279</v>
      </c>
      <c r="C831" s="1" t="str">
        <f t="shared" si="36"/>
        <v>março</v>
      </c>
      <c r="D831">
        <v>85</v>
      </c>
      <c r="E831" t="s">
        <v>57</v>
      </c>
      <c r="F831" t="s">
        <v>59</v>
      </c>
      <c r="G831" s="8">
        <v>50</v>
      </c>
      <c r="H831" s="2">
        <v>107</v>
      </c>
      <c r="I831" s="2">
        <v>5350</v>
      </c>
      <c r="J831" s="4">
        <v>0.15</v>
      </c>
      <c r="K831" s="2">
        <v>4547.5</v>
      </c>
      <c r="L831" s="2">
        <f t="shared" si="37"/>
        <v>802.5</v>
      </c>
      <c r="M831" s="1">
        <v>44291</v>
      </c>
      <c r="N831" s="1">
        <v>44291</v>
      </c>
      <c r="O831">
        <v>830</v>
      </c>
      <c r="P831">
        <v>6</v>
      </c>
      <c r="Q831" t="s">
        <v>32</v>
      </c>
      <c r="R831" s="3">
        <v>0.05</v>
      </c>
      <c r="S831" s="2">
        <v>227.375</v>
      </c>
      <c r="T831">
        <v>4</v>
      </c>
      <c r="U831" t="str">
        <f t="shared" si="38"/>
        <v>Março</v>
      </c>
    </row>
    <row r="832" spans="1:21">
      <c r="A832">
        <v>831</v>
      </c>
      <c r="B832" s="1">
        <v>44281</v>
      </c>
      <c r="C832" s="1" t="str">
        <f t="shared" si="36"/>
        <v>março</v>
      </c>
      <c r="D832">
        <v>39</v>
      </c>
      <c r="E832" t="s">
        <v>38</v>
      </c>
      <c r="F832" t="s">
        <v>28</v>
      </c>
      <c r="G832" s="8">
        <v>27</v>
      </c>
      <c r="H832" s="2">
        <v>116</v>
      </c>
      <c r="I832" s="2">
        <v>3132</v>
      </c>
      <c r="J832" s="4">
        <v>0.09</v>
      </c>
      <c r="K832" s="2">
        <v>2850.12</v>
      </c>
      <c r="L832" s="2">
        <f t="shared" si="37"/>
        <v>281.88000000000011</v>
      </c>
      <c r="M832" s="1">
        <v>44295</v>
      </c>
      <c r="N832" s="1">
        <v>44295</v>
      </c>
      <c r="O832">
        <v>831</v>
      </c>
      <c r="P832">
        <v>2</v>
      </c>
      <c r="Q832" t="s">
        <v>37</v>
      </c>
      <c r="R832" s="3">
        <v>0.1</v>
      </c>
      <c r="S832" s="2">
        <v>285.012</v>
      </c>
      <c r="T832">
        <v>5</v>
      </c>
      <c r="U832" t="str">
        <f t="shared" si="38"/>
        <v>Março</v>
      </c>
    </row>
    <row r="833" spans="1:21">
      <c r="A833">
        <v>832</v>
      </c>
      <c r="B833" s="1">
        <v>44281</v>
      </c>
      <c r="C833" s="1" t="str">
        <f t="shared" si="36"/>
        <v>março</v>
      </c>
      <c r="D833">
        <v>46</v>
      </c>
      <c r="E833" t="s">
        <v>94</v>
      </c>
      <c r="F833" t="s">
        <v>46</v>
      </c>
      <c r="G833" s="8">
        <v>50</v>
      </c>
      <c r="H833" s="2">
        <v>93</v>
      </c>
      <c r="I833" s="2">
        <v>4650</v>
      </c>
      <c r="J833" s="4">
        <v>0.13</v>
      </c>
      <c r="K833" s="2">
        <v>4045.5</v>
      </c>
      <c r="L833" s="2">
        <f t="shared" si="37"/>
        <v>604.5</v>
      </c>
      <c r="M833" s="1">
        <v>44299</v>
      </c>
      <c r="N833" s="1">
        <v>44299</v>
      </c>
      <c r="O833">
        <v>832</v>
      </c>
      <c r="P833">
        <v>1</v>
      </c>
      <c r="Q833" t="s">
        <v>52</v>
      </c>
      <c r="R833" s="3">
        <v>0.1</v>
      </c>
      <c r="S833" s="2">
        <v>404.55</v>
      </c>
      <c r="T833">
        <v>6</v>
      </c>
      <c r="U833" t="str">
        <f t="shared" si="38"/>
        <v>Março</v>
      </c>
    </row>
    <row r="834" spans="1:21">
      <c r="A834">
        <v>833</v>
      </c>
      <c r="B834" s="1">
        <v>44281</v>
      </c>
      <c r="C834" s="1" t="str">
        <f t="shared" si="36"/>
        <v>março</v>
      </c>
      <c r="D834">
        <v>72</v>
      </c>
      <c r="E834" t="s">
        <v>38</v>
      </c>
      <c r="F834" t="s">
        <v>50</v>
      </c>
      <c r="G834" s="8">
        <v>21</v>
      </c>
      <c r="H834" s="2">
        <v>115</v>
      </c>
      <c r="I834" s="2">
        <v>2415</v>
      </c>
      <c r="J834" s="4">
        <v>0.12</v>
      </c>
      <c r="K834" s="2">
        <v>2125.1999999999998</v>
      </c>
      <c r="L834" s="2">
        <f t="shared" si="37"/>
        <v>289.80000000000018</v>
      </c>
      <c r="M834" s="1">
        <v>44282</v>
      </c>
      <c r="N834" s="1">
        <v>44282</v>
      </c>
      <c r="O834">
        <v>833</v>
      </c>
      <c r="P834">
        <v>7</v>
      </c>
      <c r="Q834" t="s">
        <v>69</v>
      </c>
      <c r="R834" s="3">
        <v>0.09</v>
      </c>
      <c r="S834" s="2">
        <v>191.26799999999997</v>
      </c>
      <c r="T834">
        <v>7</v>
      </c>
      <c r="U834" t="str">
        <f t="shared" si="38"/>
        <v>Março</v>
      </c>
    </row>
    <row r="835" spans="1:21">
      <c r="A835">
        <v>834</v>
      </c>
      <c r="B835" s="1">
        <v>44281</v>
      </c>
      <c r="C835" s="1" t="str">
        <f t="shared" ref="C835:C898" si="39">TEXT(B835,"mmmm")</f>
        <v>março</v>
      </c>
      <c r="D835">
        <v>29</v>
      </c>
      <c r="E835" t="s">
        <v>98</v>
      </c>
      <c r="F835" t="s">
        <v>59</v>
      </c>
      <c r="G835" s="8">
        <v>12</v>
      </c>
      <c r="H835" s="2">
        <v>97</v>
      </c>
      <c r="I835" s="2">
        <v>1164</v>
      </c>
      <c r="J835" s="4">
        <v>0.03</v>
      </c>
      <c r="K835" s="2">
        <v>1129.08</v>
      </c>
      <c r="L835" s="2">
        <f t="shared" ref="L835:L898" si="40">I835-K835</f>
        <v>34.920000000000073</v>
      </c>
      <c r="M835" s="1">
        <v>44292</v>
      </c>
      <c r="N835" s="1">
        <v>44292</v>
      </c>
      <c r="O835">
        <v>834</v>
      </c>
      <c r="P835">
        <v>5</v>
      </c>
      <c r="Q835" t="s">
        <v>34</v>
      </c>
      <c r="R835" s="3">
        <v>0.05</v>
      </c>
      <c r="S835" s="2">
        <v>56.454000000000001</v>
      </c>
      <c r="T835">
        <v>1</v>
      </c>
      <c r="U835" t="str">
        <f t="shared" ref="U835:U898" si="41">PROPER(TEXT(B835,"mmmm"))</f>
        <v>Março</v>
      </c>
    </row>
    <row r="836" spans="1:21">
      <c r="A836">
        <v>835</v>
      </c>
      <c r="B836" s="1">
        <v>44282</v>
      </c>
      <c r="C836" s="1" t="str">
        <f t="shared" si="39"/>
        <v>março</v>
      </c>
      <c r="D836">
        <v>66</v>
      </c>
      <c r="E836" t="s">
        <v>30</v>
      </c>
      <c r="F836" t="s">
        <v>24</v>
      </c>
      <c r="G836" s="8">
        <v>23</v>
      </c>
      <c r="H836" s="2">
        <v>99</v>
      </c>
      <c r="I836" s="2">
        <v>2277</v>
      </c>
      <c r="J836" s="4">
        <v>0.02</v>
      </c>
      <c r="K836" s="2">
        <v>2231.46</v>
      </c>
      <c r="L836" s="2">
        <f t="shared" si="40"/>
        <v>45.539999999999964</v>
      </c>
      <c r="M836" s="1">
        <v>44288</v>
      </c>
      <c r="N836" s="1">
        <v>44288</v>
      </c>
      <c r="O836">
        <v>835</v>
      </c>
      <c r="P836">
        <v>1</v>
      </c>
      <c r="Q836" t="s">
        <v>69</v>
      </c>
      <c r="R836" s="3">
        <v>7.0000000000000007E-2</v>
      </c>
      <c r="S836" s="2">
        <v>156.2022</v>
      </c>
      <c r="T836">
        <v>2</v>
      </c>
      <c r="U836" t="str">
        <f t="shared" si="41"/>
        <v>Março</v>
      </c>
    </row>
    <row r="837" spans="1:21">
      <c r="A837">
        <v>836</v>
      </c>
      <c r="B837" s="1">
        <v>44282</v>
      </c>
      <c r="C837" s="1" t="str">
        <f t="shared" si="39"/>
        <v>março</v>
      </c>
      <c r="D837">
        <v>70</v>
      </c>
      <c r="E837" t="s">
        <v>67</v>
      </c>
      <c r="F837" t="s">
        <v>31</v>
      </c>
      <c r="G837" s="8">
        <v>45</v>
      </c>
      <c r="H837" s="2">
        <v>98</v>
      </c>
      <c r="I837" s="2">
        <v>4410</v>
      </c>
      <c r="J837" s="4">
        <v>0.14000000000000001</v>
      </c>
      <c r="K837" s="2">
        <v>3792.6</v>
      </c>
      <c r="L837" s="2">
        <f t="shared" si="40"/>
        <v>617.40000000000009</v>
      </c>
      <c r="M837" s="1">
        <v>44307</v>
      </c>
      <c r="N837" s="1">
        <v>44307</v>
      </c>
      <c r="O837">
        <v>836</v>
      </c>
      <c r="P837">
        <v>7</v>
      </c>
      <c r="Q837" t="s">
        <v>37</v>
      </c>
      <c r="R837" s="3">
        <v>0.09</v>
      </c>
      <c r="S837" s="2">
        <v>341.334</v>
      </c>
      <c r="T837">
        <v>3</v>
      </c>
      <c r="U837" t="str">
        <f t="shared" si="41"/>
        <v>Março</v>
      </c>
    </row>
    <row r="838" spans="1:21">
      <c r="A838">
        <v>837</v>
      </c>
      <c r="B838" s="1">
        <v>44282</v>
      </c>
      <c r="C838" s="1" t="str">
        <f t="shared" si="39"/>
        <v>março</v>
      </c>
      <c r="D838">
        <v>75</v>
      </c>
      <c r="E838" t="s">
        <v>38</v>
      </c>
      <c r="F838" t="s">
        <v>46</v>
      </c>
      <c r="G838" s="8">
        <v>26</v>
      </c>
      <c r="H838" s="2">
        <v>94</v>
      </c>
      <c r="I838" s="2">
        <v>2444</v>
      </c>
      <c r="J838" s="4">
        <v>0.09</v>
      </c>
      <c r="K838" s="2">
        <v>2224.04</v>
      </c>
      <c r="L838" s="2">
        <f t="shared" si="40"/>
        <v>219.96000000000004</v>
      </c>
      <c r="M838" s="1">
        <v>44287</v>
      </c>
      <c r="N838" s="1">
        <v>44287</v>
      </c>
      <c r="O838">
        <v>837</v>
      </c>
      <c r="P838">
        <v>3</v>
      </c>
      <c r="Q838" t="s">
        <v>34</v>
      </c>
      <c r="R838" s="3">
        <v>0.09</v>
      </c>
      <c r="S838" s="2">
        <v>200.1636</v>
      </c>
      <c r="T838">
        <v>4</v>
      </c>
      <c r="U838" t="str">
        <f t="shared" si="41"/>
        <v>Março</v>
      </c>
    </row>
    <row r="839" spans="1:21">
      <c r="A839">
        <v>838</v>
      </c>
      <c r="B839" s="1">
        <v>44282</v>
      </c>
      <c r="C839" s="1" t="str">
        <f t="shared" si="39"/>
        <v>março</v>
      </c>
      <c r="D839">
        <v>17</v>
      </c>
      <c r="E839" t="s">
        <v>67</v>
      </c>
      <c r="F839" t="s">
        <v>21</v>
      </c>
      <c r="G839" s="8">
        <v>23</v>
      </c>
      <c r="H839" s="2">
        <v>115</v>
      </c>
      <c r="I839" s="2">
        <v>2645</v>
      </c>
      <c r="J839" s="4">
        <v>7.0000000000000007E-2</v>
      </c>
      <c r="K839" s="2">
        <v>2459.85</v>
      </c>
      <c r="L839" s="2">
        <f t="shared" si="40"/>
        <v>185.15000000000009</v>
      </c>
      <c r="M839" s="1">
        <v>44284</v>
      </c>
      <c r="N839" s="1">
        <v>44284</v>
      </c>
      <c r="O839">
        <v>838</v>
      </c>
      <c r="P839">
        <v>3</v>
      </c>
      <c r="Q839" t="s">
        <v>47</v>
      </c>
      <c r="R839" s="3">
        <v>0.06</v>
      </c>
      <c r="S839" s="2">
        <v>147.59099999999998</v>
      </c>
      <c r="T839">
        <v>5</v>
      </c>
      <c r="U839" t="str">
        <f t="shared" si="41"/>
        <v>Março</v>
      </c>
    </row>
    <row r="840" spans="1:21">
      <c r="A840">
        <v>839</v>
      </c>
      <c r="B840" s="1">
        <v>44283</v>
      </c>
      <c r="C840" s="1" t="str">
        <f t="shared" si="39"/>
        <v>março</v>
      </c>
      <c r="D840">
        <v>68</v>
      </c>
      <c r="E840" t="s">
        <v>49</v>
      </c>
      <c r="F840" t="s">
        <v>54</v>
      </c>
      <c r="G840" s="8">
        <v>22</v>
      </c>
      <c r="H840" s="2">
        <v>116</v>
      </c>
      <c r="I840" s="2">
        <v>2552</v>
      </c>
      <c r="J840" s="4">
        <v>0.09</v>
      </c>
      <c r="K840" s="2">
        <v>2322.3200000000002</v>
      </c>
      <c r="L840" s="2">
        <f t="shared" si="40"/>
        <v>229.67999999999984</v>
      </c>
      <c r="M840" s="1">
        <v>44312</v>
      </c>
      <c r="N840" s="1">
        <v>44312</v>
      </c>
      <c r="O840">
        <v>839</v>
      </c>
      <c r="P840">
        <v>5</v>
      </c>
      <c r="Q840" t="s">
        <v>29</v>
      </c>
      <c r="R840" s="3">
        <v>0.06</v>
      </c>
      <c r="S840" s="2">
        <v>139.33920000000001</v>
      </c>
      <c r="T840">
        <v>6</v>
      </c>
      <c r="U840" t="str">
        <f t="shared" si="41"/>
        <v>Março</v>
      </c>
    </row>
    <row r="841" spans="1:21">
      <c r="A841">
        <v>840</v>
      </c>
      <c r="B841" s="1">
        <v>44283</v>
      </c>
      <c r="C841" s="1" t="str">
        <f t="shared" si="39"/>
        <v>março</v>
      </c>
      <c r="D841">
        <v>50</v>
      </c>
      <c r="E841" t="s">
        <v>81</v>
      </c>
      <c r="F841" t="s">
        <v>50</v>
      </c>
      <c r="G841" s="8">
        <v>37</v>
      </c>
      <c r="H841" s="2">
        <v>91</v>
      </c>
      <c r="I841" s="2">
        <v>3367</v>
      </c>
      <c r="J841" s="4">
        <v>0.02</v>
      </c>
      <c r="K841" s="2">
        <v>3299.66</v>
      </c>
      <c r="L841" s="2">
        <f t="shared" si="40"/>
        <v>67.340000000000146</v>
      </c>
      <c r="M841" s="1">
        <v>44284</v>
      </c>
      <c r="N841" s="1">
        <v>44284</v>
      </c>
      <c r="O841">
        <v>840</v>
      </c>
      <c r="P841">
        <v>7</v>
      </c>
      <c r="Q841" t="s">
        <v>29</v>
      </c>
      <c r="R841" s="3">
        <v>7.0000000000000007E-2</v>
      </c>
      <c r="S841" s="2">
        <v>230.97620000000001</v>
      </c>
      <c r="T841">
        <v>7</v>
      </c>
      <c r="U841" t="str">
        <f t="shared" si="41"/>
        <v>Março</v>
      </c>
    </row>
    <row r="842" spans="1:21">
      <c r="A842">
        <v>841</v>
      </c>
      <c r="B842" s="1">
        <v>44283</v>
      </c>
      <c r="C842" s="1" t="str">
        <f t="shared" si="39"/>
        <v>março</v>
      </c>
      <c r="D842">
        <v>23</v>
      </c>
      <c r="E842" t="s">
        <v>105</v>
      </c>
      <c r="F842" t="s">
        <v>55</v>
      </c>
      <c r="G842" s="8">
        <v>47</v>
      </c>
      <c r="H842" s="2">
        <v>99</v>
      </c>
      <c r="I842" s="2">
        <v>4653</v>
      </c>
      <c r="J842" s="4">
        <v>0.03</v>
      </c>
      <c r="K842" s="2">
        <v>4513.41</v>
      </c>
      <c r="L842" s="2">
        <f t="shared" si="40"/>
        <v>139.59000000000015</v>
      </c>
      <c r="M842" s="1">
        <v>44307</v>
      </c>
      <c r="N842" s="1">
        <v>44307</v>
      </c>
      <c r="O842">
        <v>841</v>
      </c>
      <c r="P842">
        <v>3</v>
      </c>
      <c r="Q842" t="s">
        <v>29</v>
      </c>
      <c r="R842" s="3">
        <v>0.09</v>
      </c>
      <c r="S842" s="2">
        <v>406.20689999999996</v>
      </c>
      <c r="T842">
        <v>1</v>
      </c>
      <c r="U842" t="str">
        <f t="shared" si="41"/>
        <v>Março</v>
      </c>
    </row>
    <row r="843" spans="1:21">
      <c r="A843">
        <v>842</v>
      </c>
      <c r="B843" s="1">
        <v>44284</v>
      </c>
      <c r="C843" s="1" t="str">
        <f t="shared" si="39"/>
        <v>março</v>
      </c>
      <c r="D843">
        <v>85</v>
      </c>
      <c r="E843" t="s">
        <v>57</v>
      </c>
      <c r="F843" t="s">
        <v>24</v>
      </c>
      <c r="G843" s="8">
        <v>20</v>
      </c>
      <c r="H843" s="2">
        <v>93</v>
      </c>
      <c r="I843" s="2">
        <v>1860</v>
      </c>
      <c r="J843" s="4">
        <v>0.1</v>
      </c>
      <c r="K843" s="2">
        <v>1674</v>
      </c>
      <c r="L843" s="2">
        <f t="shared" si="40"/>
        <v>186</v>
      </c>
      <c r="M843" s="1">
        <v>44288</v>
      </c>
      <c r="N843" s="1">
        <v>44288</v>
      </c>
      <c r="O843">
        <v>842</v>
      </c>
      <c r="P843">
        <v>2</v>
      </c>
      <c r="Q843" t="s">
        <v>25</v>
      </c>
      <c r="R843" s="3">
        <v>0.06</v>
      </c>
      <c r="S843" s="2">
        <v>100.44</v>
      </c>
      <c r="T843">
        <v>2</v>
      </c>
      <c r="U843" t="str">
        <f t="shared" si="41"/>
        <v>Março</v>
      </c>
    </row>
    <row r="844" spans="1:21">
      <c r="A844">
        <v>843</v>
      </c>
      <c r="B844" s="1">
        <v>44284</v>
      </c>
      <c r="C844" s="1" t="str">
        <f t="shared" si="39"/>
        <v>março</v>
      </c>
      <c r="D844">
        <v>1</v>
      </c>
      <c r="E844" t="s">
        <v>93</v>
      </c>
      <c r="F844" t="s">
        <v>54</v>
      </c>
      <c r="G844" s="8">
        <v>13</v>
      </c>
      <c r="H844" s="2">
        <v>92</v>
      </c>
      <c r="I844" s="2">
        <v>1196</v>
      </c>
      <c r="J844" s="4">
        <v>7.0000000000000007E-2</v>
      </c>
      <c r="K844" s="2">
        <v>1112.28</v>
      </c>
      <c r="L844" s="2">
        <f t="shared" si="40"/>
        <v>83.720000000000027</v>
      </c>
      <c r="M844" s="1">
        <v>44311</v>
      </c>
      <c r="N844" s="1">
        <v>44311</v>
      </c>
      <c r="O844">
        <v>843</v>
      </c>
      <c r="P844">
        <v>4</v>
      </c>
      <c r="Q844" t="s">
        <v>43</v>
      </c>
      <c r="R844" s="3">
        <v>0.05</v>
      </c>
      <c r="S844" s="2">
        <v>55.614000000000004</v>
      </c>
      <c r="T844">
        <v>3</v>
      </c>
      <c r="U844" t="str">
        <f t="shared" si="41"/>
        <v>Março</v>
      </c>
    </row>
    <row r="845" spans="1:21">
      <c r="A845">
        <v>844</v>
      </c>
      <c r="B845" s="1">
        <v>44284</v>
      </c>
      <c r="C845" s="1" t="str">
        <f t="shared" si="39"/>
        <v>março</v>
      </c>
      <c r="D845">
        <v>68</v>
      </c>
      <c r="E845" t="s">
        <v>49</v>
      </c>
      <c r="F845" t="s">
        <v>54</v>
      </c>
      <c r="G845" s="8">
        <v>46</v>
      </c>
      <c r="H845" s="2">
        <v>104</v>
      </c>
      <c r="I845" s="2">
        <v>4784</v>
      </c>
      <c r="J845" s="4">
        <v>0.08</v>
      </c>
      <c r="K845" s="2">
        <v>4401.28</v>
      </c>
      <c r="L845" s="2">
        <f t="shared" si="40"/>
        <v>382.72000000000025</v>
      </c>
      <c r="M845" s="1">
        <v>44314</v>
      </c>
      <c r="N845" s="1">
        <v>44314</v>
      </c>
      <c r="O845">
        <v>844</v>
      </c>
      <c r="P845">
        <v>1</v>
      </c>
      <c r="Q845" t="s">
        <v>43</v>
      </c>
      <c r="R845" s="3">
        <v>0.06</v>
      </c>
      <c r="S845" s="2">
        <v>264.07679999999999</v>
      </c>
      <c r="T845">
        <v>4</v>
      </c>
      <c r="U845" t="str">
        <f t="shared" si="41"/>
        <v>Março</v>
      </c>
    </row>
    <row r="846" spans="1:21">
      <c r="A846">
        <v>845</v>
      </c>
      <c r="B846" s="1">
        <v>44285</v>
      </c>
      <c r="C846" s="1" t="str">
        <f t="shared" si="39"/>
        <v>março</v>
      </c>
      <c r="D846">
        <v>85</v>
      </c>
      <c r="E846" t="s">
        <v>57</v>
      </c>
      <c r="F846" t="s">
        <v>54</v>
      </c>
      <c r="G846" s="8">
        <v>14</v>
      </c>
      <c r="H846" s="2">
        <v>93</v>
      </c>
      <c r="I846" s="2">
        <v>1302</v>
      </c>
      <c r="J846" s="4">
        <v>0.02</v>
      </c>
      <c r="K846" s="2">
        <v>1275.96</v>
      </c>
      <c r="L846" s="2">
        <f t="shared" si="40"/>
        <v>26.039999999999964</v>
      </c>
      <c r="M846" s="1">
        <v>44290</v>
      </c>
      <c r="N846" s="1">
        <v>44290</v>
      </c>
      <c r="O846">
        <v>845</v>
      </c>
      <c r="P846">
        <v>2</v>
      </c>
      <c r="Q846" t="s">
        <v>34</v>
      </c>
      <c r="R846" s="3">
        <v>0.1</v>
      </c>
      <c r="S846" s="2">
        <v>127.596</v>
      </c>
      <c r="T846">
        <v>5</v>
      </c>
      <c r="U846" t="str">
        <f t="shared" si="41"/>
        <v>Março</v>
      </c>
    </row>
    <row r="847" spans="1:21">
      <c r="A847">
        <v>846</v>
      </c>
      <c r="B847" s="1">
        <v>44285</v>
      </c>
      <c r="C847" s="1" t="str">
        <f t="shared" si="39"/>
        <v>março</v>
      </c>
      <c r="D847">
        <v>86</v>
      </c>
      <c r="E847" t="s">
        <v>90</v>
      </c>
      <c r="F847" t="s">
        <v>46</v>
      </c>
      <c r="G847" s="8">
        <v>50</v>
      </c>
      <c r="H847" s="2">
        <v>118</v>
      </c>
      <c r="I847" s="2">
        <v>5900</v>
      </c>
      <c r="J847" s="4">
        <v>0.12</v>
      </c>
      <c r="K847" s="2">
        <v>5192</v>
      </c>
      <c r="L847" s="2">
        <f t="shared" si="40"/>
        <v>708</v>
      </c>
      <c r="M847" s="1">
        <v>44313</v>
      </c>
      <c r="N847" s="1">
        <v>44313</v>
      </c>
      <c r="O847">
        <v>846</v>
      </c>
      <c r="P847">
        <v>7</v>
      </c>
      <c r="Q847" t="s">
        <v>37</v>
      </c>
      <c r="R847" s="3">
        <v>0.05</v>
      </c>
      <c r="S847" s="2">
        <v>259.60000000000002</v>
      </c>
      <c r="T847">
        <v>6</v>
      </c>
      <c r="U847" t="str">
        <f t="shared" si="41"/>
        <v>Março</v>
      </c>
    </row>
    <row r="848" spans="1:21">
      <c r="A848">
        <v>847</v>
      </c>
      <c r="B848" s="1">
        <v>44286</v>
      </c>
      <c r="C848" s="1" t="str">
        <f t="shared" si="39"/>
        <v>março</v>
      </c>
      <c r="D848">
        <v>57</v>
      </c>
      <c r="E848" t="s">
        <v>89</v>
      </c>
      <c r="F848" t="s">
        <v>55</v>
      </c>
      <c r="G848" s="8">
        <v>26</v>
      </c>
      <c r="H848" s="2">
        <v>103</v>
      </c>
      <c r="I848" s="2">
        <v>2678</v>
      </c>
      <c r="J848" s="4">
        <v>0.05</v>
      </c>
      <c r="K848" s="2">
        <v>2544.1</v>
      </c>
      <c r="L848" s="2">
        <f t="shared" si="40"/>
        <v>133.90000000000009</v>
      </c>
      <c r="M848" s="1">
        <v>44314</v>
      </c>
      <c r="N848" s="1">
        <v>44314</v>
      </c>
      <c r="O848">
        <v>847</v>
      </c>
      <c r="P848">
        <v>6</v>
      </c>
      <c r="Q848" t="s">
        <v>37</v>
      </c>
      <c r="R848" s="3">
        <v>0.1</v>
      </c>
      <c r="S848" s="2">
        <v>254.41</v>
      </c>
      <c r="T848">
        <v>7</v>
      </c>
      <c r="U848" t="str">
        <f t="shared" si="41"/>
        <v>Março</v>
      </c>
    </row>
    <row r="849" spans="1:21">
      <c r="A849">
        <v>848</v>
      </c>
      <c r="B849" s="1">
        <v>44286</v>
      </c>
      <c r="C849" s="1" t="str">
        <f t="shared" si="39"/>
        <v>março</v>
      </c>
      <c r="D849">
        <v>84</v>
      </c>
      <c r="E849" t="s">
        <v>44</v>
      </c>
      <c r="F849" t="s">
        <v>24</v>
      </c>
      <c r="G849" s="8">
        <v>42</v>
      </c>
      <c r="H849" s="2">
        <v>91</v>
      </c>
      <c r="I849" s="2">
        <v>3822</v>
      </c>
      <c r="J849" s="4">
        <v>0.01</v>
      </c>
      <c r="K849" s="2">
        <v>3783.78</v>
      </c>
      <c r="L849" s="2">
        <f t="shared" si="40"/>
        <v>38.2199999999998</v>
      </c>
      <c r="M849" s="1">
        <v>44294</v>
      </c>
      <c r="N849" s="1">
        <v>44294</v>
      </c>
      <c r="O849">
        <v>848</v>
      </c>
      <c r="P849">
        <v>6</v>
      </c>
      <c r="Q849" t="s">
        <v>34</v>
      </c>
      <c r="R849" s="3">
        <v>0.06</v>
      </c>
      <c r="S849" s="2">
        <v>227.02680000000001</v>
      </c>
      <c r="T849">
        <v>1</v>
      </c>
      <c r="U849" t="str">
        <f t="shared" si="41"/>
        <v>Março</v>
      </c>
    </row>
    <row r="850" spans="1:21">
      <c r="A850">
        <v>849</v>
      </c>
      <c r="B850" s="1">
        <v>44286</v>
      </c>
      <c r="C850" s="1" t="str">
        <f t="shared" si="39"/>
        <v>março</v>
      </c>
      <c r="D850">
        <v>58</v>
      </c>
      <c r="E850" t="s">
        <v>72</v>
      </c>
      <c r="F850" t="s">
        <v>21</v>
      </c>
      <c r="G850" s="8">
        <v>21</v>
      </c>
      <c r="H850" s="2">
        <v>93</v>
      </c>
      <c r="I850" s="2">
        <v>1953</v>
      </c>
      <c r="J850" s="4">
        <v>0</v>
      </c>
      <c r="K850" s="2">
        <v>1953</v>
      </c>
      <c r="L850" s="2">
        <f t="shared" si="40"/>
        <v>0</v>
      </c>
      <c r="M850" s="1">
        <v>44308</v>
      </c>
      <c r="N850" s="1">
        <v>44308</v>
      </c>
      <c r="O850">
        <v>849</v>
      </c>
      <c r="P850">
        <v>2</v>
      </c>
      <c r="Q850" t="s">
        <v>29</v>
      </c>
      <c r="R850" s="3">
        <v>0.1</v>
      </c>
      <c r="S850" s="2">
        <v>195.3</v>
      </c>
      <c r="T850">
        <v>2</v>
      </c>
      <c r="U850" t="str">
        <f t="shared" si="41"/>
        <v>Março</v>
      </c>
    </row>
    <row r="851" spans="1:21">
      <c r="A851">
        <v>850</v>
      </c>
      <c r="B851" s="1">
        <v>44287</v>
      </c>
      <c r="C851" s="1" t="str">
        <f t="shared" si="39"/>
        <v>abril</v>
      </c>
      <c r="D851">
        <v>11</v>
      </c>
      <c r="E851" t="s">
        <v>60</v>
      </c>
      <c r="F851" t="s">
        <v>21</v>
      </c>
      <c r="G851" s="8">
        <v>49</v>
      </c>
      <c r="H851" s="2">
        <v>114</v>
      </c>
      <c r="I851" s="2">
        <v>5586</v>
      </c>
      <c r="J851" s="4">
        <v>0.14000000000000001</v>
      </c>
      <c r="K851" s="2">
        <v>4803.96</v>
      </c>
      <c r="L851" s="2">
        <f t="shared" si="40"/>
        <v>782.04</v>
      </c>
      <c r="M851" s="1">
        <v>44309</v>
      </c>
      <c r="N851" s="1">
        <v>44309</v>
      </c>
      <c r="O851">
        <v>850</v>
      </c>
      <c r="P851">
        <v>1</v>
      </c>
      <c r="Q851" t="s">
        <v>37</v>
      </c>
      <c r="R851" s="3">
        <v>0.08</v>
      </c>
      <c r="S851" s="2">
        <v>384.3168</v>
      </c>
      <c r="T851">
        <v>3</v>
      </c>
      <c r="U851" t="str">
        <f t="shared" si="41"/>
        <v>Abril</v>
      </c>
    </row>
    <row r="852" spans="1:21">
      <c r="A852">
        <v>851</v>
      </c>
      <c r="B852" s="1">
        <v>44287</v>
      </c>
      <c r="C852" s="1" t="str">
        <f t="shared" si="39"/>
        <v>abril</v>
      </c>
      <c r="D852">
        <v>58</v>
      </c>
      <c r="E852" t="s">
        <v>72</v>
      </c>
      <c r="F852" t="s">
        <v>50</v>
      </c>
      <c r="G852" s="8">
        <v>23</v>
      </c>
      <c r="H852" s="2">
        <v>106</v>
      </c>
      <c r="I852" s="2">
        <v>2438</v>
      </c>
      <c r="J852" s="4">
        <v>0.08</v>
      </c>
      <c r="K852" s="2">
        <v>2242.96</v>
      </c>
      <c r="L852" s="2">
        <f t="shared" si="40"/>
        <v>195.03999999999996</v>
      </c>
      <c r="M852" s="1">
        <v>44314</v>
      </c>
      <c r="N852" s="1">
        <v>44314</v>
      </c>
      <c r="O852">
        <v>851</v>
      </c>
      <c r="P852">
        <v>2</v>
      </c>
      <c r="Q852" t="s">
        <v>52</v>
      </c>
      <c r="R852" s="3">
        <v>0.08</v>
      </c>
      <c r="S852" s="2">
        <v>179.43680000000001</v>
      </c>
      <c r="T852">
        <v>4</v>
      </c>
      <c r="U852" t="str">
        <f t="shared" si="41"/>
        <v>Abril</v>
      </c>
    </row>
    <row r="853" spans="1:21">
      <c r="A853">
        <v>852</v>
      </c>
      <c r="B853" s="1">
        <v>44288</v>
      </c>
      <c r="C853" s="1" t="str">
        <f t="shared" si="39"/>
        <v>abril</v>
      </c>
      <c r="D853">
        <v>2</v>
      </c>
      <c r="E853" t="s">
        <v>35</v>
      </c>
      <c r="F853" t="s">
        <v>41</v>
      </c>
      <c r="G853" s="8">
        <v>17</v>
      </c>
      <c r="H853" s="2">
        <v>102</v>
      </c>
      <c r="I853" s="2">
        <v>1734</v>
      </c>
      <c r="J853" s="4">
        <v>0.06</v>
      </c>
      <c r="K853" s="2">
        <v>1629.96</v>
      </c>
      <c r="L853" s="2">
        <f t="shared" si="40"/>
        <v>104.03999999999996</v>
      </c>
      <c r="M853" s="1">
        <v>44312</v>
      </c>
      <c r="N853" s="1">
        <v>44312</v>
      </c>
      <c r="O853">
        <v>852</v>
      </c>
      <c r="P853">
        <v>3</v>
      </c>
      <c r="Q853" t="s">
        <v>52</v>
      </c>
      <c r="R853" s="3">
        <v>0.1</v>
      </c>
      <c r="S853" s="2">
        <v>162.99600000000001</v>
      </c>
      <c r="T853">
        <v>5</v>
      </c>
      <c r="U853" t="str">
        <f t="shared" si="41"/>
        <v>Abril</v>
      </c>
    </row>
    <row r="854" spans="1:21">
      <c r="A854">
        <v>853</v>
      </c>
      <c r="B854" s="1">
        <v>44288</v>
      </c>
      <c r="C854" s="1" t="str">
        <f t="shared" si="39"/>
        <v>abril</v>
      </c>
      <c r="D854">
        <v>14</v>
      </c>
      <c r="E854" t="s">
        <v>27</v>
      </c>
      <c r="F854" t="s">
        <v>21</v>
      </c>
      <c r="G854" s="8">
        <v>39</v>
      </c>
      <c r="H854" s="2">
        <v>118</v>
      </c>
      <c r="I854" s="2">
        <v>4602</v>
      </c>
      <c r="J854" s="4">
        <v>0.08</v>
      </c>
      <c r="K854" s="2">
        <v>4233.84</v>
      </c>
      <c r="L854" s="2">
        <f t="shared" si="40"/>
        <v>368.15999999999985</v>
      </c>
      <c r="M854" s="1">
        <v>44317</v>
      </c>
      <c r="N854" s="1">
        <v>44317</v>
      </c>
      <c r="O854">
        <v>853</v>
      </c>
      <c r="P854">
        <v>5</v>
      </c>
      <c r="Q854" t="s">
        <v>34</v>
      </c>
      <c r="R854" s="3">
        <v>0.05</v>
      </c>
      <c r="S854" s="2">
        <v>211.69200000000001</v>
      </c>
      <c r="T854">
        <v>6</v>
      </c>
      <c r="U854" t="str">
        <f t="shared" si="41"/>
        <v>Abril</v>
      </c>
    </row>
    <row r="855" spans="1:21">
      <c r="A855">
        <v>854</v>
      </c>
      <c r="B855" s="1">
        <v>44288</v>
      </c>
      <c r="C855" s="1" t="str">
        <f t="shared" si="39"/>
        <v>abril</v>
      </c>
      <c r="D855">
        <v>85</v>
      </c>
      <c r="E855" t="s">
        <v>57</v>
      </c>
      <c r="F855" t="s">
        <v>54</v>
      </c>
      <c r="G855" s="8">
        <v>35</v>
      </c>
      <c r="H855" s="2">
        <v>101</v>
      </c>
      <c r="I855" s="2">
        <v>3535</v>
      </c>
      <c r="J855" s="4">
        <v>0.09</v>
      </c>
      <c r="K855" s="2">
        <v>3216.85</v>
      </c>
      <c r="L855" s="2">
        <f t="shared" si="40"/>
        <v>318.15000000000009</v>
      </c>
      <c r="M855" s="1">
        <v>44295</v>
      </c>
      <c r="N855" s="1">
        <v>44295</v>
      </c>
      <c r="O855">
        <v>854</v>
      </c>
      <c r="P855">
        <v>7</v>
      </c>
      <c r="Q855" t="s">
        <v>22</v>
      </c>
      <c r="R855" s="3">
        <v>7.0000000000000007E-2</v>
      </c>
      <c r="S855" s="2">
        <v>225.17950000000002</v>
      </c>
      <c r="T855">
        <v>7</v>
      </c>
      <c r="U855" t="str">
        <f t="shared" si="41"/>
        <v>Abril</v>
      </c>
    </row>
    <row r="856" spans="1:21">
      <c r="A856">
        <v>855</v>
      </c>
      <c r="B856" s="1">
        <v>44289</v>
      </c>
      <c r="C856" s="1" t="str">
        <f t="shared" si="39"/>
        <v>abril</v>
      </c>
      <c r="D856">
        <v>7</v>
      </c>
      <c r="E856" t="s">
        <v>102</v>
      </c>
      <c r="F856" t="s">
        <v>28</v>
      </c>
      <c r="G856" s="8">
        <v>27</v>
      </c>
      <c r="H856" s="2">
        <v>109</v>
      </c>
      <c r="I856" s="2">
        <v>2943</v>
      </c>
      <c r="J856" s="4">
        <v>0.06</v>
      </c>
      <c r="K856" s="2">
        <v>2766.42</v>
      </c>
      <c r="L856" s="2">
        <f t="shared" si="40"/>
        <v>176.57999999999993</v>
      </c>
      <c r="M856" s="1">
        <v>44308</v>
      </c>
      <c r="N856" s="1">
        <v>44308</v>
      </c>
      <c r="O856">
        <v>855</v>
      </c>
      <c r="P856">
        <v>2</v>
      </c>
      <c r="Q856" t="s">
        <v>32</v>
      </c>
      <c r="R856" s="3">
        <v>0.05</v>
      </c>
      <c r="S856" s="2">
        <v>138.321</v>
      </c>
      <c r="T856">
        <v>1</v>
      </c>
      <c r="U856" t="str">
        <f t="shared" si="41"/>
        <v>Abril</v>
      </c>
    </row>
    <row r="857" spans="1:21">
      <c r="A857">
        <v>856</v>
      </c>
      <c r="B857" s="1">
        <v>44289</v>
      </c>
      <c r="C857" s="1" t="str">
        <f t="shared" si="39"/>
        <v>abril</v>
      </c>
      <c r="D857">
        <v>46</v>
      </c>
      <c r="E857" t="s">
        <v>94</v>
      </c>
      <c r="F857" t="s">
        <v>50</v>
      </c>
      <c r="G857" s="8">
        <v>45</v>
      </c>
      <c r="H857" s="2">
        <v>109</v>
      </c>
      <c r="I857" s="2">
        <v>4905</v>
      </c>
      <c r="J857" s="4">
        <v>0.13</v>
      </c>
      <c r="K857" s="2">
        <v>4267.3500000000004</v>
      </c>
      <c r="L857" s="2">
        <f t="shared" si="40"/>
        <v>637.64999999999964</v>
      </c>
      <c r="M857" s="1">
        <v>44298</v>
      </c>
      <c r="N857" s="1">
        <v>44298</v>
      </c>
      <c r="O857">
        <v>856</v>
      </c>
      <c r="P857">
        <v>3</v>
      </c>
      <c r="Q857" t="s">
        <v>52</v>
      </c>
      <c r="R857" s="3">
        <v>7.0000000000000007E-2</v>
      </c>
      <c r="S857" s="2">
        <v>298.71450000000004</v>
      </c>
      <c r="T857">
        <v>2</v>
      </c>
      <c r="U857" t="str">
        <f t="shared" si="41"/>
        <v>Abril</v>
      </c>
    </row>
    <row r="858" spans="1:21">
      <c r="A858">
        <v>857</v>
      </c>
      <c r="B858" s="1">
        <v>44289</v>
      </c>
      <c r="C858" s="1" t="str">
        <f t="shared" si="39"/>
        <v>abril</v>
      </c>
      <c r="D858">
        <v>38</v>
      </c>
      <c r="E858" t="s">
        <v>73</v>
      </c>
      <c r="F858" t="s">
        <v>31</v>
      </c>
      <c r="G858" s="8">
        <v>48</v>
      </c>
      <c r="H858" s="2">
        <v>101</v>
      </c>
      <c r="I858" s="2">
        <v>4848</v>
      </c>
      <c r="J858" s="4">
        <v>0.02</v>
      </c>
      <c r="K858" s="2">
        <v>4751.04</v>
      </c>
      <c r="L858" s="2">
        <f t="shared" si="40"/>
        <v>96.960000000000036</v>
      </c>
      <c r="M858" s="1">
        <v>44301</v>
      </c>
      <c r="N858" s="1">
        <v>44301</v>
      </c>
      <c r="O858">
        <v>857</v>
      </c>
      <c r="P858">
        <v>2</v>
      </c>
      <c r="Q858" t="s">
        <v>37</v>
      </c>
      <c r="R858" s="3">
        <v>0.06</v>
      </c>
      <c r="S858" s="2">
        <v>285.06239999999997</v>
      </c>
      <c r="T858">
        <v>3</v>
      </c>
      <c r="U858" t="str">
        <f t="shared" si="41"/>
        <v>Abril</v>
      </c>
    </row>
    <row r="859" spans="1:21">
      <c r="A859">
        <v>858</v>
      </c>
      <c r="B859" s="1">
        <v>44290</v>
      </c>
      <c r="C859" s="1" t="str">
        <f t="shared" si="39"/>
        <v>abril</v>
      </c>
      <c r="D859">
        <v>33</v>
      </c>
      <c r="E859" t="s">
        <v>76</v>
      </c>
      <c r="F859" t="s">
        <v>54</v>
      </c>
      <c r="G859" s="8">
        <v>46</v>
      </c>
      <c r="H859" s="2">
        <v>118</v>
      </c>
      <c r="I859" s="2">
        <v>5428</v>
      </c>
      <c r="J859" s="4">
        <v>0</v>
      </c>
      <c r="K859" s="2">
        <v>5428</v>
      </c>
      <c r="L859" s="2">
        <f t="shared" si="40"/>
        <v>0</v>
      </c>
      <c r="M859" s="1">
        <v>44313</v>
      </c>
      <c r="N859" s="1">
        <v>44313</v>
      </c>
      <c r="O859">
        <v>858</v>
      </c>
      <c r="P859">
        <v>1</v>
      </c>
      <c r="Q859" t="s">
        <v>34</v>
      </c>
      <c r="R859" s="3">
        <v>0.09</v>
      </c>
      <c r="S859" s="2">
        <v>488.52</v>
      </c>
      <c r="T859">
        <v>4</v>
      </c>
      <c r="U859" t="str">
        <f t="shared" si="41"/>
        <v>Abril</v>
      </c>
    </row>
    <row r="860" spans="1:21">
      <c r="A860">
        <v>859</v>
      </c>
      <c r="B860" s="1">
        <v>44290</v>
      </c>
      <c r="C860" s="1" t="str">
        <f t="shared" si="39"/>
        <v>abril</v>
      </c>
      <c r="D860">
        <v>48</v>
      </c>
      <c r="E860" t="s">
        <v>61</v>
      </c>
      <c r="F860" t="s">
        <v>31</v>
      </c>
      <c r="G860" s="8">
        <v>11</v>
      </c>
      <c r="H860" s="2">
        <v>98</v>
      </c>
      <c r="I860" s="2">
        <v>1078</v>
      </c>
      <c r="J860" s="4">
        <v>0.08</v>
      </c>
      <c r="K860" s="2">
        <v>991.76</v>
      </c>
      <c r="L860" s="2">
        <f t="shared" si="40"/>
        <v>86.240000000000009</v>
      </c>
      <c r="M860" s="1">
        <v>44290</v>
      </c>
      <c r="N860" s="1">
        <v>44290</v>
      </c>
      <c r="O860">
        <v>859</v>
      </c>
      <c r="P860">
        <v>1</v>
      </c>
      <c r="Q860" t="s">
        <v>32</v>
      </c>
      <c r="R860" s="3">
        <v>0.1</v>
      </c>
      <c r="S860" s="2">
        <v>99.176000000000002</v>
      </c>
      <c r="T860">
        <v>5</v>
      </c>
      <c r="U860" t="str">
        <f t="shared" si="41"/>
        <v>Abril</v>
      </c>
    </row>
    <row r="861" spans="1:21">
      <c r="A861">
        <v>860</v>
      </c>
      <c r="B861" s="1">
        <v>44290</v>
      </c>
      <c r="C861" s="1" t="str">
        <f t="shared" si="39"/>
        <v>abril</v>
      </c>
      <c r="D861">
        <v>13</v>
      </c>
      <c r="E861" t="s">
        <v>75</v>
      </c>
      <c r="F861" t="s">
        <v>50</v>
      </c>
      <c r="G861" s="8">
        <v>45</v>
      </c>
      <c r="H861" s="2">
        <v>95</v>
      </c>
      <c r="I861" s="2">
        <v>4275</v>
      </c>
      <c r="J861" s="4">
        <v>0.12</v>
      </c>
      <c r="K861" s="2">
        <v>3762</v>
      </c>
      <c r="L861" s="2">
        <f t="shared" si="40"/>
        <v>513</v>
      </c>
      <c r="M861" s="1">
        <v>44295</v>
      </c>
      <c r="N861" s="1">
        <v>44295</v>
      </c>
      <c r="O861">
        <v>860</v>
      </c>
      <c r="P861">
        <v>2</v>
      </c>
      <c r="Q861" t="s">
        <v>25</v>
      </c>
      <c r="R861" s="3">
        <v>0.08</v>
      </c>
      <c r="S861" s="2">
        <v>300.95999999999998</v>
      </c>
      <c r="T861">
        <v>6</v>
      </c>
      <c r="U861" t="str">
        <f t="shared" si="41"/>
        <v>Abril</v>
      </c>
    </row>
    <row r="862" spans="1:21">
      <c r="A862">
        <v>861</v>
      </c>
      <c r="B862" s="1">
        <v>44290</v>
      </c>
      <c r="C862" s="1" t="str">
        <f t="shared" si="39"/>
        <v>abril</v>
      </c>
      <c r="D862">
        <v>45</v>
      </c>
      <c r="E862" t="s">
        <v>38</v>
      </c>
      <c r="F862" t="s">
        <v>41</v>
      </c>
      <c r="G862" s="8">
        <v>41</v>
      </c>
      <c r="H862" s="2">
        <v>101</v>
      </c>
      <c r="I862" s="2">
        <v>4141</v>
      </c>
      <c r="J862" s="4">
        <v>0.15</v>
      </c>
      <c r="K862" s="2">
        <v>3519.85</v>
      </c>
      <c r="L862" s="2">
        <f t="shared" si="40"/>
        <v>621.15000000000009</v>
      </c>
      <c r="M862" s="1">
        <v>44297</v>
      </c>
      <c r="N862" s="1">
        <v>44297</v>
      </c>
      <c r="O862">
        <v>861</v>
      </c>
      <c r="P862">
        <v>1</v>
      </c>
      <c r="Q862" t="s">
        <v>69</v>
      </c>
      <c r="R862" s="3">
        <v>7.0000000000000007E-2</v>
      </c>
      <c r="S862" s="2">
        <v>246.38950000000003</v>
      </c>
      <c r="T862">
        <v>7</v>
      </c>
      <c r="U862" t="str">
        <f t="shared" si="41"/>
        <v>Abril</v>
      </c>
    </row>
    <row r="863" spans="1:21">
      <c r="A863">
        <v>862</v>
      </c>
      <c r="B863" s="1">
        <v>44291</v>
      </c>
      <c r="C863" s="1" t="str">
        <f t="shared" si="39"/>
        <v>abril</v>
      </c>
      <c r="D863">
        <v>27</v>
      </c>
      <c r="E863" t="s">
        <v>101</v>
      </c>
      <c r="F863" t="s">
        <v>54</v>
      </c>
      <c r="G863" s="8">
        <v>23</v>
      </c>
      <c r="H863" s="2">
        <v>110</v>
      </c>
      <c r="I863" s="2">
        <v>2530</v>
      </c>
      <c r="J863" s="4">
        <v>7.0000000000000007E-2</v>
      </c>
      <c r="K863" s="2">
        <v>2352.9</v>
      </c>
      <c r="L863" s="2">
        <f t="shared" si="40"/>
        <v>177.09999999999991</v>
      </c>
      <c r="M863" s="1">
        <v>44308</v>
      </c>
      <c r="N863" s="1">
        <v>44308</v>
      </c>
      <c r="O863">
        <v>862</v>
      </c>
      <c r="P863">
        <v>1</v>
      </c>
      <c r="Q863" t="s">
        <v>34</v>
      </c>
      <c r="R863" s="3">
        <v>0.06</v>
      </c>
      <c r="S863" s="2">
        <v>141.17400000000001</v>
      </c>
      <c r="T863">
        <v>1</v>
      </c>
      <c r="U863" t="str">
        <f t="shared" si="41"/>
        <v>Abril</v>
      </c>
    </row>
    <row r="864" spans="1:21">
      <c r="A864">
        <v>863</v>
      </c>
      <c r="B864" s="1">
        <v>44291</v>
      </c>
      <c r="C864" s="1" t="str">
        <f t="shared" si="39"/>
        <v>abril</v>
      </c>
      <c r="D864">
        <v>32</v>
      </c>
      <c r="E864" t="s">
        <v>77</v>
      </c>
      <c r="F864" t="s">
        <v>59</v>
      </c>
      <c r="G864" s="8">
        <v>46</v>
      </c>
      <c r="H864" s="2">
        <v>106</v>
      </c>
      <c r="I864" s="2">
        <v>4876</v>
      </c>
      <c r="J864" s="4">
        <v>0.01</v>
      </c>
      <c r="K864" s="2">
        <v>4827.24</v>
      </c>
      <c r="L864" s="2">
        <f t="shared" si="40"/>
        <v>48.760000000000218</v>
      </c>
      <c r="M864" s="1">
        <v>44312</v>
      </c>
      <c r="N864" s="1">
        <v>44312</v>
      </c>
      <c r="O864">
        <v>863</v>
      </c>
      <c r="P864">
        <v>1</v>
      </c>
      <c r="Q864" t="s">
        <v>32</v>
      </c>
      <c r="R864" s="3">
        <v>0.08</v>
      </c>
      <c r="S864" s="2">
        <v>386.17919999999998</v>
      </c>
      <c r="T864">
        <v>2</v>
      </c>
      <c r="U864" t="str">
        <f t="shared" si="41"/>
        <v>Abril</v>
      </c>
    </row>
    <row r="865" spans="1:21">
      <c r="A865">
        <v>864</v>
      </c>
      <c r="B865" s="1">
        <v>44292</v>
      </c>
      <c r="C865" s="1" t="str">
        <f t="shared" si="39"/>
        <v>abril</v>
      </c>
      <c r="D865">
        <v>16</v>
      </c>
      <c r="E865" t="s">
        <v>27</v>
      </c>
      <c r="F865" t="s">
        <v>21</v>
      </c>
      <c r="G865" s="8">
        <v>28</v>
      </c>
      <c r="H865" s="2">
        <v>106</v>
      </c>
      <c r="I865" s="2">
        <v>2968</v>
      </c>
      <c r="J865" s="4">
        <v>7.0000000000000007E-2</v>
      </c>
      <c r="K865" s="2">
        <v>2760.24</v>
      </c>
      <c r="L865" s="2">
        <f t="shared" si="40"/>
        <v>207.76000000000022</v>
      </c>
      <c r="M865" s="1">
        <v>44292</v>
      </c>
      <c r="N865" s="1">
        <v>44292</v>
      </c>
      <c r="O865">
        <v>864</v>
      </c>
      <c r="P865">
        <v>4</v>
      </c>
      <c r="Q865" t="s">
        <v>37</v>
      </c>
      <c r="R865" s="3">
        <v>0.1</v>
      </c>
      <c r="S865" s="2">
        <v>276.024</v>
      </c>
      <c r="T865">
        <v>3</v>
      </c>
      <c r="U865" t="str">
        <f t="shared" si="41"/>
        <v>Abril</v>
      </c>
    </row>
    <row r="866" spans="1:21">
      <c r="A866">
        <v>865</v>
      </c>
      <c r="B866" s="1">
        <v>44293</v>
      </c>
      <c r="C866" s="1" t="str">
        <f t="shared" si="39"/>
        <v>abril</v>
      </c>
      <c r="D866">
        <v>29</v>
      </c>
      <c r="E866" t="s">
        <v>98</v>
      </c>
      <c r="F866" t="s">
        <v>59</v>
      </c>
      <c r="G866" s="8">
        <v>30</v>
      </c>
      <c r="H866" s="2">
        <v>112</v>
      </c>
      <c r="I866" s="2">
        <v>3360</v>
      </c>
      <c r="J866" s="4">
        <v>0</v>
      </c>
      <c r="K866" s="2">
        <v>3360</v>
      </c>
      <c r="L866" s="2">
        <f t="shared" si="40"/>
        <v>0</v>
      </c>
      <c r="M866" s="1">
        <v>44312</v>
      </c>
      <c r="N866" s="1">
        <v>44312</v>
      </c>
      <c r="O866">
        <v>865</v>
      </c>
      <c r="P866">
        <v>4</v>
      </c>
      <c r="Q866" t="s">
        <v>47</v>
      </c>
      <c r="R866" s="3">
        <v>7.0000000000000007E-2</v>
      </c>
      <c r="S866" s="2">
        <v>235.20000000000002</v>
      </c>
      <c r="T866">
        <v>4</v>
      </c>
      <c r="U866" t="str">
        <f t="shared" si="41"/>
        <v>Abril</v>
      </c>
    </row>
    <row r="867" spans="1:21">
      <c r="A867">
        <v>866</v>
      </c>
      <c r="B867" s="1">
        <v>44293</v>
      </c>
      <c r="C867" s="1" t="str">
        <f t="shared" si="39"/>
        <v>abril</v>
      </c>
      <c r="D867">
        <v>86</v>
      </c>
      <c r="E867" t="s">
        <v>90</v>
      </c>
      <c r="F867" t="s">
        <v>46</v>
      </c>
      <c r="G867" s="8">
        <v>39</v>
      </c>
      <c r="H867" s="2">
        <v>108</v>
      </c>
      <c r="I867" s="2">
        <v>4212</v>
      </c>
      <c r="J867" s="4">
        <v>0.15</v>
      </c>
      <c r="K867" s="2">
        <v>3580.2</v>
      </c>
      <c r="L867" s="2">
        <f t="shared" si="40"/>
        <v>631.80000000000018</v>
      </c>
      <c r="M867" s="1">
        <v>44307</v>
      </c>
      <c r="N867" s="1">
        <v>44307</v>
      </c>
      <c r="O867">
        <v>866</v>
      </c>
      <c r="P867">
        <v>7</v>
      </c>
      <c r="Q867" t="s">
        <v>43</v>
      </c>
      <c r="R867" s="3">
        <v>0.05</v>
      </c>
      <c r="S867" s="2">
        <v>179.01</v>
      </c>
      <c r="T867">
        <v>5</v>
      </c>
      <c r="U867" t="str">
        <f t="shared" si="41"/>
        <v>Abril</v>
      </c>
    </row>
    <row r="868" spans="1:21">
      <c r="A868">
        <v>867</v>
      </c>
      <c r="B868" s="1">
        <v>44294</v>
      </c>
      <c r="C868" s="1" t="str">
        <f t="shared" si="39"/>
        <v>abril</v>
      </c>
      <c r="D868">
        <v>18</v>
      </c>
      <c r="E868" t="s">
        <v>83</v>
      </c>
      <c r="F868" t="s">
        <v>55</v>
      </c>
      <c r="G868" s="8">
        <v>14</v>
      </c>
      <c r="H868" s="2">
        <v>97</v>
      </c>
      <c r="I868" s="2">
        <v>1358</v>
      </c>
      <c r="J868" s="4">
        <v>0.03</v>
      </c>
      <c r="K868" s="2">
        <v>1317.26</v>
      </c>
      <c r="L868" s="2">
        <f t="shared" si="40"/>
        <v>40.740000000000009</v>
      </c>
      <c r="M868" s="1">
        <v>44297</v>
      </c>
      <c r="N868" s="1">
        <v>44297</v>
      </c>
      <c r="O868">
        <v>867</v>
      </c>
      <c r="P868">
        <v>2</v>
      </c>
      <c r="Q868" t="s">
        <v>69</v>
      </c>
      <c r="R868" s="3">
        <v>0.09</v>
      </c>
      <c r="S868" s="2">
        <v>118.5534</v>
      </c>
      <c r="T868">
        <v>6</v>
      </c>
      <c r="U868" t="str">
        <f t="shared" si="41"/>
        <v>Abril</v>
      </c>
    </row>
    <row r="869" spans="1:21">
      <c r="A869">
        <v>868</v>
      </c>
      <c r="B869" s="1">
        <v>44294</v>
      </c>
      <c r="C869" s="1" t="str">
        <f t="shared" si="39"/>
        <v>abril</v>
      </c>
      <c r="D869">
        <v>81</v>
      </c>
      <c r="E869" t="s">
        <v>103</v>
      </c>
      <c r="F869" t="s">
        <v>46</v>
      </c>
      <c r="G869" s="8">
        <v>15</v>
      </c>
      <c r="H869" s="2">
        <v>90</v>
      </c>
      <c r="I869" s="2">
        <v>1350</v>
      </c>
      <c r="J869" s="4">
        <v>0.09</v>
      </c>
      <c r="K869" s="2">
        <v>1228.5</v>
      </c>
      <c r="L869" s="2">
        <f t="shared" si="40"/>
        <v>121.5</v>
      </c>
      <c r="M869" s="1">
        <v>44324</v>
      </c>
      <c r="N869" s="1">
        <v>44324</v>
      </c>
      <c r="O869">
        <v>868</v>
      </c>
      <c r="P869">
        <v>6</v>
      </c>
      <c r="Q869" t="s">
        <v>34</v>
      </c>
      <c r="R869" s="3">
        <v>0.06</v>
      </c>
      <c r="S869" s="2">
        <v>73.709999999999994</v>
      </c>
      <c r="T869">
        <v>7</v>
      </c>
      <c r="U869" t="str">
        <f t="shared" si="41"/>
        <v>Abril</v>
      </c>
    </row>
    <row r="870" spans="1:21">
      <c r="A870">
        <v>869</v>
      </c>
      <c r="B870" s="1">
        <v>44295</v>
      </c>
      <c r="C870" s="1" t="str">
        <f t="shared" si="39"/>
        <v>abril</v>
      </c>
      <c r="D870">
        <v>49</v>
      </c>
      <c r="E870" t="s">
        <v>38</v>
      </c>
      <c r="F870" t="s">
        <v>41</v>
      </c>
      <c r="G870" s="8">
        <v>29</v>
      </c>
      <c r="H870" s="2">
        <v>102</v>
      </c>
      <c r="I870" s="2">
        <v>2958</v>
      </c>
      <c r="J870" s="4">
        <v>0.13</v>
      </c>
      <c r="K870" s="2">
        <v>2573.46</v>
      </c>
      <c r="L870" s="2">
        <f t="shared" si="40"/>
        <v>384.53999999999996</v>
      </c>
      <c r="M870" s="1">
        <v>44300</v>
      </c>
      <c r="N870" s="1">
        <v>44300</v>
      </c>
      <c r="O870">
        <v>869</v>
      </c>
      <c r="P870">
        <v>3</v>
      </c>
      <c r="Q870" t="s">
        <v>22</v>
      </c>
      <c r="R870" s="3">
        <v>0.1</v>
      </c>
      <c r="S870" s="2">
        <v>257.346</v>
      </c>
      <c r="T870">
        <v>1</v>
      </c>
      <c r="U870" t="str">
        <f t="shared" si="41"/>
        <v>Abril</v>
      </c>
    </row>
    <row r="871" spans="1:21">
      <c r="A871">
        <v>870</v>
      </c>
      <c r="B871" s="1">
        <v>44295</v>
      </c>
      <c r="C871" s="1" t="str">
        <f t="shared" si="39"/>
        <v>abril</v>
      </c>
      <c r="D871">
        <v>59</v>
      </c>
      <c r="E871" t="s">
        <v>97</v>
      </c>
      <c r="F871" t="s">
        <v>28</v>
      </c>
      <c r="G871" s="8">
        <v>29</v>
      </c>
      <c r="H871" s="2">
        <v>94</v>
      </c>
      <c r="I871" s="2">
        <v>2726</v>
      </c>
      <c r="J871" s="4">
        <v>0</v>
      </c>
      <c r="K871" s="2">
        <v>2726</v>
      </c>
      <c r="L871" s="2">
        <f t="shared" si="40"/>
        <v>0</v>
      </c>
      <c r="M871" s="1">
        <v>44313</v>
      </c>
      <c r="N871" s="1">
        <v>44313</v>
      </c>
      <c r="O871">
        <v>870</v>
      </c>
      <c r="P871">
        <v>1</v>
      </c>
      <c r="Q871" t="s">
        <v>32</v>
      </c>
      <c r="R871" s="3">
        <v>0.05</v>
      </c>
      <c r="S871" s="2">
        <v>136.30000000000001</v>
      </c>
      <c r="T871">
        <v>2</v>
      </c>
      <c r="U871" t="str">
        <f t="shared" si="41"/>
        <v>Abril</v>
      </c>
    </row>
    <row r="872" spans="1:21">
      <c r="A872">
        <v>871</v>
      </c>
      <c r="B872" s="1">
        <v>44296</v>
      </c>
      <c r="C872" s="1" t="str">
        <f t="shared" si="39"/>
        <v>abril</v>
      </c>
      <c r="D872">
        <v>15</v>
      </c>
      <c r="E872" t="s">
        <v>77</v>
      </c>
      <c r="F872" t="s">
        <v>46</v>
      </c>
      <c r="G872" s="8">
        <v>35</v>
      </c>
      <c r="H872" s="2">
        <v>109</v>
      </c>
      <c r="I872" s="2">
        <v>3815</v>
      </c>
      <c r="J872" s="4">
        <v>0.01</v>
      </c>
      <c r="K872" s="2">
        <v>3776.85</v>
      </c>
      <c r="L872" s="2">
        <f t="shared" si="40"/>
        <v>38.150000000000091</v>
      </c>
      <c r="M872" s="1">
        <v>44316</v>
      </c>
      <c r="N872" s="1">
        <v>44316</v>
      </c>
      <c r="O872">
        <v>871</v>
      </c>
      <c r="P872">
        <v>6</v>
      </c>
      <c r="Q872" t="s">
        <v>32</v>
      </c>
      <c r="R872" s="3">
        <v>0.06</v>
      </c>
      <c r="S872" s="2">
        <v>226.61099999999999</v>
      </c>
      <c r="T872">
        <v>3</v>
      </c>
      <c r="U872" t="str">
        <f t="shared" si="41"/>
        <v>Abril</v>
      </c>
    </row>
    <row r="873" spans="1:21">
      <c r="A873">
        <v>872</v>
      </c>
      <c r="B873" s="1">
        <v>44296</v>
      </c>
      <c r="C873" s="1" t="str">
        <f t="shared" si="39"/>
        <v>abril</v>
      </c>
      <c r="D873">
        <v>62</v>
      </c>
      <c r="E873" t="s">
        <v>38</v>
      </c>
      <c r="F873" t="s">
        <v>28</v>
      </c>
      <c r="G873" s="8">
        <v>41</v>
      </c>
      <c r="H873" s="2">
        <v>115</v>
      </c>
      <c r="I873" s="2">
        <v>4715</v>
      </c>
      <c r="J873" s="4">
        <v>0.02</v>
      </c>
      <c r="K873" s="2">
        <v>4620.7</v>
      </c>
      <c r="L873" s="2">
        <f t="shared" si="40"/>
        <v>94.300000000000182</v>
      </c>
      <c r="M873" s="1">
        <v>44309</v>
      </c>
      <c r="N873" s="1">
        <v>44309</v>
      </c>
      <c r="O873">
        <v>872</v>
      </c>
      <c r="P873">
        <v>1</v>
      </c>
      <c r="Q873" t="s">
        <v>69</v>
      </c>
      <c r="R873" s="3">
        <v>0.09</v>
      </c>
      <c r="S873" s="2">
        <v>415.86299999999994</v>
      </c>
      <c r="T873">
        <v>4</v>
      </c>
      <c r="U873" t="str">
        <f t="shared" si="41"/>
        <v>Abril</v>
      </c>
    </row>
    <row r="874" spans="1:21">
      <c r="A874">
        <v>873</v>
      </c>
      <c r="B874" s="1">
        <v>44296</v>
      </c>
      <c r="C874" s="1" t="str">
        <f t="shared" si="39"/>
        <v>abril</v>
      </c>
      <c r="D874">
        <v>2</v>
      </c>
      <c r="E874" t="s">
        <v>35</v>
      </c>
      <c r="F874" t="s">
        <v>50</v>
      </c>
      <c r="G874" s="8">
        <v>30</v>
      </c>
      <c r="H874" s="2">
        <v>108</v>
      </c>
      <c r="I874" s="2">
        <v>3240</v>
      </c>
      <c r="J874" s="4">
        <v>0.05</v>
      </c>
      <c r="K874" s="2">
        <v>3078</v>
      </c>
      <c r="L874" s="2">
        <f t="shared" si="40"/>
        <v>162</v>
      </c>
      <c r="M874" s="1">
        <v>44302</v>
      </c>
      <c r="N874" s="1">
        <v>44302</v>
      </c>
      <c r="O874">
        <v>873</v>
      </c>
      <c r="P874">
        <v>6</v>
      </c>
      <c r="Q874" t="s">
        <v>47</v>
      </c>
      <c r="R874" s="3">
        <v>0.05</v>
      </c>
      <c r="S874" s="2">
        <v>153.9</v>
      </c>
      <c r="T874">
        <v>5</v>
      </c>
      <c r="U874" t="str">
        <f t="shared" si="41"/>
        <v>Abril</v>
      </c>
    </row>
    <row r="875" spans="1:21">
      <c r="A875">
        <v>874</v>
      </c>
      <c r="B875" s="1">
        <v>44299</v>
      </c>
      <c r="C875" s="1" t="str">
        <f t="shared" si="39"/>
        <v>abril</v>
      </c>
      <c r="D875">
        <v>41</v>
      </c>
      <c r="E875" t="s">
        <v>68</v>
      </c>
      <c r="F875" t="s">
        <v>50</v>
      </c>
      <c r="G875" s="8">
        <v>17</v>
      </c>
      <c r="H875" s="2">
        <v>115</v>
      </c>
      <c r="I875" s="2">
        <v>1955</v>
      </c>
      <c r="J875" s="4">
        <v>0</v>
      </c>
      <c r="K875" s="2">
        <v>1955</v>
      </c>
      <c r="L875" s="2">
        <f t="shared" si="40"/>
        <v>0</v>
      </c>
      <c r="M875" s="1">
        <v>44307</v>
      </c>
      <c r="N875" s="1">
        <v>44307</v>
      </c>
      <c r="O875">
        <v>874</v>
      </c>
      <c r="P875">
        <v>6</v>
      </c>
      <c r="Q875" t="s">
        <v>47</v>
      </c>
      <c r="R875" s="3">
        <v>0.1</v>
      </c>
      <c r="S875" s="2">
        <v>195.5</v>
      </c>
      <c r="T875">
        <v>6</v>
      </c>
      <c r="U875" t="str">
        <f t="shared" si="41"/>
        <v>Abril</v>
      </c>
    </row>
    <row r="876" spans="1:21">
      <c r="A876">
        <v>875</v>
      </c>
      <c r="B876" s="1">
        <v>44302</v>
      </c>
      <c r="C876" s="1" t="str">
        <f t="shared" si="39"/>
        <v>abril</v>
      </c>
      <c r="D876">
        <v>31</v>
      </c>
      <c r="E876" t="s">
        <v>85</v>
      </c>
      <c r="F876" t="s">
        <v>46</v>
      </c>
      <c r="G876" s="8">
        <v>37</v>
      </c>
      <c r="H876" s="2">
        <v>111</v>
      </c>
      <c r="I876" s="2">
        <v>4107</v>
      </c>
      <c r="J876" s="4">
        <v>0</v>
      </c>
      <c r="K876" s="2">
        <v>4107</v>
      </c>
      <c r="L876" s="2">
        <f t="shared" si="40"/>
        <v>0</v>
      </c>
      <c r="M876" s="1">
        <v>44314</v>
      </c>
      <c r="N876" s="1">
        <v>44314</v>
      </c>
      <c r="O876">
        <v>875</v>
      </c>
      <c r="P876">
        <v>5</v>
      </c>
      <c r="Q876" t="s">
        <v>25</v>
      </c>
      <c r="R876" s="3">
        <v>0.1</v>
      </c>
      <c r="S876" s="2">
        <v>410.70000000000005</v>
      </c>
      <c r="T876">
        <v>7</v>
      </c>
      <c r="U876" t="str">
        <f t="shared" si="41"/>
        <v>Abril</v>
      </c>
    </row>
    <row r="877" spans="1:21">
      <c r="A877">
        <v>876</v>
      </c>
      <c r="B877" s="1">
        <v>44304</v>
      </c>
      <c r="C877" s="1" t="str">
        <f t="shared" si="39"/>
        <v>abril</v>
      </c>
      <c r="D877">
        <v>34</v>
      </c>
      <c r="E877" t="s">
        <v>58</v>
      </c>
      <c r="F877" t="s">
        <v>24</v>
      </c>
      <c r="G877" s="8">
        <v>38</v>
      </c>
      <c r="H877" s="2">
        <v>108</v>
      </c>
      <c r="I877" s="2">
        <v>4104</v>
      </c>
      <c r="J877" s="4">
        <v>0.06</v>
      </c>
      <c r="K877" s="2">
        <v>3857.76</v>
      </c>
      <c r="L877" s="2">
        <f t="shared" si="40"/>
        <v>246.23999999999978</v>
      </c>
      <c r="M877" s="1">
        <v>44306</v>
      </c>
      <c r="N877" s="1">
        <v>44306</v>
      </c>
      <c r="O877">
        <v>876</v>
      </c>
      <c r="P877">
        <v>1</v>
      </c>
      <c r="Q877" t="s">
        <v>52</v>
      </c>
      <c r="R877" s="3">
        <v>0.1</v>
      </c>
      <c r="S877" s="2">
        <v>385.77600000000007</v>
      </c>
      <c r="T877">
        <v>1</v>
      </c>
      <c r="U877" t="str">
        <f t="shared" si="41"/>
        <v>Abril</v>
      </c>
    </row>
    <row r="878" spans="1:21">
      <c r="A878">
        <v>877</v>
      </c>
      <c r="B878" s="1">
        <v>44304</v>
      </c>
      <c r="C878" s="1" t="str">
        <f t="shared" si="39"/>
        <v>abril</v>
      </c>
      <c r="D878">
        <v>28</v>
      </c>
      <c r="E878" t="s">
        <v>86</v>
      </c>
      <c r="F878" t="s">
        <v>31</v>
      </c>
      <c r="G878" s="8">
        <v>42</v>
      </c>
      <c r="H878" s="2">
        <v>96</v>
      </c>
      <c r="I878" s="2">
        <v>4032</v>
      </c>
      <c r="J878" s="4">
        <v>0.12</v>
      </c>
      <c r="K878" s="2">
        <v>3548.16</v>
      </c>
      <c r="L878" s="2">
        <f t="shared" si="40"/>
        <v>483.84000000000015</v>
      </c>
      <c r="M878" s="1">
        <v>44307</v>
      </c>
      <c r="N878" s="1">
        <v>44307</v>
      </c>
      <c r="O878">
        <v>877</v>
      </c>
      <c r="P878">
        <v>6</v>
      </c>
      <c r="Q878" t="s">
        <v>47</v>
      </c>
      <c r="R878" s="3">
        <v>0.08</v>
      </c>
      <c r="S878" s="2">
        <v>283.8528</v>
      </c>
      <c r="T878">
        <v>2</v>
      </c>
      <c r="U878" t="str">
        <f t="shared" si="41"/>
        <v>Abril</v>
      </c>
    </row>
    <row r="879" spans="1:21">
      <c r="A879">
        <v>878</v>
      </c>
      <c r="B879" s="1">
        <v>44306</v>
      </c>
      <c r="C879" s="1" t="str">
        <f t="shared" si="39"/>
        <v>abril</v>
      </c>
      <c r="D879">
        <v>6</v>
      </c>
      <c r="E879" t="s">
        <v>88</v>
      </c>
      <c r="F879" t="s">
        <v>28</v>
      </c>
      <c r="G879" s="8">
        <v>16</v>
      </c>
      <c r="H879" s="2">
        <v>93</v>
      </c>
      <c r="I879" s="2">
        <v>1488</v>
      </c>
      <c r="J879" s="4">
        <v>0.12</v>
      </c>
      <c r="K879" s="2">
        <v>1309.44</v>
      </c>
      <c r="L879" s="2">
        <f t="shared" si="40"/>
        <v>178.55999999999995</v>
      </c>
      <c r="M879" s="1">
        <v>44330</v>
      </c>
      <c r="N879" s="1">
        <v>44330</v>
      </c>
      <c r="O879">
        <v>878</v>
      </c>
      <c r="P879">
        <v>1</v>
      </c>
      <c r="Q879" t="s">
        <v>29</v>
      </c>
      <c r="R879" s="3">
        <v>0.05</v>
      </c>
      <c r="S879" s="2">
        <v>65.472000000000008</v>
      </c>
      <c r="T879">
        <v>3</v>
      </c>
      <c r="U879" t="str">
        <f t="shared" si="41"/>
        <v>Abril</v>
      </c>
    </row>
    <row r="880" spans="1:21">
      <c r="A880">
        <v>879</v>
      </c>
      <c r="B880" s="1">
        <v>44306</v>
      </c>
      <c r="C880" s="1" t="str">
        <f t="shared" si="39"/>
        <v>abril</v>
      </c>
      <c r="D880">
        <v>37</v>
      </c>
      <c r="E880" t="s">
        <v>48</v>
      </c>
      <c r="F880" t="s">
        <v>28</v>
      </c>
      <c r="G880" s="8">
        <v>44</v>
      </c>
      <c r="H880" s="2">
        <v>96</v>
      </c>
      <c r="I880" s="2">
        <v>4224</v>
      </c>
      <c r="J880" s="4">
        <v>0.05</v>
      </c>
      <c r="K880" s="2">
        <v>4012.8</v>
      </c>
      <c r="L880" s="2">
        <f t="shared" si="40"/>
        <v>211.19999999999982</v>
      </c>
      <c r="M880" s="1">
        <v>44318</v>
      </c>
      <c r="N880" s="1">
        <v>44318</v>
      </c>
      <c r="O880">
        <v>879</v>
      </c>
      <c r="P880">
        <v>7</v>
      </c>
      <c r="Q880" t="s">
        <v>25</v>
      </c>
      <c r="R880" s="3">
        <v>0.08</v>
      </c>
      <c r="S880" s="2">
        <v>321.024</v>
      </c>
      <c r="T880">
        <v>4</v>
      </c>
      <c r="U880" t="str">
        <f t="shared" si="41"/>
        <v>Abril</v>
      </c>
    </row>
    <row r="881" spans="1:21">
      <c r="A881">
        <v>880</v>
      </c>
      <c r="B881" s="1">
        <v>44306</v>
      </c>
      <c r="C881" s="1" t="str">
        <f t="shared" si="39"/>
        <v>abril</v>
      </c>
      <c r="D881">
        <v>45</v>
      </c>
      <c r="E881" t="s">
        <v>38</v>
      </c>
      <c r="F881" t="s">
        <v>31</v>
      </c>
      <c r="G881" s="8">
        <v>43</v>
      </c>
      <c r="H881" s="2">
        <v>110</v>
      </c>
      <c r="I881" s="2">
        <v>4730</v>
      </c>
      <c r="J881" s="4">
        <v>0.03</v>
      </c>
      <c r="K881" s="2">
        <v>4588.1000000000004</v>
      </c>
      <c r="L881" s="2">
        <f t="shared" si="40"/>
        <v>141.89999999999964</v>
      </c>
      <c r="M881" s="1">
        <v>44333</v>
      </c>
      <c r="N881" s="1">
        <v>44333</v>
      </c>
      <c r="O881">
        <v>880</v>
      </c>
      <c r="P881">
        <v>2</v>
      </c>
      <c r="Q881" t="s">
        <v>22</v>
      </c>
      <c r="R881" s="3">
        <v>0.08</v>
      </c>
      <c r="S881" s="2">
        <v>367.04800000000006</v>
      </c>
      <c r="T881">
        <v>5</v>
      </c>
      <c r="U881" t="str">
        <f t="shared" si="41"/>
        <v>Abril</v>
      </c>
    </row>
    <row r="882" spans="1:21">
      <c r="A882">
        <v>881</v>
      </c>
      <c r="B882" s="1">
        <v>44306</v>
      </c>
      <c r="C882" s="1" t="str">
        <f t="shared" si="39"/>
        <v>abril</v>
      </c>
      <c r="D882">
        <v>53</v>
      </c>
      <c r="E882" t="s">
        <v>88</v>
      </c>
      <c r="F882" t="s">
        <v>50</v>
      </c>
      <c r="G882" s="8">
        <v>31</v>
      </c>
      <c r="H882" s="2">
        <v>120</v>
      </c>
      <c r="I882" s="2">
        <v>3720</v>
      </c>
      <c r="J882" s="4">
        <v>0.14000000000000001</v>
      </c>
      <c r="K882" s="2">
        <v>3199.2</v>
      </c>
      <c r="L882" s="2">
        <f t="shared" si="40"/>
        <v>520.80000000000018</v>
      </c>
      <c r="M882" s="1">
        <v>44317</v>
      </c>
      <c r="N882" s="1">
        <v>44317</v>
      </c>
      <c r="O882">
        <v>881</v>
      </c>
      <c r="P882">
        <v>3</v>
      </c>
      <c r="Q882" t="s">
        <v>22</v>
      </c>
      <c r="R882" s="3">
        <v>0.1</v>
      </c>
      <c r="S882" s="2">
        <v>319.92</v>
      </c>
      <c r="T882">
        <v>6</v>
      </c>
      <c r="U882" t="str">
        <f t="shared" si="41"/>
        <v>Abril</v>
      </c>
    </row>
    <row r="883" spans="1:21">
      <c r="A883">
        <v>882</v>
      </c>
      <c r="B883" s="1">
        <v>44307</v>
      </c>
      <c r="C883" s="1" t="str">
        <f t="shared" si="39"/>
        <v>abril</v>
      </c>
      <c r="D883">
        <v>9</v>
      </c>
      <c r="E883" t="s">
        <v>36</v>
      </c>
      <c r="F883" t="s">
        <v>24</v>
      </c>
      <c r="G883" s="8">
        <v>33</v>
      </c>
      <c r="H883" s="2">
        <v>109</v>
      </c>
      <c r="I883" s="2">
        <v>3597</v>
      </c>
      <c r="J883" s="4">
        <v>0.03</v>
      </c>
      <c r="K883" s="2">
        <v>3489.09</v>
      </c>
      <c r="L883" s="2">
        <f t="shared" si="40"/>
        <v>107.90999999999985</v>
      </c>
      <c r="M883" s="1">
        <v>44311</v>
      </c>
      <c r="N883" s="1">
        <v>44311</v>
      </c>
      <c r="O883">
        <v>882</v>
      </c>
      <c r="P883">
        <v>1</v>
      </c>
      <c r="Q883" t="s">
        <v>22</v>
      </c>
      <c r="R883" s="3">
        <v>0.1</v>
      </c>
      <c r="S883" s="2">
        <v>348.90900000000005</v>
      </c>
      <c r="T883">
        <v>7</v>
      </c>
      <c r="U883" t="str">
        <f t="shared" si="41"/>
        <v>Abril</v>
      </c>
    </row>
    <row r="884" spans="1:21">
      <c r="A884">
        <v>883</v>
      </c>
      <c r="B884" s="1">
        <v>44309</v>
      </c>
      <c r="C884" s="1" t="str">
        <f t="shared" si="39"/>
        <v>abril</v>
      </c>
      <c r="D884">
        <v>65</v>
      </c>
      <c r="E884" t="s">
        <v>64</v>
      </c>
      <c r="F884" t="s">
        <v>31</v>
      </c>
      <c r="G884" s="8">
        <v>32</v>
      </c>
      <c r="H884" s="2">
        <v>118</v>
      </c>
      <c r="I884" s="2">
        <v>3776</v>
      </c>
      <c r="J884" s="4">
        <v>0</v>
      </c>
      <c r="K884" s="2">
        <v>3776</v>
      </c>
      <c r="L884" s="2">
        <f t="shared" si="40"/>
        <v>0</v>
      </c>
      <c r="M884" s="1">
        <v>44337</v>
      </c>
      <c r="N884" s="1">
        <v>44337</v>
      </c>
      <c r="O884">
        <v>883</v>
      </c>
      <c r="P884">
        <v>7</v>
      </c>
      <c r="Q884" t="s">
        <v>43</v>
      </c>
      <c r="R884" s="3">
        <v>7.0000000000000007E-2</v>
      </c>
      <c r="S884" s="2">
        <v>264.32000000000005</v>
      </c>
      <c r="T884">
        <v>1</v>
      </c>
      <c r="U884" t="str">
        <f t="shared" si="41"/>
        <v>Abril</v>
      </c>
    </row>
    <row r="885" spans="1:21">
      <c r="A885">
        <v>884</v>
      </c>
      <c r="B885" s="1">
        <v>44309</v>
      </c>
      <c r="C885" s="1" t="str">
        <f t="shared" si="39"/>
        <v>abril</v>
      </c>
      <c r="D885">
        <v>36</v>
      </c>
      <c r="E885" t="s">
        <v>70</v>
      </c>
      <c r="F885" t="s">
        <v>31</v>
      </c>
      <c r="G885" s="8">
        <v>34</v>
      </c>
      <c r="H885" s="2">
        <v>111</v>
      </c>
      <c r="I885" s="2">
        <v>3774</v>
      </c>
      <c r="J885" s="4">
        <v>0.08</v>
      </c>
      <c r="K885" s="2">
        <v>3472.08</v>
      </c>
      <c r="L885" s="2">
        <f t="shared" si="40"/>
        <v>301.92000000000007</v>
      </c>
      <c r="M885" s="1">
        <v>44334</v>
      </c>
      <c r="N885" s="1">
        <v>44334</v>
      </c>
      <c r="O885">
        <v>884</v>
      </c>
      <c r="P885">
        <v>3</v>
      </c>
      <c r="Q885" t="s">
        <v>37</v>
      </c>
      <c r="R885" s="3">
        <v>0.05</v>
      </c>
      <c r="S885" s="2">
        <v>173.60400000000001</v>
      </c>
      <c r="T885">
        <v>2</v>
      </c>
      <c r="U885" t="str">
        <f t="shared" si="41"/>
        <v>Abril</v>
      </c>
    </row>
    <row r="886" spans="1:21">
      <c r="A886">
        <v>885</v>
      </c>
      <c r="B886" s="1">
        <v>44309</v>
      </c>
      <c r="C886" s="1" t="str">
        <f t="shared" si="39"/>
        <v>abril</v>
      </c>
      <c r="D886">
        <v>78</v>
      </c>
      <c r="E886" t="s">
        <v>36</v>
      </c>
      <c r="F886" t="s">
        <v>50</v>
      </c>
      <c r="G886" s="8">
        <v>44</v>
      </c>
      <c r="H886" s="2">
        <v>99</v>
      </c>
      <c r="I886" s="2">
        <v>4356</v>
      </c>
      <c r="J886" s="4">
        <v>0.11</v>
      </c>
      <c r="K886" s="2">
        <v>3876.84</v>
      </c>
      <c r="L886" s="2">
        <f t="shared" si="40"/>
        <v>479.15999999999985</v>
      </c>
      <c r="M886" s="1">
        <v>44326</v>
      </c>
      <c r="N886" s="1">
        <v>44326</v>
      </c>
      <c r="O886">
        <v>885</v>
      </c>
      <c r="P886">
        <v>4</v>
      </c>
      <c r="Q886" t="s">
        <v>43</v>
      </c>
      <c r="R886" s="3">
        <v>0.05</v>
      </c>
      <c r="S886" s="2">
        <v>193.84200000000001</v>
      </c>
      <c r="T886">
        <v>3</v>
      </c>
      <c r="U886" t="str">
        <f t="shared" si="41"/>
        <v>Abril</v>
      </c>
    </row>
    <row r="887" spans="1:21">
      <c r="A887">
        <v>886</v>
      </c>
      <c r="B887" s="1">
        <v>44310</v>
      </c>
      <c r="C887" s="1" t="str">
        <f t="shared" si="39"/>
        <v>abril</v>
      </c>
      <c r="D887">
        <v>86</v>
      </c>
      <c r="E887" t="s">
        <v>90</v>
      </c>
      <c r="F887" t="s">
        <v>24</v>
      </c>
      <c r="G887" s="8">
        <v>29</v>
      </c>
      <c r="H887" s="2">
        <v>114</v>
      </c>
      <c r="I887" s="2">
        <v>3306</v>
      </c>
      <c r="J887" s="4">
        <v>7.0000000000000007E-2</v>
      </c>
      <c r="K887" s="2">
        <v>3074.58</v>
      </c>
      <c r="L887" s="2">
        <f t="shared" si="40"/>
        <v>231.42000000000007</v>
      </c>
      <c r="M887" s="1">
        <v>44339</v>
      </c>
      <c r="N887" s="1">
        <v>44339</v>
      </c>
      <c r="O887">
        <v>886</v>
      </c>
      <c r="P887">
        <v>2</v>
      </c>
      <c r="Q887" t="s">
        <v>29</v>
      </c>
      <c r="R887" s="3">
        <v>7.0000000000000007E-2</v>
      </c>
      <c r="S887" s="2">
        <v>215.22060000000002</v>
      </c>
      <c r="T887">
        <v>4</v>
      </c>
      <c r="U887" t="str">
        <f t="shared" si="41"/>
        <v>Abril</v>
      </c>
    </row>
    <row r="888" spans="1:21">
      <c r="A888">
        <v>887</v>
      </c>
      <c r="B888" s="1">
        <v>44310</v>
      </c>
      <c r="C888" s="1" t="str">
        <f t="shared" si="39"/>
        <v>abril</v>
      </c>
      <c r="D888">
        <v>70</v>
      </c>
      <c r="E888" t="s">
        <v>67</v>
      </c>
      <c r="F888" t="s">
        <v>31</v>
      </c>
      <c r="G888" s="8">
        <v>29</v>
      </c>
      <c r="H888" s="2">
        <v>117</v>
      </c>
      <c r="I888" s="2">
        <v>3393</v>
      </c>
      <c r="J888" s="4">
        <v>0.01</v>
      </c>
      <c r="K888" s="2">
        <v>3359.07</v>
      </c>
      <c r="L888" s="2">
        <f t="shared" si="40"/>
        <v>33.929999999999836</v>
      </c>
      <c r="M888" s="1">
        <v>44325</v>
      </c>
      <c r="N888" s="1">
        <v>44325</v>
      </c>
      <c r="O888">
        <v>887</v>
      </c>
      <c r="P888">
        <v>4</v>
      </c>
      <c r="Q888" t="s">
        <v>52</v>
      </c>
      <c r="R888" s="3">
        <v>0.06</v>
      </c>
      <c r="S888" s="2">
        <v>201.54419999999999</v>
      </c>
      <c r="T888">
        <v>5</v>
      </c>
      <c r="U888" t="str">
        <f t="shared" si="41"/>
        <v>Abril</v>
      </c>
    </row>
    <row r="889" spans="1:21">
      <c r="A889">
        <v>888</v>
      </c>
      <c r="B889" s="1">
        <v>44311</v>
      </c>
      <c r="C889" s="1" t="str">
        <f t="shared" si="39"/>
        <v>abril</v>
      </c>
      <c r="D889">
        <v>18</v>
      </c>
      <c r="E889" t="s">
        <v>83</v>
      </c>
      <c r="F889" t="s">
        <v>46</v>
      </c>
      <c r="G889" s="8">
        <v>25</v>
      </c>
      <c r="H889" s="2">
        <v>107</v>
      </c>
      <c r="I889" s="2">
        <v>2675</v>
      </c>
      <c r="J889" s="4">
        <v>0.06</v>
      </c>
      <c r="K889" s="2">
        <v>2514.5</v>
      </c>
      <c r="L889" s="2">
        <f t="shared" si="40"/>
        <v>160.5</v>
      </c>
      <c r="M889" s="1">
        <v>44312</v>
      </c>
      <c r="N889" s="1">
        <v>44312</v>
      </c>
      <c r="O889">
        <v>888</v>
      </c>
      <c r="P889">
        <v>7</v>
      </c>
      <c r="Q889" t="s">
        <v>32</v>
      </c>
      <c r="R889" s="3">
        <v>0.05</v>
      </c>
      <c r="S889" s="2">
        <v>125.72500000000001</v>
      </c>
      <c r="T889">
        <v>6</v>
      </c>
      <c r="U889" t="str">
        <f t="shared" si="41"/>
        <v>Abril</v>
      </c>
    </row>
    <row r="890" spans="1:21">
      <c r="A890">
        <v>889</v>
      </c>
      <c r="B890" s="1">
        <v>44312</v>
      </c>
      <c r="C890" s="1" t="str">
        <f t="shared" si="39"/>
        <v>abril</v>
      </c>
      <c r="D890">
        <v>12</v>
      </c>
      <c r="E890" t="s">
        <v>45</v>
      </c>
      <c r="F890" t="s">
        <v>50</v>
      </c>
      <c r="G890" s="8">
        <v>30</v>
      </c>
      <c r="H890" s="2">
        <v>95</v>
      </c>
      <c r="I890" s="2">
        <v>2850</v>
      </c>
      <c r="J890" s="4">
        <v>0.12</v>
      </c>
      <c r="K890" s="2">
        <v>2508</v>
      </c>
      <c r="L890" s="2">
        <f t="shared" si="40"/>
        <v>342</v>
      </c>
      <c r="M890" s="1">
        <v>44333</v>
      </c>
      <c r="N890" s="1">
        <v>44333</v>
      </c>
      <c r="O890">
        <v>889</v>
      </c>
      <c r="P890">
        <v>1</v>
      </c>
      <c r="Q890" t="s">
        <v>47</v>
      </c>
      <c r="R890" s="3">
        <v>0.08</v>
      </c>
      <c r="S890" s="2">
        <v>200.64000000000001</v>
      </c>
      <c r="T890">
        <v>7</v>
      </c>
      <c r="U890" t="str">
        <f t="shared" si="41"/>
        <v>Abril</v>
      </c>
    </row>
    <row r="891" spans="1:21">
      <c r="A891">
        <v>890</v>
      </c>
      <c r="B891" s="1">
        <v>44312</v>
      </c>
      <c r="C891" s="1" t="str">
        <f t="shared" si="39"/>
        <v>abril</v>
      </c>
      <c r="D891">
        <v>33</v>
      </c>
      <c r="E891" t="s">
        <v>76</v>
      </c>
      <c r="F891" t="s">
        <v>21</v>
      </c>
      <c r="G891" s="8">
        <v>27</v>
      </c>
      <c r="H891" s="2">
        <v>99</v>
      </c>
      <c r="I891" s="2">
        <v>2673</v>
      </c>
      <c r="J891" s="4">
        <v>7.0000000000000007E-2</v>
      </c>
      <c r="K891" s="2">
        <v>2485.89</v>
      </c>
      <c r="L891" s="2">
        <f t="shared" si="40"/>
        <v>187.11000000000013</v>
      </c>
      <c r="M891" s="1">
        <v>44335</v>
      </c>
      <c r="N891" s="1">
        <v>44335</v>
      </c>
      <c r="O891">
        <v>890</v>
      </c>
      <c r="P891">
        <v>1</v>
      </c>
      <c r="Q891" t="s">
        <v>52</v>
      </c>
      <c r="R891" s="3">
        <v>0.09</v>
      </c>
      <c r="S891" s="2">
        <v>223.73009999999999</v>
      </c>
      <c r="T891">
        <v>1</v>
      </c>
      <c r="U891" t="str">
        <f t="shared" si="41"/>
        <v>Abril</v>
      </c>
    </row>
    <row r="892" spans="1:21">
      <c r="A892">
        <v>891</v>
      </c>
      <c r="B892" s="1">
        <v>44312</v>
      </c>
      <c r="C892" s="1" t="str">
        <f t="shared" si="39"/>
        <v>abril</v>
      </c>
      <c r="D892">
        <v>44</v>
      </c>
      <c r="E892" t="s">
        <v>71</v>
      </c>
      <c r="F892" t="s">
        <v>21</v>
      </c>
      <c r="G892" s="8">
        <v>26</v>
      </c>
      <c r="H892" s="2">
        <v>111</v>
      </c>
      <c r="I892" s="2">
        <v>2886</v>
      </c>
      <c r="J892" s="4">
        <v>0.09</v>
      </c>
      <c r="K892" s="2">
        <v>2626.26</v>
      </c>
      <c r="L892" s="2">
        <f t="shared" si="40"/>
        <v>259.73999999999978</v>
      </c>
      <c r="M892" s="1">
        <v>44328</v>
      </c>
      <c r="N892" s="1">
        <v>44328</v>
      </c>
      <c r="O892">
        <v>891</v>
      </c>
      <c r="P892">
        <v>1</v>
      </c>
      <c r="Q892" t="s">
        <v>69</v>
      </c>
      <c r="R892" s="3">
        <v>7.0000000000000007E-2</v>
      </c>
      <c r="S892" s="2">
        <v>183.83820000000003</v>
      </c>
      <c r="T892">
        <v>2</v>
      </c>
      <c r="U892" t="str">
        <f t="shared" si="41"/>
        <v>Abril</v>
      </c>
    </row>
    <row r="893" spans="1:21">
      <c r="A893">
        <v>892</v>
      </c>
      <c r="B893" s="1">
        <v>44312</v>
      </c>
      <c r="C893" s="1" t="str">
        <f t="shared" si="39"/>
        <v>abril</v>
      </c>
      <c r="D893">
        <v>67</v>
      </c>
      <c r="E893" t="s">
        <v>106</v>
      </c>
      <c r="F893" t="s">
        <v>28</v>
      </c>
      <c r="G893" s="8">
        <v>14</v>
      </c>
      <c r="H893" s="2">
        <v>95</v>
      </c>
      <c r="I893" s="2">
        <v>1330</v>
      </c>
      <c r="J893" s="4">
        <v>0.15</v>
      </c>
      <c r="K893" s="2">
        <v>1130.5</v>
      </c>
      <c r="L893" s="2">
        <f t="shared" si="40"/>
        <v>199.5</v>
      </c>
      <c r="M893" s="1">
        <v>44321</v>
      </c>
      <c r="N893" s="1">
        <v>44321</v>
      </c>
      <c r="O893">
        <v>892</v>
      </c>
      <c r="P893">
        <v>1</v>
      </c>
      <c r="Q893" t="s">
        <v>69</v>
      </c>
      <c r="R893" s="3">
        <v>0.08</v>
      </c>
      <c r="S893" s="2">
        <v>90.44</v>
      </c>
      <c r="T893">
        <v>3</v>
      </c>
      <c r="U893" t="str">
        <f t="shared" si="41"/>
        <v>Abril</v>
      </c>
    </row>
    <row r="894" spans="1:21">
      <c r="A894">
        <v>893</v>
      </c>
      <c r="B894" s="1">
        <v>44313</v>
      </c>
      <c r="C894" s="1" t="str">
        <f t="shared" si="39"/>
        <v>abril</v>
      </c>
      <c r="D894">
        <v>43</v>
      </c>
      <c r="E894" t="s">
        <v>99</v>
      </c>
      <c r="F894" t="s">
        <v>28</v>
      </c>
      <c r="G894" s="8">
        <v>33</v>
      </c>
      <c r="H894" s="2">
        <v>99</v>
      </c>
      <c r="I894" s="2">
        <v>3267</v>
      </c>
      <c r="J894" s="4">
        <v>0.11</v>
      </c>
      <c r="K894" s="2">
        <v>2907.63</v>
      </c>
      <c r="L894" s="2">
        <f t="shared" si="40"/>
        <v>359.36999999999989</v>
      </c>
      <c r="M894" s="1">
        <v>44314</v>
      </c>
      <c r="N894" s="1">
        <v>44314</v>
      </c>
      <c r="O894">
        <v>893</v>
      </c>
      <c r="P894">
        <v>3</v>
      </c>
      <c r="Q894" t="s">
        <v>25</v>
      </c>
      <c r="R894" s="3">
        <v>0.1</v>
      </c>
      <c r="S894" s="2">
        <v>290.76300000000003</v>
      </c>
      <c r="T894">
        <v>4</v>
      </c>
      <c r="U894" t="str">
        <f t="shared" si="41"/>
        <v>Abril</v>
      </c>
    </row>
    <row r="895" spans="1:21">
      <c r="A895">
        <v>894</v>
      </c>
      <c r="B895" s="1">
        <v>44313</v>
      </c>
      <c r="C895" s="1" t="str">
        <f t="shared" si="39"/>
        <v>abril</v>
      </c>
      <c r="D895">
        <v>80</v>
      </c>
      <c r="E895" t="s">
        <v>38</v>
      </c>
      <c r="F895" t="s">
        <v>21</v>
      </c>
      <c r="G895" s="8">
        <v>10</v>
      </c>
      <c r="H895" s="2">
        <v>92</v>
      </c>
      <c r="I895" s="2">
        <v>920</v>
      </c>
      <c r="J895" s="4">
        <v>0.03</v>
      </c>
      <c r="K895" s="2">
        <v>892.4</v>
      </c>
      <c r="L895" s="2">
        <f t="shared" si="40"/>
        <v>27.600000000000023</v>
      </c>
      <c r="M895" s="1">
        <v>44334</v>
      </c>
      <c r="N895" s="1">
        <v>44334</v>
      </c>
      <c r="O895">
        <v>894</v>
      </c>
      <c r="P895">
        <v>4</v>
      </c>
      <c r="Q895" t="s">
        <v>34</v>
      </c>
      <c r="R895" s="3">
        <v>0.09</v>
      </c>
      <c r="S895" s="2">
        <v>80.315999999999988</v>
      </c>
      <c r="T895">
        <v>5</v>
      </c>
      <c r="U895" t="str">
        <f t="shared" si="41"/>
        <v>Abril</v>
      </c>
    </row>
    <row r="896" spans="1:21">
      <c r="A896">
        <v>895</v>
      </c>
      <c r="B896" s="1">
        <v>44314</v>
      </c>
      <c r="C896" s="1" t="str">
        <f t="shared" si="39"/>
        <v>abril</v>
      </c>
      <c r="D896">
        <v>87</v>
      </c>
      <c r="E896" t="s">
        <v>40</v>
      </c>
      <c r="F896" t="s">
        <v>24</v>
      </c>
      <c r="G896" s="8">
        <v>43</v>
      </c>
      <c r="H896" s="2">
        <v>96</v>
      </c>
      <c r="I896" s="2">
        <v>4128</v>
      </c>
      <c r="J896" s="4">
        <v>7.0000000000000007E-2</v>
      </c>
      <c r="K896" s="2">
        <v>3839.04</v>
      </c>
      <c r="L896" s="2">
        <f t="shared" si="40"/>
        <v>288.96000000000004</v>
      </c>
      <c r="M896" s="1">
        <v>44315</v>
      </c>
      <c r="N896" s="1">
        <v>44315</v>
      </c>
      <c r="O896">
        <v>895</v>
      </c>
      <c r="P896">
        <v>2</v>
      </c>
      <c r="Q896" t="s">
        <v>34</v>
      </c>
      <c r="R896" s="3">
        <v>0.06</v>
      </c>
      <c r="S896" s="2">
        <v>230.3424</v>
      </c>
      <c r="T896">
        <v>6</v>
      </c>
      <c r="U896" t="str">
        <f t="shared" si="41"/>
        <v>Abril</v>
      </c>
    </row>
    <row r="897" spans="1:21">
      <c r="A897">
        <v>896</v>
      </c>
      <c r="B897" s="1">
        <v>44314</v>
      </c>
      <c r="C897" s="1" t="str">
        <f t="shared" si="39"/>
        <v>abril</v>
      </c>
      <c r="D897">
        <v>42</v>
      </c>
      <c r="E897" t="s">
        <v>92</v>
      </c>
      <c r="F897" t="s">
        <v>50</v>
      </c>
      <c r="G897" s="8">
        <v>18</v>
      </c>
      <c r="H897" s="2">
        <v>105</v>
      </c>
      <c r="I897" s="2">
        <v>1890</v>
      </c>
      <c r="J897" s="4">
        <v>7.0000000000000007E-2</v>
      </c>
      <c r="K897" s="2">
        <v>1757.7</v>
      </c>
      <c r="L897" s="2">
        <f t="shared" si="40"/>
        <v>132.29999999999995</v>
      </c>
      <c r="M897" s="1">
        <v>44336</v>
      </c>
      <c r="N897" s="1">
        <v>44336</v>
      </c>
      <c r="O897">
        <v>896</v>
      </c>
      <c r="P897">
        <v>2</v>
      </c>
      <c r="Q897" t="s">
        <v>25</v>
      </c>
      <c r="R897" s="3">
        <v>7.0000000000000007E-2</v>
      </c>
      <c r="S897" s="2">
        <v>123.03900000000002</v>
      </c>
      <c r="T897">
        <v>7</v>
      </c>
      <c r="U897" t="str">
        <f t="shared" si="41"/>
        <v>Abril</v>
      </c>
    </row>
    <row r="898" spans="1:21">
      <c r="A898">
        <v>897</v>
      </c>
      <c r="B898" s="1">
        <v>44314</v>
      </c>
      <c r="C898" s="1" t="str">
        <f t="shared" si="39"/>
        <v>abril</v>
      </c>
      <c r="D898">
        <v>31</v>
      </c>
      <c r="E898" t="s">
        <v>85</v>
      </c>
      <c r="F898" t="s">
        <v>50</v>
      </c>
      <c r="G898" s="8">
        <v>32</v>
      </c>
      <c r="H898" s="2">
        <v>100</v>
      </c>
      <c r="I898" s="2">
        <v>3200</v>
      </c>
      <c r="J898" s="4">
        <v>0.09</v>
      </c>
      <c r="K898" s="2">
        <v>2912</v>
      </c>
      <c r="L898" s="2">
        <f t="shared" si="40"/>
        <v>288</v>
      </c>
      <c r="M898" s="1">
        <v>44321</v>
      </c>
      <c r="N898" s="1">
        <v>44321</v>
      </c>
      <c r="O898">
        <v>897</v>
      </c>
      <c r="P898">
        <v>6</v>
      </c>
      <c r="Q898" t="s">
        <v>22</v>
      </c>
      <c r="R898" s="3">
        <v>0.1</v>
      </c>
      <c r="S898" s="2">
        <v>291.2</v>
      </c>
      <c r="T898">
        <v>1</v>
      </c>
      <c r="U898" t="str">
        <f t="shared" si="41"/>
        <v>Abril</v>
      </c>
    </row>
    <row r="899" spans="1:21">
      <c r="A899">
        <v>898</v>
      </c>
      <c r="B899" s="1">
        <v>44315</v>
      </c>
      <c r="C899" s="1" t="str">
        <f t="shared" ref="C899:C962" si="42">TEXT(B899,"mmmm")</f>
        <v>abril</v>
      </c>
      <c r="D899">
        <v>7</v>
      </c>
      <c r="E899" t="s">
        <v>102</v>
      </c>
      <c r="F899" t="s">
        <v>31</v>
      </c>
      <c r="G899" s="8">
        <v>35</v>
      </c>
      <c r="H899" s="2">
        <v>113</v>
      </c>
      <c r="I899" s="2">
        <v>3955</v>
      </c>
      <c r="J899" s="4">
        <v>0.05</v>
      </c>
      <c r="K899" s="2">
        <v>3757.25</v>
      </c>
      <c r="L899" s="2">
        <f t="shared" ref="L899:L962" si="43">I899-K899</f>
        <v>197.75</v>
      </c>
      <c r="M899" s="1">
        <v>44322</v>
      </c>
      <c r="O899">
        <v>898</v>
      </c>
      <c r="P899">
        <v>1</v>
      </c>
      <c r="Q899" t="s">
        <v>47</v>
      </c>
      <c r="R899" s="3">
        <v>0.09</v>
      </c>
      <c r="S899" s="2">
        <v>338.15249999999997</v>
      </c>
      <c r="T899">
        <v>2</v>
      </c>
      <c r="U899" t="str">
        <f t="shared" ref="U899:U962" si="44">PROPER(TEXT(B899,"mmmm"))</f>
        <v>Abril</v>
      </c>
    </row>
    <row r="900" spans="1:21">
      <c r="A900">
        <v>899</v>
      </c>
      <c r="B900" s="1">
        <v>44315</v>
      </c>
      <c r="C900" s="1" t="str">
        <f t="shared" si="42"/>
        <v>abril</v>
      </c>
      <c r="D900">
        <v>54</v>
      </c>
      <c r="E900" t="s">
        <v>79</v>
      </c>
      <c r="F900" t="s">
        <v>46</v>
      </c>
      <c r="G900" s="8">
        <v>48</v>
      </c>
      <c r="H900" s="2">
        <v>102</v>
      </c>
      <c r="I900" s="2">
        <v>4896</v>
      </c>
      <c r="J900" s="4">
        <v>0.15</v>
      </c>
      <c r="K900" s="2">
        <v>4161.6000000000004</v>
      </c>
      <c r="L900" s="2">
        <f t="shared" si="43"/>
        <v>734.39999999999964</v>
      </c>
      <c r="M900" s="1">
        <v>44319</v>
      </c>
      <c r="N900" s="1">
        <v>44319</v>
      </c>
      <c r="O900">
        <v>899</v>
      </c>
      <c r="P900">
        <v>1</v>
      </c>
      <c r="Q900" t="s">
        <v>34</v>
      </c>
      <c r="R900" s="3">
        <v>0.09</v>
      </c>
      <c r="S900" s="2">
        <v>374.54400000000004</v>
      </c>
      <c r="T900">
        <v>3</v>
      </c>
      <c r="U900" t="str">
        <f t="shared" si="44"/>
        <v>Abril</v>
      </c>
    </row>
    <row r="901" spans="1:21">
      <c r="A901">
        <v>900</v>
      </c>
      <c r="B901" s="1">
        <v>44315</v>
      </c>
      <c r="C901" s="1" t="str">
        <f t="shared" si="42"/>
        <v>abril</v>
      </c>
      <c r="D901">
        <v>22</v>
      </c>
      <c r="E901" t="s">
        <v>51</v>
      </c>
      <c r="F901" t="s">
        <v>50</v>
      </c>
      <c r="G901" s="8">
        <v>35</v>
      </c>
      <c r="H901" s="2">
        <v>111</v>
      </c>
      <c r="I901" s="2">
        <v>3885</v>
      </c>
      <c r="J901" s="4">
        <v>0.06</v>
      </c>
      <c r="K901" s="2">
        <v>3651.9</v>
      </c>
      <c r="L901" s="2">
        <f t="shared" si="43"/>
        <v>233.09999999999991</v>
      </c>
      <c r="M901" s="1">
        <v>44322</v>
      </c>
      <c r="N901" s="1">
        <v>44322</v>
      </c>
      <c r="O901">
        <v>900</v>
      </c>
      <c r="P901">
        <v>5</v>
      </c>
      <c r="Q901" t="s">
        <v>32</v>
      </c>
      <c r="R901" s="3">
        <v>0.1</v>
      </c>
      <c r="S901" s="2">
        <v>365.19000000000005</v>
      </c>
      <c r="T901">
        <v>4</v>
      </c>
      <c r="U901" t="str">
        <f t="shared" si="44"/>
        <v>Abril</v>
      </c>
    </row>
    <row r="902" spans="1:21">
      <c r="A902">
        <v>901</v>
      </c>
      <c r="B902" s="1">
        <v>44315</v>
      </c>
      <c r="C902" s="1" t="str">
        <f t="shared" si="42"/>
        <v>abril</v>
      </c>
      <c r="D902">
        <v>39</v>
      </c>
      <c r="E902" t="s">
        <v>38</v>
      </c>
      <c r="F902" t="s">
        <v>31</v>
      </c>
      <c r="G902" s="8">
        <v>46</v>
      </c>
      <c r="H902" s="2">
        <v>112</v>
      </c>
      <c r="I902" s="2">
        <v>5152</v>
      </c>
      <c r="J902" s="4">
        <v>0.02</v>
      </c>
      <c r="K902" s="2">
        <v>5048.96</v>
      </c>
      <c r="L902" s="2">
        <f t="shared" si="43"/>
        <v>103.03999999999996</v>
      </c>
      <c r="M902" s="1">
        <v>44330</v>
      </c>
      <c r="N902" s="1">
        <v>44330</v>
      </c>
      <c r="O902">
        <v>901</v>
      </c>
      <c r="P902">
        <v>4</v>
      </c>
      <c r="Q902" t="s">
        <v>43</v>
      </c>
      <c r="R902" s="3">
        <v>0.05</v>
      </c>
      <c r="S902" s="2">
        <v>252.44800000000001</v>
      </c>
      <c r="T902">
        <v>5</v>
      </c>
      <c r="U902" t="str">
        <f t="shared" si="44"/>
        <v>Abril</v>
      </c>
    </row>
    <row r="903" spans="1:21">
      <c r="A903">
        <v>902</v>
      </c>
      <c r="B903" s="1">
        <v>44316</v>
      </c>
      <c r="C903" s="1" t="str">
        <f t="shared" si="42"/>
        <v>abril</v>
      </c>
      <c r="D903">
        <v>100</v>
      </c>
      <c r="E903" t="s">
        <v>38</v>
      </c>
      <c r="F903" t="s">
        <v>55</v>
      </c>
      <c r="G903" s="8">
        <v>31</v>
      </c>
      <c r="H903" s="2">
        <v>109</v>
      </c>
      <c r="I903" s="2">
        <v>3379</v>
      </c>
      <c r="J903" s="4">
        <v>0.08</v>
      </c>
      <c r="K903" s="2">
        <v>3108.68</v>
      </c>
      <c r="L903" s="2">
        <f t="shared" si="43"/>
        <v>270.32000000000016</v>
      </c>
      <c r="M903" s="1">
        <v>44344</v>
      </c>
      <c r="N903" s="1">
        <v>44344</v>
      </c>
      <c r="O903">
        <v>902</v>
      </c>
      <c r="P903">
        <v>6</v>
      </c>
      <c r="Q903" t="s">
        <v>52</v>
      </c>
      <c r="R903" s="3">
        <v>7.0000000000000007E-2</v>
      </c>
      <c r="S903" s="2">
        <v>217.60760000000002</v>
      </c>
      <c r="T903">
        <v>6</v>
      </c>
      <c r="U903" t="str">
        <f t="shared" si="44"/>
        <v>Abril</v>
      </c>
    </row>
    <row r="904" spans="1:21">
      <c r="A904">
        <v>903</v>
      </c>
      <c r="B904" s="1">
        <v>44316</v>
      </c>
      <c r="C904" s="1" t="str">
        <f t="shared" si="42"/>
        <v>abril</v>
      </c>
      <c r="D904">
        <v>28</v>
      </c>
      <c r="E904" t="s">
        <v>86</v>
      </c>
      <c r="F904" t="s">
        <v>46</v>
      </c>
      <c r="G904" s="8">
        <v>40</v>
      </c>
      <c r="H904" s="2">
        <v>103</v>
      </c>
      <c r="I904" s="2">
        <v>4120</v>
      </c>
      <c r="J904" s="4">
        <v>0.08</v>
      </c>
      <c r="K904" s="2">
        <v>3790.4</v>
      </c>
      <c r="L904" s="2">
        <f t="shared" si="43"/>
        <v>329.59999999999991</v>
      </c>
      <c r="M904" s="1">
        <v>44328</v>
      </c>
      <c r="N904" s="1">
        <v>44328</v>
      </c>
      <c r="O904">
        <v>903</v>
      </c>
      <c r="P904">
        <v>6</v>
      </c>
      <c r="Q904" t="s">
        <v>52</v>
      </c>
      <c r="R904" s="3">
        <v>7.0000000000000007E-2</v>
      </c>
      <c r="S904" s="2">
        <v>265.32800000000003</v>
      </c>
      <c r="T904">
        <v>7</v>
      </c>
      <c r="U904" t="str">
        <f t="shared" si="44"/>
        <v>Abril</v>
      </c>
    </row>
    <row r="905" spans="1:21">
      <c r="A905">
        <v>904</v>
      </c>
      <c r="B905" s="1">
        <v>44316</v>
      </c>
      <c r="C905" s="1" t="str">
        <f t="shared" si="42"/>
        <v>abril</v>
      </c>
      <c r="D905">
        <v>65</v>
      </c>
      <c r="E905" t="s">
        <v>64</v>
      </c>
      <c r="F905" t="s">
        <v>28</v>
      </c>
      <c r="G905" s="8">
        <v>20</v>
      </c>
      <c r="H905" s="2">
        <v>90</v>
      </c>
      <c r="I905" s="2">
        <v>1800</v>
      </c>
      <c r="J905" s="4">
        <v>0.01</v>
      </c>
      <c r="K905" s="2">
        <v>1782</v>
      </c>
      <c r="L905" s="2">
        <f t="shared" si="43"/>
        <v>18</v>
      </c>
      <c r="M905" s="1">
        <v>44337</v>
      </c>
      <c r="N905" s="1">
        <v>44337</v>
      </c>
      <c r="O905">
        <v>904</v>
      </c>
      <c r="P905">
        <v>5</v>
      </c>
      <c r="Q905" t="s">
        <v>32</v>
      </c>
      <c r="R905" s="3">
        <v>0.08</v>
      </c>
      <c r="S905" s="2">
        <v>142.56</v>
      </c>
      <c r="T905">
        <v>1</v>
      </c>
      <c r="U905" t="str">
        <f t="shared" si="44"/>
        <v>Abril</v>
      </c>
    </row>
    <row r="906" spans="1:21">
      <c r="A906">
        <v>905</v>
      </c>
      <c r="B906" s="1">
        <v>44318</v>
      </c>
      <c r="C906" s="1" t="str">
        <f t="shared" si="42"/>
        <v>maio</v>
      </c>
      <c r="D906">
        <v>20</v>
      </c>
      <c r="E906" t="s">
        <v>39</v>
      </c>
      <c r="F906" t="s">
        <v>50</v>
      </c>
      <c r="G906" s="8">
        <v>11</v>
      </c>
      <c r="H906" s="2">
        <v>105</v>
      </c>
      <c r="I906" s="2">
        <v>1155</v>
      </c>
      <c r="J906" s="4">
        <v>0.04</v>
      </c>
      <c r="K906" s="2">
        <v>1108.8</v>
      </c>
      <c r="L906" s="2">
        <f t="shared" si="43"/>
        <v>46.200000000000045</v>
      </c>
      <c r="M906" s="1">
        <v>44338</v>
      </c>
      <c r="O906">
        <v>905</v>
      </c>
      <c r="P906">
        <v>6</v>
      </c>
      <c r="Q906" t="s">
        <v>25</v>
      </c>
      <c r="R906" s="3">
        <v>0.1</v>
      </c>
      <c r="S906" s="2">
        <v>110.88</v>
      </c>
      <c r="T906">
        <v>2</v>
      </c>
      <c r="U906" t="str">
        <f t="shared" si="44"/>
        <v>Maio</v>
      </c>
    </row>
    <row r="907" spans="1:21">
      <c r="A907">
        <v>906</v>
      </c>
      <c r="B907" s="1">
        <v>44318</v>
      </c>
      <c r="C907" s="1" t="str">
        <f t="shared" si="42"/>
        <v>maio</v>
      </c>
      <c r="D907">
        <v>83</v>
      </c>
      <c r="E907" t="s">
        <v>100</v>
      </c>
      <c r="F907" t="s">
        <v>59</v>
      </c>
      <c r="G907" s="8">
        <v>29</v>
      </c>
      <c r="H907" s="2">
        <v>109</v>
      </c>
      <c r="I907" s="2">
        <v>3161</v>
      </c>
      <c r="J907" s="4">
        <v>0.11</v>
      </c>
      <c r="K907" s="2">
        <v>2813.29</v>
      </c>
      <c r="L907" s="2">
        <f t="shared" si="43"/>
        <v>347.71000000000004</v>
      </c>
      <c r="M907" s="1">
        <v>44341</v>
      </c>
      <c r="N907" s="1">
        <v>44341</v>
      </c>
      <c r="O907">
        <v>906</v>
      </c>
      <c r="P907">
        <v>7</v>
      </c>
      <c r="Q907" t="s">
        <v>69</v>
      </c>
      <c r="R907" s="3">
        <v>0.06</v>
      </c>
      <c r="S907" s="2">
        <v>168.79739999999998</v>
      </c>
      <c r="T907">
        <v>3</v>
      </c>
      <c r="U907" t="str">
        <f t="shared" si="44"/>
        <v>Maio</v>
      </c>
    </row>
    <row r="908" spans="1:21">
      <c r="A908">
        <v>907</v>
      </c>
      <c r="B908" s="1">
        <v>44319</v>
      </c>
      <c r="C908" s="1" t="str">
        <f t="shared" si="42"/>
        <v>maio</v>
      </c>
      <c r="D908">
        <v>17</v>
      </c>
      <c r="E908" t="s">
        <v>67</v>
      </c>
      <c r="F908" t="s">
        <v>46</v>
      </c>
      <c r="G908" s="8">
        <v>15</v>
      </c>
      <c r="H908" s="2">
        <v>110</v>
      </c>
      <c r="I908" s="2">
        <v>1650</v>
      </c>
      <c r="J908" s="4">
        <v>0.13</v>
      </c>
      <c r="K908" s="2">
        <v>1435.5</v>
      </c>
      <c r="L908" s="2">
        <f t="shared" si="43"/>
        <v>214.5</v>
      </c>
      <c r="M908" s="1">
        <v>44340</v>
      </c>
      <c r="N908" s="1">
        <v>44340</v>
      </c>
      <c r="O908">
        <v>907</v>
      </c>
      <c r="P908">
        <v>4</v>
      </c>
      <c r="Q908" t="s">
        <v>29</v>
      </c>
      <c r="R908" s="3">
        <v>0.06</v>
      </c>
      <c r="S908" s="2">
        <v>86.13</v>
      </c>
      <c r="T908">
        <v>4</v>
      </c>
      <c r="U908" t="str">
        <f t="shared" si="44"/>
        <v>Maio</v>
      </c>
    </row>
    <row r="909" spans="1:21">
      <c r="A909">
        <v>908</v>
      </c>
      <c r="B909" s="1">
        <v>44319</v>
      </c>
      <c r="C909" s="1" t="str">
        <f t="shared" si="42"/>
        <v>maio</v>
      </c>
      <c r="D909">
        <v>95</v>
      </c>
      <c r="E909" t="s">
        <v>38</v>
      </c>
      <c r="F909" t="s">
        <v>46</v>
      </c>
      <c r="G909" s="8">
        <v>12</v>
      </c>
      <c r="H909" s="2">
        <v>103</v>
      </c>
      <c r="I909" s="2">
        <v>1236</v>
      </c>
      <c r="J909" s="4">
        <v>0.1</v>
      </c>
      <c r="K909" s="2">
        <v>1112.4000000000001</v>
      </c>
      <c r="L909" s="2">
        <f t="shared" si="43"/>
        <v>123.59999999999991</v>
      </c>
      <c r="M909" s="1">
        <v>44329</v>
      </c>
      <c r="N909" s="1">
        <v>44329</v>
      </c>
      <c r="O909">
        <v>908</v>
      </c>
      <c r="P909">
        <v>7</v>
      </c>
      <c r="Q909" t="s">
        <v>47</v>
      </c>
      <c r="R909" s="3">
        <v>0.09</v>
      </c>
      <c r="S909" s="2">
        <v>100.116</v>
      </c>
      <c r="T909">
        <v>5</v>
      </c>
      <c r="U909" t="str">
        <f t="shared" si="44"/>
        <v>Maio</v>
      </c>
    </row>
    <row r="910" spans="1:21">
      <c r="A910">
        <v>909</v>
      </c>
      <c r="B910" s="1">
        <v>44319</v>
      </c>
      <c r="C910" s="1" t="str">
        <f t="shared" si="42"/>
        <v>maio</v>
      </c>
      <c r="D910">
        <v>64</v>
      </c>
      <c r="E910" t="s">
        <v>78</v>
      </c>
      <c r="F910" t="s">
        <v>21</v>
      </c>
      <c r="G910" s="8">
        <v>40</v>
      </c>
      <c r="H910" s="2">
        <v>92</v>
      </c>
      <c r="I910" s="2">
        <v>3680</v>
      </c>
      <c r="J910" s="4">
        <v>0.1</v>
      </c>
      <c r="K910" s="2">
        <v>3312</v>
      </c>
      <c r="L910" s="2">
        <f t="shared" si="43"/>
        <v>368</v>
      </c>
      <c r="M910" s="1">
        <v>44339</v>
      </c>
      <c r="N910" s="1">
        <v>44339</v>
      </c>
      <c r="O910">
        <v>909</v>
      </c>
      <c r="P910">
        <v>2</v>
      </c>
      <c r="Q910" t="s">
        <v>47</v>
      </c>
      <c r="R910" s="3">
        <v>7.0000000000000007E-2</v>
      </c>
      <c r="S910" s="2">
        <v>231.84000000000003</v>
      </c>
      <c r="T910">
        <v>6</v>
      </c>
      <c r="U910" t="str">
        <f t="shared" si="44"/>
        <v>Maio</v>
      </c>
    </row>
    <row r="911" spans="1:21">
      <c r="A911">
        <v>910</v>
      </c>
      <c r="B911" s="1">
        <v>44321</v>
      </c>
      <c r="C911" s="1" t="str">
        <f t="shared" si="42"/>
        <v>maio</v>
      </c>
      <c r="D911">
        <v>12</v>
      </c>
      <c r="E911" t="s">
        <v>45</v>
      </c>
      <c r="F911" t="s">
        <v>50</v>
      </c>
      <c r="G911" s="8">
        <v>23</v>
      </c>
      <c r="H911" s="2">
        <v>104</v>
      </c>
      <c r="I911" s="2">
        <v>2392</v>
      </c>
      <c r="J911" s="4">
        <v>0.14000000000000001</v>
      </c>
      <c r="K911" s="2">
        <v>2057.12</v>
      </c>
      <c r="L911" s="2">
        <f t="shared" si="43"/>
        <v>334.88000000000011</v>
      </c>
      <c r="M911" s="1">
        <v>44332</v>
      </c>
      <c r="N911" s="1">
        <v>44332</v>
      </c>
      <c r="O911">
        <v>910</v>
      </c>
      <c r="P911">
        <v>6</v>
      </c>
      <c r="Q911" t="s">
        <v>69</v>
      </c>
      <c r="R911" s="3">
        <v>0.05</v>
      </c>
      <c r="S911" s="2">
        <v>102.85599999999999</v>
      </c>
      <c r="T911">
        <v>7</v>
      </c>
      <c r="U911" t="str">
        <f t="shared" si="44"/>
        <v>Maio</v>
      </c>
    </row>
    <row r="912" spans="1:21">
      <c r="A912">
        <v>911</v>
      </c>
      <c r="B912" s="1">
        <v>44321</v>
      </c>
      <c r="C912" s="1" t="str">
        <f t="shared" si="42"/>
        <v>maio</v>
      </c>
      <c r="D912">
        <v>67</v>
      </c>
      <c r="E912" t="s">
        <v>106</v>
      </c>
      <c r="F912" t="s">
        <v>55</v>
      </c>
      <c r="G912" s="8">
        <v>12</v>
      </c>
      <c r="H912" s="2">
        <v>92</v>
      </c>
      <c r="I912" s="2">
        <v>1104</v>
      </c>
      <c r="J912" s="4">
        <v>0.05</v>
      </c>
      <c r="K912" s="2">
        <v>1048.8</v>
      </c>
      <c r="L912" s="2">
        <f t="shared" si="43"/>
        <v>55.200000000000045</v>
      </c>
      <c r="M912" s="1">
        <v>44346</v>
      </c>
      <c r="N912" s="1">
        <v>44346</v>
      </c>
      <c r="O912">
        <v>911</v>
      </c>
      <c r="P912">
        <v>1</v>
      </c>
      <c r="Q912" t="s">
        <v>43</v>
      </c>
      <c r="R912" s="3">
        <v>0.09</v>
      </c>
      <c r="S912" s="2">
        <v>94.391999999999996</v>
      </c>
      <c r="T912">
        <v>1</v>
      </c>
      <c r="U912" t="str">
        <f t="shared" si="44"/>
        <v>Maio</v>
      </c>
    </row>
    <row r="913" spans="1:21">
      <c r="A913">
        <v>912</v>
      </c>
      <c r="B913" s="1">
        <v>44322</v>
      </c>
      <c r="C913" s="1" t="str">
        <f t="shared" si="42"/>
        <v>maio</v>
      </c>
      <c r="D913">
        <v>50</v>
      </c>
      <c r="E913" t="s">
        <v>81</v>
      </c>
      <c r="F913" t="s">
        <v>54</v>
      </c>
      <c r="G913" s="8">
        <v>11</v>
      </c>
      <c r="H913" s="2">
        <v>119</v>
      </c>
      <c r="I913" s="2">
        <v>1309</v>
      </c>
      <c r="J913" s="4">
        <v>0.14000000000000001</v>
      </c>
      <c r="K913" s="2">
        <v>1125.74</v>
      </c>
      <c r="L913" s="2">
        <f t="shared" si="43"/>
        <v>183.26</v>
      </c>
      <c r="M913" s="1">
        <v>44323</v>
      </c>
      <c r="N913" s="1">
        <v>44323</v>
      </c>
      <c r="O913">
        <v>912</v>
      </c>
      <c r="P913">
        <v>4</v>
      </c>
      <c r="Q913" t="s">
        <v>43</v>
      </c>
      <c r="R913" s="3">
        <v>0.1</v>
      </c>
      <c r="S913" s="2">
        <v>112.57400000000001</v>
      </c>
      <c r="T913">
        <v>2</v>
      </c>
      <c r="U913" t="str">
        <f t="shared" si="44"/>
        <v>Maio</v>
      </c>
    </row>
    <row r="914" spans="1:21">
      <c r="A914">
        <v>913</v>
      </c>
      <c r="B914" s="1">
        <v>44322</v>
      </c>
      <c r="C914" s="1" t="str">
        <f t="shared" si="42"/>
        <v>maio</v>
      </c>
      <c r="D914">
        <v>86</v>
      </c>
      <c r="E914" t="s">
        <v>90</v>
      </c>
      <c r="F914" t="s">
        <v>24</v>
      </c>
      <c r="G914" s="8">
        <v>18</v>
      </c>
      <c r="H914" s="2">
        <v>102</v>
      </c>
      <c r="I914" s="2">
        <v>1836</v>
      </c>
      <c r="J914" s="4">
        <v>0.06</v>
      </c>
      <c r="K914" s="2">
        <v>1725.84</v>
      </c>
      <c r="L914" s="2">
        <f t="shared" si="43"/>
        <v>110.16000000000008</v>
      </c>
      <c r="M914" s="1">
        <v>44322</v>
      </c>
      <c r="N914" s="1">
        <v>44322</v>
      </c>
      <c r="O914">
        <v>913</v>
      </c>
      <c r="P914">
        <v>1</v>
      </c>
      <c r="Q914" t="s">
        <v>25</v>
      </c>
      <c r="R914" s="3">
        <v>0.1</v>
      </c>
      <c r="S914" s="2">
        <v>172.584</v>
      </c>
      <c r="T914">
        <v>3</v>
      </c>
      <c r="U914" t="str">
        <f t="shared" si="44"/>
        <v>Maio</v>
      </c>
    </row>
    <row r="915" spans="1:21">
      <c r="A915">
        <v>914</v>
      </c>
      <c r="B915" s="1">
        <v>44323</v>
      </c>
      <c r="C915" s="1" t="str">
        <f t="shared" si="42"/>
        <v>maio</v>
      </c>
      <c r="D915">
        <v>86</v>
      </c>
      <c r="E915" t="s">
        <v>90</v>
      </c>
      <c r="F915" t="s">
        <v>28</v>
      </c>
      <c r="G915" s="8">
        <v>40</v>
      </c>
      <c r="H915" s="2">
        <v>107</v>
      </c>
      <c r="I915" s="2">
        <v>4280</v>
      </c>
      <c r="J915" s="4">
        <v>0.12</v>
      </c>
      <c r="K915" s="2">
        <v>3766.4</v>
      </c>
      <c r="L915" s="2">
        <f t="shared" si="43"/>
        <v>513.59999999999991</v>
      </c>
      <c r="M915" s="1">
        <v>44342</v>
      </c>
      <c r="N915" s="1">
        <v>44342</v>
      </c>
      <c r="O915">
        <v>914</v>
      </c>
      <c r="P915">
        <v>3</v>
      </c>
      <c r="Q915" t="s">
        <v>47</v>
      </c>
      <c r="R915" s="3">
        <v>0.06</v>
      </c>
      <c r="S915" s="2">
        <v>225.98400000000001</v>
      </c>
      <c r="T915">
        <v>4</v>
      </c>
      <c r="U915" t="str">
        <f t="shared" si="44"/>
        <v>Maio</v>
      </c>
    </row>
    <row r="916" spans="1:21">
      <c r="A916">
        <v>915</v>
      </c>
      <c r="B916" s="1">
        <v>44323</v>
      </c>
      <c r="C916" s="1" t="str">
        <f t="shared" si="42"/>
        <v>maio</v>
      </c>
      <c r="D916">
        <v>42</v>
      </c>
      <c r="E916" t="s">
        <v>92</v>
      </c>
      <c r="F916" t="s">
        <v>31</v>
      </c>
      <c r="G916" s="8">
        <v>20</v>
      </c>
      <c r="H916" s="2">
        <v>115</v>
      </c>
      <c r="I916" s="2">
        <v>2300</v>
      </c>
      <c r="J916" s="4">
        <v>0.05</v>
      </c>
      <c r="K916" s="2">
        <v>2185</v>
      </c>
      <c r="L916" s="2">
        <f t="shared" si="43"/>
        <v>115</v>
      </c>
      <c r="M916" s="1">
        <v>44342</v>
      </c>
      <c r="N916" s="1">
        <v>44342</v>
      </c>
      <c r="O916">
        <v>915</v>
      </c>
      <c r="P916">
        <v>5</v>
      </c>
      <c r="Q916" t="s">
        <v>37</v>
      </c>
      <c r="R916" s="3">
        <v>0.05</v>
      </c>
      <c r="S916" s="2">
        <v>109.25</v>
      </c>
      <c r="T916">
        <v>5</v>
      </c>
      <c r="U916" t="str">
        <f t="shared" si="44"/>
        <v>Maio</v>
      </c>
    </row>
    <row r="917" spans="1:21">
      <c r="A917">
        <v>916</v>
      </c>
      <c r="B917" s="1">
        <v>44324</v>
      </c>
      <c r="C917" s="1" t="str">
        <f t="shared" si="42"/>
        <v>maio</v>
      </c>
      <c r="D917">
        <v>58</v>
      </c>
      <c r="E917" t="s">
        <v>72</v>
      </c>
      <c r="F917" t="s">
        <v>31</v>
      </c>
      <c r="G917" s="8">
        <v>16</v>
      </c>
      <c r="H917" s="2">
        <v>116</v>
      </c>
      <c r="I917" s="2">
        <v>1856</v>
      </c>
      <c r="J917" s="4">
        <v>0.14000000000000001</v>
      </c>
      <c r="K917" s="2">
        <v>1596.1599999999999</v>
      </c>
      <c r="L917" s="2">
        <f t="shared" si="43"/>
        <v>259.84000000000015</v>
      </c>
      <c r="M917" s="1">
        <v>44354</v>
      </c>
      <c r="N917" s="1">
        <v>44354</v>
      </c>
      <c r="O917">
        <v>916</v>
      </c>
      <c r="P917">
        <v>3</v>
      </c>
      <c r="Q917" t="s">
        <v>25</v>
      </c>
      <c r="R917" s="3">
        <v>0.1</v>
      </c>
      <c r="S917" s="2">
        <v>159.61599999999999</v>
      </c>
      <c r="T917">
        <v>6</v>
      </c>
      <c r="U917" t="str">
        <f t="shared" si="44"/>
        <v>Maio</v>
      </c>
    </row>
    <row r="918" spans="1:21">
      <c r="A918">
        <v>917</v>
      </c>
      <c r="B918" s="1">
        <v>44324</v>
      </c>
      <c r="C918" s="1" t="str">
        <f t="shared" si="42"/>
        <v>maio</v>
      </c>
      <c r="D918">
        <v>30</v>
      </c>
      <c r="E918" t="s">
        <v>96</v>
      </c>
      <c r="F918" t="s">
        <v>50</v>
      </c>
      <c r="G918" s="8">
        <v>36</v>
      </c>
      <c r="H918" s="2">
        <v>119</v>
      </c>
      <c r="I918" s="2">
        <v>4284</v>
      </c>
      <c r="J918" s="4">
        <v>0.04</v>
      </c>
      <c r="K918" s="2">
        <v>4112.6400000000003</v>
      </c>
      <c r="L918" s="2">
        <f t="shared" si="43"/>
        <v>171.35999999999967</v>
      </c>
      <c r="M918" s="1">
        <v>44326</v>
      </c>
      <c r="N918" s="1">
        <v>44326</v>
      </c>
      <c r="O918">
        <v>917</v>
      </c>
      <c r="P918">
        <v>2</v>
      </c>
      <c r="Q918" t="s">
        <v>34</v>
      </c>
      <c r="R918" s="3">
        <v>0.09</v>
      </c>
      <c r="S918" s="2">
        <v>370.13760000000002</v>
      </c>
      <c r="T918">
        <v>7</v>
      </c>
      <c r="U918" t="str">
        <f t="shared" si="44"/>
        <v>Maio</v>
      </c>
    </row>
    <row r="919" spans="1:21">
      <c r="A919">
        <v>918</v>
      </c>
      <c r="B919" s="1">
        <v>44326</v>
      </c>
      <c r="C919" s="1" t="str">
        <f t="shared" si="42"/>
        <v>maio</v>
      </c>
      <c r="D919">
        <v>99</v>
      </c>
      <c r="E919" t="s">
        <v>84</v>
      </c>
      <c r="F919" t="s">
        <v>31</v>
      </c>
      <c r="G919" s="8">
        <v>37</v>
      </c>
      <c r="H919" s="2">
        <v>119</v>
      </c>
      <c r="I919" s="2">
        <v>4403</v>
      </c>
      <c r="J919" s="4">
        <v>0.08</v>
      </c>
      <c r="K919" s="2">
        <v>4050.76</v>
      </c>
      <c r="L919" s="2">
        <f t="shared" si="43"/>
        <v>352.23999999999978</v>
      </c>
      <c r="M919" s="1">
        <v>44347</v>
      </c>
      <c r="N919" s="1">
        <v>44347</v>
      </c>
      <c r="O919">
        <v>918</v>
      </c>
      <c r="P919">
        <v>3</v>
      </c>
      <c r="Q919" t="s">
        <v>29</v>
      </c>
      <c r="R919" s="3">
        <v>0.05</v>
      </c>
      <c r="S919" s="2">
        <v>202.53800000000001</v>
      </c>
      <c r="T919">
        <v>1</v>
      </c>
      <c r="U919" t="str">
        <f t="shared" si="44"/>
        <v>Maio</v>
      </c>
    </row>
    <row r="920" spans="1:21">
      <c r="A920">
        <v>919</v>
      </c>
      <c r="B920" s="1">
        <v>44327</v>
      </c>
      <c r="C920" s="1" t="str">
        <f t="shared" si="42"/>
        <v>maio</v>
      </c>
      <c r="D920">
        <v>1</v>
      </c>
      <c r="E920" t="s">
        <v>93</v>
      </c>
      <c r="F920" t="s">
        <v>54</v>
      </c>
      <c r="G920" s="8">
        <v>43</v>
      </c>
      <c r="H920" s="2">
        <v>91</v>
      </c>
      <c r="I920" s="2">
        <v>3913</v>
      </c>
      <c r="J920" s="4">
        <v>0.06</v>
      </c>
      <c r="K920" s="2">
        <v>3678.22</v>
      </c>
      <c r="L920" s="2">
        <f t="shared" si="43"/>
        <v>234.7800000000002</v>
      </c>
      <c r="M920" s="1">
        <v>44355</v>
      </c>
      <c r="N920" s="1">
        <v>44355</v>
      </c>
      <c r="O920">
        <v>919</v>
      </c>
      <c r="P920">
        <v>3</v>
      </c>
      <c r="Q920" t="s">
        <v>34</v>
      </c>
      <c r="R920" s="3">
        <v>7.0000000000000007E-2</v>
      </c>
      <c r="S920" s="2">
        <v>257.47540000000004</v>
      </c>
      <c r="T920">
        <v>2</v>
      </c>
      <c r="U920" t="str">
        <f t="shared" si="44"/>
        <v>Maio</v>
      </c>
    </row>
    <row r="921" spans="1:21">
      <c r="A921">
        <v>920</v>
      </c>
      <c r="B921" s="1">
        <v>44327</v>
      </c>
      <c r="C921" s="1" t="str">
        <f t="shared" si="42"/>
        <v>maio</v>
      </c>
      <c r="D921">
        <v>29</v>
      </c>
      <c r="E921" t="s">
        <v>98</v>
      </c>
      <c r="F921" t="s">
        <v>24</v>
      </c>
      <c r="G921" s="8">
        <v>21</v>
      </c>
      <c r="H921" s="2">
        <v>115</v>
      </c>
      <c r="I921" s="2">
        <v>2415</v>
      </c>
      <c r="J921" s="4">
        <v>0.02</v>
      </c>
      <c r="K921" s="2">
        <v>2366.6999999999998</v>
      </c>
      <c r="L921" s="2">
        <f t="shared" si="43"/>
        <v>48.300000000000182</v>
      </c>
      <c r="M921" s="1">
        <v>44337</v>
      </c>
      <c r="N921" s="1">
        <v>44337</v>
      </c>
      <c r="O921">
        <v>920</v>
      </c>
      <c r="P921">
        <v>2</v>
      </c>
      <c r="Q921" t="s">
        <v>34</v>
      </c>
      <c r="R921" s="3">
        <v>0.05</v>
      </c>
      <c r="S921" s="2">
        <v>118.33499999999999</v>
      </c>
      <c r="T921">
        <v>3</v>
      </c>
      <c r="U921" t="str">
        <f t="shared" si="44"/>
        <v>Maio</v>
      </c>
    </row>
    <row r="922" spans="1:21">
      <c r="A922">
        <v>921</v>
      </c>
      <c r="B922" s="1">
        <v>44327</v>
      </c>
      <c r="C922" s="1" t="str">
        <f t="shared" si="42"/>
        <v>maio</v>
      </c>
      <c r="D922">
        <v>79</v>
      </c>
      <c r="E922" t="s">
        <v>33</v>
      </c>
      <c r="F922" t="s">
        <v>31</v>
      </c>
      <c r="G922" s="8">
        <v>48</v>
      </c>
      <c r="H922" s="2">
        <v>106</v>
      </c>
      <c r="I922" s="2">
        <v>5088</v>
      </c>
      <c r="J922" s="4">
        <v>0.11</v>
      </c>
      <c r="K922" s="2">
        <v>4528.32</v>
      </c>
      <c r="L922" s="2">
        <f t="shared" si="43"/>
        <v>559.68000000000029</v>
      </c>
      <c r="M922" s="1">
        <v>44356</v>
      </c>
      <c r="N922" s="1">
        <v>44356</v>
      </c>
      <c r="O922">
        <v>921</v>
      </c>
      <c r="P922">
        <v>3</v>
      </c>
      <c r="Q922" t="s">
        <v>43</v>
      </c>
      <c r="R922" s="3">
        <v>0.09</v>
      </c>
      <c r="S922" s="2">
        <v>407.54879999999997</v>
      </c>
      <c r="T922">
        <v>4</v>
      </c>
      <c r="U922" t="str">
        <f t="shared" si="44"/>
        <v>Maio</v>
      </c>
    </row>
    <row r="923" spans="1:21">
      <c r="A923">
        <v>922</v>
      </c>
      <c r="B923" s="1">
        <v>44327</v>
      </c>
      <c r="C923" s="1" t="str">
        <f t="shared" si="42"/>
        <v>maio</v>
      </c>
      <c r="D923">
        <v>44</v>
      </c>
      <c r="E923" t="s">
        <v>71</v>
      </c>
      <c r="F923" t="s">
        <v>46</v>
      </c>
      <c r="G923" s="8">
        <v>25</v>
      </c>
      <c r="H923" s="2">
        <v>117</v>
      </c>
      <c r="I923" s="2">
        <v>2925</v>
      </c>
      <c r="J923" s="4">
        <v>7.0000000000000007E-2</v>
      </c>
      <c r="K923" s="2">
        <v>2720.25</v>
      </c>
      <c r="L923" s="2">
        <f t="shared" si="43"/>
        <v>204.75</v>
      </c>
      <c r="M923" s="1">
        <v>44340</v>
      </c>
      <c r="N923" s="1">
        <v>44340</v>
      </c>
      <c r="O923">
        <v>922</v>
      </c>
      <c r="P923">
        <v>5</v>
      </c>
      <c r="Q923" t="s">
        <v>37</v>
      </c>
      <c r="R923" s="3">
        <v>7.0000000000000007E-2</v>
      </c>
      <c r="S923" s="2">
        <v>190.41750000000002</v>
      </c>
      <c r="T923">
        <v>5</v>
      </c>
      <c r="U923" t="str">
        <f t="shared" si="44"/>
        <v>Maio</v>
      </c>
    </row>
    <row r="924" spans="1:21">
      <c r="A924">
        <v>923</v>
      </c>
      <c r="B924" s="1">
        <v>44328</v>
      </c>
      <c r="C924" s="1" t="str">
        <f t="shared" si="42"/>
        <v>maio</v>
      </c>
      <c r="D924">
        <v>27</v>
      </c>
      <c r="E924" t="s">
        <v>101</v>
      </c>
      <c r="F924" t="s">
        <v>59</v>
      </c>
      <c r="G924" s="8">
        <v>45</v>
      </c>
      <c r="H924" s="2">
        <v>100</v>
      </c>
      <c r="I924" s="2">
        <v>4500</v>
      </c>
      <c r="J924" s="4">
        <v>0.08</v>
      </c>
      <c r="K924" s="2">
        <v>4140</v>
      </c>
      <c r="L924" s="2">
        <f t="shared" si="43"/>
        <v>360</v>
      </c>
      <c r="M924" s="1">
        <v>44346</v>
      </c>
      <c r="N924" s="1">
        <v>44346</v>
      </c>
      <c r="O924">
        <v>923</v>
      </c>
      <c r="P924">
        <v>1</v>
      </c>
      <c r="Q924" t="s">
        <v>69</v>
      </c>
      <c r="R924" s="3">
        <v>0.06</v>
      </c>
      <c r="S924" s="2">
        <v>248.39999999999998</v>
      </c>
      <c r="T924">
        <v>6</v>
      </c>
      <c r="U924" t="str">
        <f t="shared" si="44"/>
        <v>Maio</v>
      </c>
    </row>
    <row r="925" spans="1:21">
      <c r="A925">
        <v>924</v>
      </c>
      <c r="B925" s="1">
        <v>44328</v>
      </c>
      <c r="C925" s="1" t="str">
        <f t="shared" si="42"/>
        <v>maio</v>
      </c>
      <c r="D925">
        <v>9</v>
      </c>
      <c r="E925" t="s">
        <v>36</v>
      </c>
      <c r="F925" t="s">
        <v>24</v>
      </c>
      <c r="G925" s="8">
        <v>24</v>
      </c>
      <c r="H925" s="2">
        <v>106</v>
      </c>
      <c r="I925" s="2">
        <v>2544</v>
      </c>
      <c r="J925" s="4">
        <v>0.01</v>
      </c>
      <c r="K925" s="2">
        <v>2518.56</v>
      </c>
      <c r="L925" s="2">
        <f t="shared" si="43"/>
        <v>25.440000000000055</v>
      </c>
      <c r="M925" s="1">
        <v>44354</v>
      </c>
      <c r="N925" s="1">
        <v>44354</v>
      </c>
      <c r="O925">
        <v>924</v>
      </c>
      <c r="P925">
        <v>6</v>
      </c>
      <c r="Q925" t="s">
        <v>69</v>
      </c>
      <c r="R925" s="3">
        <v>0.09</v>
      </c>
      <c r="S925" s="2">
        <v>226.6704</v>
      </c>
      <c r="T925">
        <v>7</v>
      </c>
      <c r="U925" t="str">
        <f t="shared" si="44"/>
        <v>Maio</v>
      </c>
    </row>
    <row r="926" spans="1:21">
      <c r="A926">
        <v>925</v>
      </c>
      <c r="B926" s="1">
        <v>44329</v>
      </c>
      <c r="C926" s="1" t="str">
        <f t="shared" si="42"/>
        <v>maio</v>
      </c>
      <c r="D926">
        <v>32</v>
      </c>
      <c r="E926" t="s">
        <v>77</v>
      </c>
      <c r="F926" t="s">
        <v>24</v>
      </c>
      <c r="G926" s="8">
        <v>48</v>
      </c>
      <c r="H926" s="2">
        <v>113</v>
      </c>
      <c r="I926" s="2">
        <v>5424</v>
      </c>
      <c r="J926" s="4">
        <v>0.01</v>
      </c>
      <c r="K926" s="2">
        <v>5369.76</v>
      </c>
      <c r="L926" s="2">
        <f t="shared" si="43"/>
        <v>54.239999999999782</v>
      </c>
      <c r="M926" s="1">
        <v>44357</v>
      </c>
      <c r="N926" s="1">
        <v>44357</v>
      </c>
      <c r="O926">
        <v>925</v>
      </c>
      <c r="P926">
        <v>6</v>
      </c>
      <c r="Q926" t="s">
        <v>25</v>
      </c>
      <c r="R926" s="3">
        <v>0.09</v>
      </c>
      <c r="S926" s="2">
        <v>483.27839999999998</v>
      </c>
      <c r="T926">
        <v>1</v>
      </c>
      <c r="U926" t="str">
        <f t="shared" si="44"/>
        <v>Maio</v>
      </c>
    </row>
    <row r="927" spans="1:21">
      <c r="A927">
        <v>926</v>
      </c>
      <c r="B927" s="1">
        <v>44330</v>
      </c>
      <c r="C927" s="1" t="str">
        <f t="shared" si="42"/>
        <v>maio</v>
      </c>
      <c r="D927">
        <v>97</v>
      </c>
      <c r="E927" t="s">
        <v>66</v>
      </c>
      <c r="F927" t="s">
        <v>59</v>
      </c>
      <c r="G927" s="8">
        <v>30</v>
      </c>
      <c r="H927" s="2">
        <v>99</v>
      </c>
      <c r="I927" s="2">
        <v>2970</v>
      </c>
      <c r="J927" s="4">
        <v>0</v>
      </c>
      <c r="K927" s="2">
        <v>2970</v>
      </c>
      <c r="L927" s="2">
        <f t="shared" si="43"/>
        <v>0</v>
      </c>
      <c r="M927" s="1">
        <v>44336</v>
      </c>
      <c r="N927" s="1">
        <v>44336</v>
      </c>
      <c r="O927">
        <v>926</v>
      </c>
      <c r="P927">
        <v>4</v>
      </c>
      <c r="Q927" t="s">
        <v>22</v>
      </c>
      <c r="R927" s="3">
        <v>0.1</v>
      </c>
      <c r="S927" s="2">
        <v>297</v>
      </c>
      <c r="T927">
        <v>2</v>
      </c>
      <c r="U927" t="str">
        <f t="shared" si="44"/>
        <v>Maio</v>
      </c>
    </row>
    <row r="928" spans="1:21">
      <c r="A928">
        <v>927</v>
      </c>
      <c r="B928" s="1">
        <v>44331</v>
      </c>
      <c r="C928" s="1" t="str">
        <f t="shared" si="42"/>
        <v>maio</v>
      </c>
      <c r="D928">
        <v>42</v>
      </c>
      <c r="E928" t="s">
        <v>92</v>
      </c>
      <c r="F928" t="s">
        <v>24</v>
      </c>
      <c r="G928" s="8">
        <v>48</v>
      </c>
      <c r="H928" s="2">
        <v>108</v>
      </c>
      <c r="I928" s="2">
        <v>5184</v>
      </c>
      <c r="J928" s="4">
        <v>0.09</v>
      </c>
      <c r="K928" s="2">
        <v>4717.4399999999996</v>
      </c>
      <c r="L928" s="2">
        <f t="shared" si="43"/>
        <v>466.5600000000004</v>
      </c>
      <c r="M928" s="1">
        <v>44359</v>
      </c>
      <c r="N928" s="1">
        <v>44359</v>
      </c>
      <c r="O928">
        <v>927</v>
      </c>
      <c r="P928">
        <v>5</v>
      </c>
      <c r="Q928" t="s">
        <v>69</v>
      </c>
      <c r="R928" s="3">
        <v>7.0000000000000007E-2</v>
      </c>
      <c r="S928" s="2">
        <v>330.2208</v>
      </c>
      <c r="T928">
        <v>3</v>
      </c>
      <c r="U928" t="str">
        <f t="shared" si="44"/>
        <v>Maio</v>
      </c>
    </row>
    <row r="929" spans="1:21">
      <c r="A929">
        <v>928</v>
      </c>
      <c r="B929" s="1">
        <v>44331</v>
      </c>
      <c r="C929" s="1" t="str">
        <f t="shared" si="42"/>
        <v>maio</v>
      </c>
      <c r="D929">
        <v>44</v>
      </c>
      <c r="E929" t="s">
        <v>71</v>
      </c>
      <c r="F929" t="s">
        <v>31</v>
      </c>
      <c r="G929" s="8">
        <v>19</v>
      </c>
      <c r="H929" s="2">
        <v>91</v>
      </c>
      <c r="I929" s="2">
        <v>1729</v>
      </c>
      <c r="J929" s="4">
        <v>0.04</v>
      </c>
      <c r="K929" s="2">
        <v>1659.84</v>
      </c>
      <c r="L929" s="2">
        <f t="shared" si="43"/>
        <v>69.160000000000082</v>
      </c>
      <c r="M929" s="1">
        <v>44352</v>
      </c>
      <c r="N929" s="1">
        <v>44352</v>
      </c>
      <c r="O929">
        <v>928</v>
      </c>
      <c r="P929">
        <v>4</v>
      </c>
      <c r="Q929" t="s">
        <v>29</v>
      </c>
      <c r="R929" s="3">
        <v>0.1</v>
      </c>
      <c r="S929" s="2">
        <v>165.98400000000001</v>
      </c>
      <c r="T929">
        <v>4</v>
      </c>
      <c r="U929" t="str">
        <f t="shared" si="44"/>
        <v>Maio</v>
      </c>
    </row>
    <row r="930" spans="1:21">
      <c r="A930">
        <v>929</v>
      </c>
      <c r="B930" s="1">
        <v>44332</v>
      </c>
      <c r="C930" s="1" t="str">
        <f t="shared" si="42"/>
        <v>maio</v>
      </c>
      <c r="D930">
        <v>85</v>
      </c>
      <c r="E930" t="s">
        <v>57</v>
      </c>
      <c r="F930" t="s">
        <v>31</v>
      </c>
      <c r="G930" s="8">
        <v>18</v>
      </c>
      <c r="H930" s="2">
        <v>94</v>
      </c>
      <c r="I930" s="2">
        <v>1692</v>
      </c>
      <c r="J930" s="4">
        <v>0.01</v>
      </c>
      <c r="K930" s="2">
        <v>1675.08</v>
      </c>
      <c r="L930" s="2">
        <f t="shared" si="43"/>
        <v>16.920000000000073</v>
      </c>
      <c r="M930" s="1">
        <v>44360</v>
      </c>
      <c r="N930" s="1">
        <v>44360</v>
      </c>
      <c r="O930">
        <v>929</v>
      </c>
      <c r="P930">
        <v>7</v>
      </c>
      <c r="Q930" t="s">
        <v>37</v>
      </c>
      <c r="R930" s="3">
        <v>0.08</v>
      </c>
      <c r="S930" s="2">
        <v>134.00639999999999</v>
      </c>
      <c r="T930">
        <v>5</v>
      </c>
      <c r="U930" t="str">
        <f t="shared" si="44"/>
        <v>Maio</v>
      </c>
    </row>
    <row r="931" spans="1:21">
      <c r="A931">
        <v>930</v>
      </c>
      <c r="B931" s="1">
        <v>44332</v>
      </c>
      <c r="C931" s="1" t="str">
        <f t="shared" si="42"/>
        <v>maio</v>
      </c>
      <c r="D931">
        <v>62</v>
      </c>
      <c r="E931" t="s">
        <v>38</v>
      </c>
      <c r="F931" t="s">
        <v>41</v>
      </c>
      <c r="G931" s="8">
        <v>43</v>
      </c>
      <c r="H931" s="2">
        <v>95</v>
      </c>
      <c r="I931" s="2">
        <v>4085</v>
      </c>
      <c r="J931" s="4">
        <v>0.02</v>
      </c>
      <c r="K931" s="2">
        <v>4003.3</v>
      </c>
      <c r="L931" s="2">
        <f t="shared" si="43"/>
        <v>81.699999999999818</v>
      </c>
      <c r="M931" s="1">
        <v>44340</v>
      </c>
      <c r="N931" s="1">
        <v>44340</v>
      </c>
      <c r="O931">
        <v>930</v>
      </c>
      <c r="P931">
        <v>2</v>
      </c>
      <c r="Q931" t="s">
        <v>25</v>
      </c>
      <c r="R931" s="3">
        <v>0.06</v>
      </c>
      <c r="S931" s="2">
        <v>240.19800000000001</v>
      </c>
      <c r="T931">
        <v>6</v>
      </c>
      <c r="U931" t="str">
        <f t="shared" si="44"/>
        <v>Maio</v>
      </c>
    </row>
    <row r="932" spans="1:21">
      <c r="A932">
        <v>931</v>
      </c>
      <c r="B932" s="1">
        <v>44332</v>
      </c>
      <c r="C932" s="1" t="str">
        <f t="shared" si="42"/>
        <v>maio</v>
      </c>
      <c r="D932">
        <v>75</v>
      </c>
      <c r="E932" t="s">
        <v>38</v>
      </c>
      <c r="F932" t="s">
        <v>31</v>
      </c>
      <c r="G932" s="8">
        <v>38</v>
      </c>
      <c r="H932" s="2">
        <v>104</v>
      </c>
      <c r="I932" s="2">
        <v>3952</v>
      </c>
      <c r="J932" s="4">
        <v>0.14000000000000001</v>
      </c>
      <c r="K932" s="2">
        <v>3398.72</v>
      </c>
      <c r="L932" s="2">
        <f t="shared" si="43"/>
        <v>553.2800000000002</v>
      </c>
      <c r="M932" s="1">
        <v>44341</v>
      </c>
      <c r="N932" s="1">
        <v>44341</v>
      </c>
      <c r="O932">
        <v>931</v>
      </c>
      <c r="P932">
        <v>1</v>
      </c>
      <c r="Q932" t="s">
        <v>29</v>
      </c>
      <c r="R932" s="3">
        <v>0.06</v>
      </c>
      <c r="S932" s="2">
        <v>203.92319999999998</v>
      </c>
      <c r="T932">
        <v>7</v>
      </c>
      <c r="U932" t="str">
        <f t="shared" si="44"/>
        <v>Maio</v>
      </c>
    </row>
    <row r="933" spans="1:21">
      <c r="A933">
        <v>932</v>
      </c>
      <c r="B933" s="1">
        <v>44334</v>
      </c>
      <c r="C933" s="1" t="str">
        <f t="shared" si="42"/>
        <v>maio</v>
      </c>
      <c r="D933">
        <v>47</v>
      </c>
      <c r="E933" t="s">
        <v>40</v>
      </c>
      <c r="F933" t="s">
        <v>24</v>
      </c>
      <c r="G933" s="8">
        <v>10</v>
      </c>
      <c r="H933" s="2">
        <v>104</v>
      </c>
      <c r="I933" s="2">
        <v>1040</v>
      </c>
      <c r="J933" s="4">
        <v>0.14000000000000001</v>
      </c>
      <c r="K933" s="2">
        <v>894.4</v>
      </c>
      <c r="L933" s="2">
        <f t="shared" si="43"/>
        <v>145.60000000000002</v>
      </c>
      <c r="M933" s="1">
        <v>44350</v>
      </c>
      <c r="N933" s="1">
        <v>44350</v>
      </c>
      <c r="O933">
        <v>932</v>
      </c>
      <c r="P933">
        <v>2</v>
      </c>
      <c r="Q933" t="s">
        <v>34</v>
      </c>
      <c r="R933" s="3">
        <v>0.06</v>
      </c>
      <c r="S933" s="2">
        <v>53.663999999999994</v>
      </c>
      <c r="T933">
        <v>1</v>
      </c>
      <c r="U933" t="str">
        <f t="shared" si="44"/>
        <v>Maio</v>
      </c>
    </row>
    <row r="934" spans="1:21">
      <c r="A934">
        <v>933</v>
      </c>
      <c r="B934" s="1">
        <v>44335</v>
      </c>
      <c r="C934" s="1" t="str">
        <f t="shared" si="42"/>
        <v>maio</v>
      </c>
      <c r="D934">
        <v>24</v>
      </c>
      <c r="E934" t="s">
        <v>74</v>
      </c>
      <c r="F934" t="s">
        <v>41</v>
      </c>
      <c r="G934" s="8">
        <v>23</v>
      </c>
      <c r="H934" s="2">
        <v>90</v>
      </c>
      <c r="I934" s="2">
        <v>2070</v>
      </c>
      <c r="J934" s="4">
        <v>0.15</v>
      </c>
      <c r="K934" s="2">
        <v>1759.5</v>
      </c>
      <c r="L934" s="2">
        <f t="shared" si="43"/>
        <v>310.5</v>
      </c>
      <c r="M934" s="1">
        <v>44345</v>
      </c>
      <c r="N934" s="1">
        <v>44345</v>
      </c>
      <c r="O934">
        <v>933</v>
      </c>
      <c r="P934">
        <v>2</v>
      </c>
      <c r="Q934" t="s">
        <v>52</v>
      </c>
      <c r="R934" s="3">
        <v>0.08</v>
      </c>
      <c r="S934" s="2">
        <v>140.76</v>
      </c>
      <c r="T934">
        <v>2</v>
      </c>
      <c r="U934" t="str">
        <f t="shared" si="44"/>
        <v>Maio</v>
      </c>
    </row>
    <row r="935" spans="1:21">
      <c r="A935">
        <v>934</v>
      </c>
      <c r="B935" s="1">
        <v>44335</v>
      </c>
      <c r="C935" s="1" t="str">
        <f t="shared" si="42"/>
        <v>maio</v>
      </c>
      <c r="D935">
        <v>38</v>
      </c>
      <c r="E935" t="s">
        <v>73</v>
      </c>
      <c r="F935" t="s">
        <v>24</v>
      </c>
      <c r="G935" s="8">
        <v>37</v>
      </c>
      <c r="H935" s="2">
        <v>91</v>
      </c>
      <c r="I935" s="2">
        <v>3367</v>
      </c>
      <c r="J935" s="4">
        <v>7.0000000000000007E-2</v>
      </c>
      <c r="K935" s="2">
        <v>3131.31</v>
      </c>
      <c r="L935" s="2">
        <f t="shared" si="43"/>
        <v>235.69000000000005</v>
      </c>
      <c r="M935" s="1">
        <v>44337</v>
      </c>
      <c r="N935" s="1">
        <v>44337</v>
      </c>
      <c r="O935">
        <v>934</v>
      </c>
      <c r="P935">
        <v>7</v>
      </c>
      <c r="Q935" t="s">
        <v>69</v>
      </c>
      <c r="R935" s="3">
        <v>7.0000000000000007E-2</v>
      </c>
      <c r="S935" s="2">
        <v>219.19170000000003</v>
      </c>
      <c r="T935">
        <v>3</v>
      </c>
      <c r="U935" t="str">
        <f t="shared" si="44"/>
        <v>Maio</v>
      </c>
    </row>
    <row r="936" spans="1:21">
      <c r="A936">
        <v>935</v>
      </c>
      <c r="B936" s="1">
        <v>44336</v>
      </c>
      <c r="C936" s="1" t="str">
        <f t="shared" si="42"/>
        <v>maio</v>
      </c>
      <c r="D936">
        <v>91</v>
      </c>
      <c r="E936" t="s">
        <v>62</v>
      </c>
      <c r="F936" t="s">
        <v>50</v>
      </c>
      <c r="G936" s="8">
        <v>15</v>
      </c>
      <c r="H936" s="2">
        <v>91</v>
      </c>
      <c r="I936" s="2">
        <v>1365</v>
      </c>
      <c r="J936" s="4">
        <v>0</v>
      </c>
      <c r="K936" s="2">
        <v>1365</v>
      </c>
      <c r="L936" s="2">
        <f t="shared" si="43"/>
        <v>0</v>
      </c>
      <c r="M936" s="1">
        <v>44346</v>
      </c>
      <c r="N936" s="1">
        <v>44346</v>
      </c>
      <c r="O936">
        <v>935</v>
      </c>
      <c r="P936">
        <v>1</v>
      </c>
      <c r="Q936" t="s">
        <v>43</v>
      </c>
      <c r="R936" s="3">
        <v>0.06</v>
      </c>
      <c r="S936" s="2">
        <v>81.899999999999991</v>
      </c>
      <c r="T936">
        <v>4</v>
      </c>
      <c r="U936" t="str">
        <f t="shared" si="44"/>
        <v>Maio</v>
      </c>
    </row>
    <row r="937" spans="1:21">
      <c r="A937">
        <v>936</v>
      </c>
      <c r="B937" s="1">
        <v>44337</v>
      </c>
      <c r="C937" s="1" t="str">
        <f t="shared" si="42"/>
        <v>maio</v>
      </c>
      <c r="D937">
        <v>77</v>
      </c>
      <c r="E937" t="s">
        <v>65</v>
      </c>
      <c r="F937" t="s">
        <v>46</v>
      </c>
      <c r="G937" s="8">
        <v>19</v>
      </c>
      <c r="H937" s="2">
        <v>119</v>
      </c>
      <c r="I937" s="2">
        <v>2261</v>
      </c>
      <c r="J937" s="4">
        <v>0.14000000000000001</v>
      </c>
      <c r="K937" s="2">
        <v>1944.46</v>
      </c>
      <c r="L937" s="2">
        <f t="shared" si="43"/>
        <v>316.53999999999996</v>
      </c>
      <c r="M937" s="1">
        <v>44350</v>
      </c>
      <c r="N937" s="1">
        <v>44350</v>
      </c>
      <c r="O937">
        <v>936</v>
      </c>
      <c r="P937">
        <v>2</v>
      </c>
      <c r="Q937" t="s">
        <v>43</v>
      </c>
      <c r="R937" s="3">
        <v>0.08</v>
      </c>
      <c r="S937" s="2">
        <v>155.55680000000001</v>
      </c>
      <c r="T937">
        <v>5</v>
      </c>
      <c r="U937" t="str">
        <f t="shared" si="44"/>
        <v>Maio</v>
      </c>
    </row>
    <row r="938" spans="1:21">
      <c r="A938">
        <v>937</v>
      </c>
      <c r="B938" s="1">
        <v>44337</v>
      </c>
      <c r="C938" s="1" t="str">
        <f t="shared" si="42"/>
        <v>maio</v>
      </c>
      <c r="D938">
        <v>18</v>
      </c>
      <c r="E938" t="s">
        <v>83</v>
      </c>
      <c r="F938" t="s">
        <v>46</v>
      </c>
      <c r="G938" s="8">
        <v>23</v>
      </c>
      <c r="H938" s="2">
        <v>102</v>
      </c>
      <c r="I938" s="2">
        <v>2346</v>
      </c>
      <c r="J938" s="4">
        <v>0.08</v>
      </c>
      <c r="K938" s="2">
        <v>2158.3200000000002</v>
      </c>
      <c r="L938" s="2">
        <f t="shared" si="43"/>
        <v>187.67999999999984</v>
      </c>
      <c r="M938" s="1">
        <v>44355</v>
      </c>
      <c r="N938" s="1">
        <v>44355</v>
      </c>
      <c r="O938">
        <v>937</v>
      </c>
      <c r="P938">
        <v>5</v>
      </c>
      <c r="Q938" t="s">
        <v>69</v>
      </c>
      <c r="R938" s="3">
        <v>0.1</v>
      </c>
      <c r="S938" s="2">
        <v>215.83200000000002</v>
      </c>
      <c r="T938">
        <v>6</v>
      </c>
      <c r="U938" t="str">
        <f t="shared" si="44"/>
        <v>Maio</v>
      </c>
    </row>
    <row r="939" spans="1:21">
      <c r="A939">
        <v>938</v>
      </c>
      <c r="B939" s="1">
        <v>44337</v>
      </c>
      <c r="C939" s="1" t="str">
        <f t="shared" si="42"/>
        <v>maio</v>
      </c>
      <c r="D939">
        <v>81</v>
      </c>
      <c r="E939" t="s">
        <v>103</v>
      </c>
      <c r="F939" t="s">
        <v>31</v>
      </c>
      <c r="G939" s="8">
        <v>48</v>
      </c>
      <c r="H939" s="2">
        <v>113</v>
      </c>
      <c r="I939" s="2">
        <v>5424</v>
      </c>
      <c r="J939" s="4">
        <v>7.0000000000000007E-2</v>
      </c>
      <c r="K939" s="2">
        <v>5044.32</v>
      </c>
      <c r="L939" s="2">
        <f t="shared" si="43"/>
        <v>379.68000000000029</v>
      </c>
      <c r="M939" s="1">
        <v>44337</v>
      </c>
      <c r="N939" s="1">
        <v>44337</v>
      </c>
      <c r="O939">
        <v>938</v>
      </c>
      <c r="P939">
        <v>6</v>
      </c>
      <c r="Q939" t="s">
        <v>43</v>
      </c>
      <c r="R939" s="3">
        <v>0.06</v>
      </c>
      <c r="S939" s="2">
        <v>302.6592</v>
      </c>
      <c r="T939">
        <v>7</v>
      </c>
      <c r="U939" t="str">
        <f t="shared" si="44"/>
        <v>Maio</v>
      </c>
    </row>
    <row r="940" spans="1:21">
      <c r="A940">
        <v>939</v>
      </c>
      <c r="B940" s="1">
        <v>44338</v>
      </c>
      <c r="C940" s="1" t="str">
        <f t="shared" si="42"/>
        <v>maio</v>
      </c>
      <c r="D940">
        <v>27</v>
      </c>
      <c r="E940" t="s">
        <v>101</v>
      </c>
      <c r="F940" t="s">
        <v>28</v>
      </c>
      <c r="G940" s="8">
        <v>36</v>
      </c>
      <c r="H940" s="2">
        <v>102</v>
      </c>
      <c r="I940" s="2">
        <v>3672</v>
      </c>
      <c r="J940" s="4">
        <v>0.11</v>
      </c>
      <c r="K940" s="2">
        <v>3268.08</v>
      </c>
      <c r="L940" s="2">
        <f t="shared" si="43"/>
        <v>403.92000000000007</v>
      </c>
      <c r="M940" s="1">
        <v>44351</v>
      </c>
      <c r="N940" s="1">
        <v>44351</v>
      </c>
      <c r="O940">
        <v>939</v>
      </c>
      <c r="P940">
        <v>7</v>
      </c>
      <c r="Q940" t="s">
        <v>47</v>
      </c>
      <c r="R940" s="3">
        <v>0.08</v>
      </c>
      <c r="S940" s="2">
        <v>261.44639999999998</v>
      </c>
      <c r="T940">
        <v>1</v>
      </c>
      <c r="U940" t="str">
        <f t="shared" si="44"/>
        <v>Maio</v>
      </c>
    </row>
    <row r="941" spans="1:21">
      <c r="A941">
        <v>940</v>
      </c>
      <c r="B941" s="1">
        <v>44338</v>
      </c>
      <c r="C941" s="1" t="str">
        <f t="shared" si="42"/>
        <v>maio</v>
      </c>
      <c r="D941">
        <v>3</v>
      </c>
      <c r="E941" t="s">
        <v>91</v>
      </c>
      <c r="F941" t="s">
        <v>55</v>
      </c>
      <c r="G941" s="8">
        <v>49</v>
      </c>
      <c r="H941" s="2">
        <v>111</v>
      </c>
      <c r="I941" s="2">
        <v>5439</v>
      </c>
      <c r="J941" s="4">
        <v>0.09</v>
      </c>
      <c r="K941" s="2">
        <v>4949.49</v>
      </c>
      <c r="L941" s="2">
        <f t="shared" si="43"/>
        <v>489.51000000000022</v>
      </c>
      <c r="M941" s="1">
        <v>44348</v>
      </c>
      <c r="N941" s="1">
        <v>44348</v>
      </c>
      <c r="O941">
        <v>940</v>
      </c>
      <c r="P941">
        <v>5</v>
      </c>
      <c r="Q941" t="s">
        <v>22</v>
      </c>
      <c r="R941" s="3">
        <v>0.08</v>
      </c>
      <c r="S941" s="2">
        <v>395.95920000000001</v>
      </c>
      <c r="T941">
        <v>2</v>
      </c>
      <c r="U941" t="str">
        <f t="shared" si="44"/>
        <v>Maio</v>
      </c>
    </row>
    <row r="942" spans="1:21">
      <c r="A942">
        <v>941</v>
      </c>
      <c r="B942" s="1">
        <v>44338</v>
      </c>
      <c r="C942" s="1" t="str">
        <f t="shared" si="42"/>
        <v>maio</v>
      </c>
      <c r="D942">
        <v>22</v>
      </c>
      <c r="E942" t="s">
        <v>51</v>
      </c>
      <c r="F942" t="s">
        <v>50</v>
      </c>
      <c r="G942" s="8">
        <v>33</v>
      </c>
      <c r="H942" s="2">
        <v>91</v>
      </c>
      <c r="I942" s="2">
        <v>3003</v>
      </c>
      <c r="J942" s="4">
        <v>7.0000000000000007E-2</v>
      </c>
      <c r="K942" s="2">
        <v>2792.79</v>
      </c>
      <c r="L942" s="2">
        <f t="shared" si="43"/>
        <v>210.21000000000004</v>
      </c>
      <c r="M942" s="1">
        <v>44366</v>
      </c>
      <c r="N942" s="1">
        <v>44366</v>
      </c>
      <c r="O942">
        <v>941</v>
      </c>
      <c r="P942">
        <v>3</v>
      </c>
      <c r="Q942" t="s">
        <v>34</v>
      </c>
      <c r="R942" s="3">
        <v>0.1</v>
      </c>
      <c r="S942" s="2">
        <v>279.279</v>
      </c>
      <c r="T942">
        <v>3</v>
      </c>
      <c r="U942" t="str">
        <f t="shared" si="44"/>
        <v>Maio</v>
      </c>
    </row>
    <row r="943" spans="1:21">
      <c r="A943">
        <v>942</v>
      </c>
      <c r="B943" s="1">
        <v>44339</v>
      </c>
      <c r="C943" s="1" t="str">
        <f t="shared" si="42"/>
        <v>maio</v>
      </c>
      <c r="D943">
        <v>55</v>
      </c>
      <c r="E943" t="s">
        <v>44</v>
      </c>
      <c r="F943" t="s">
        <v>50</v>
      </c>
      <c r="G943" s="8">
        <v>11</v>
      </c>
      <c r="H943" s="2">
        <v>111</v>
      </c>
      <c r="I943" s="2">
        <v>1221</v>
      </c>
      <c r="J943" s="4">
        <v>0.1</v>
      </c>
      <c r="K943" s="2">
        <v>1098.9000000000001</v>
      </c>
      <c r="L943" s="2">
        <f t="shared" si="43"/>
        <v>122.09999999999991</v>
      </c>
      <c r="M943" s="1">
        <v>44356</v>
      </c>
      <c r="N943" s="1">
        <v>44356</v>
      </c>
      <c r="O943">
        <v>942</v>
      </c>
      <c r="P943">
        <v>6</v>
      </c>
      <c r="Q943" t="s">
        <v>34</v>
      </c>
      <c r="R943" s="3">
        <v>0.05</v>
      </c>
      <c r="S943" s="2">
        <v>54.945000000000007</v>
      </c>
      <c r="T943">
        <v>4</v>
      </c>
      <c r="U943" t="str">
        <f t="shared" si="44"/>
        <v>Maio</v>
      </c>
    </row>
    <row r="944" spans="1:21">
      <c r="A944">
        <v>943</v>
      </c>
      <c r="B944" s="1">
        <v>44339</v>
      </c>
      <c r="C944" s="1" t="str">
        <f t="shared" si="42"/>
        <v>maio</v>
      </c>
      <c r="D944">
        <v>59</v>
      </c>
      <c r="E944" t="s">
        <v>97</v>
      </c>
      <c r="F944" t="s">
        <v>59</v>
      </c>
      <c r="G944" s="8">
        <v>45</v>
      </c>
      <c r="H944" s="2">
        <v>117</v>
      </c>
      <c r="I944" s="2">
        <v>5265</v>
      </c>
      <c r="J944" s="4">
        <v>0.02</v>
      </c>
      <c r="K944" s="2">
        <v>5159.7</v>
      </c>
      <c r="L944" s="2">
        <f t="shared" si="43"/>
        <v>105.30000000000018</v>
      </c>
      <c r="M944" s="1">
        <v>44343</v>
      </c>
      <c r="N944" s="1">
        <v>44343</v>
      </c>
      <c r="O944">
        <v>943</v>
      </c>
      <c r="P944">
        <v>5</v>
      </c>
      <c r="Q944" t="s">
        <v>34</v>
      </c>
      <c r="R944" s="3">
        <v>0.09</v>
      </c>
      <c r="S944" s="2">
        <v>464.37299999999999</v>
      </c>
      <c r="T944">
        <v>5</v>
      </c>
      <c r="U944" t="str">
        <f t="shared" si="44"/>
        <v>Maio</v>
      </c>
    </row>
    <row r="945" spans="1:21">
      <c r="A945">
        <v>944</v>
      </c>
      <c r="B945" s="1">
        <v>44339</v>
      </c>
      <c r="C945" s="1" t="str">
        <f t="shared" si="42"/>
        <v>maio</v>
      </c>
      <c r="D945">
        <v>10</v>
      </c>
      <c r="E945" t="s">
        <v>89</v>
      </c>
      <c r="F945" t="s">
        <v>50</v>
      </c>
      <c r="G945" s="8">
        <v>35</v>
      </c>
      <c r="H945" s="2">
        <v>117</v>
      </c>
      <c r="I945" s="2">
        <v>4095</v>
      </c>
      <c r="J945" s="4">
        <v>0.09</v>
      </c>
      <c r="K945" s="2">
        <v>3726.45</v>
      </c>
      <c r="L945" s="2">
        <f t="shared" si="43"/>
        <v>368.55000000000018</v>
      </c>
      <c r="M945" s="1">
        <v>44353</v>
      </c>
      <c r="N945" s="1">
        <v>44353</v>
      </c>
      <c r="O945">
        <v>944</v>
      </c>
      <c r="P945">
        <v>4</v>
      </c>
      <c r="Q945" t="s">
        <v>69</v>
      </c>
      <c r="R945" s="3">
        <v>0.05</v>
      </c>
      <c r="S945" s="2">
        <v>186.32249999999999</v>
      </c>
      <c r="T945">
        <v>6</v>
      </c>
      <c r="U945" t="str">
        <f t="shared" si="44"/>
        <v>Maio</v>
      </c>
    </row>
    <row r="946" spans="1:21">
      <c r="A946">
        <v>945</v>
      </c>
      <c r="B946" s="1">
        <v>44339</v>
      </c>
      <c r="C946" s="1" t="str">
        <f t="shared" si="42"/>
        <v>maio</v>
      </c>
      <c r="D946">
        <v>98</v>
      </c>
      <c r="E946" t="s">
        <v>26</v>
      </c>
      <c r="F946" t="s">
        <v>55</v>
      </c>
      <c r="G946" s="8">
        <v>14</v>
      </c>
      <c r="H946" s="2">
        <v>120</v>
      </c>
      <c r="I946" s="2">
        <v>1680</v>
      </c>
      <c r="J946" s="4">
        <v>0.1</v>
      </c>
      <c r="K946" s="2">
        <v>1512</v>
      </c>
      <c r="L946" s="2">
        <f t="shared" si="43"/>
        <v>168</v>
      </c>
      <c r="M946" s="1">
        <v>44352</v>
      </c>
      <c r="N946" s="1">
        <v>44352</v>
      </c>
      <c r="O946">
        <v>945</v>
      </c>
      <c r="P946">
        <v>7</v>
      </c>
      <c r="Q946" t="s">
        <v>52</v>
      </c>
      <c r="R946" s="3">
        <v>0.09</v>
      </c>
      <c r="S946" s="2">
        <v>136.07999999999998</v>
      </c>
      <c r="T946">
        <v>7</v>
      </c>
      <c r="U946" t="str">
        <f t="shared" si="44"/>
        <v>Maio</v>
      </c>
    </row>
    <row r="947" spans="1:21">
      <c r="A947">
        <v>946</v>
      </c>
      <c r="B947" s="1">
        <v>44339</v>
      </c>
      <c r="C947" s="1" t="str">
        <f t="shared" si="42"/>
        <v>maio</v>
      </c>
      <c r="D947">
        <v>60</v>
      </c>
      <c r="E947" t="s">
        <v>82</v>
      </c>
      <c r="F947" t="s">
        <v>46</v>
      </c>
      <c r="G947" s="8">
        <v>26</v>
      </c>
      <c r="H947" s="2">
        <v>112</v>
      </c>
      <c r="I947" s="2">
        <v>2912</v>
      </c>
      <c r="J947" s="4">
        <v>0</v>
      </c>
      <c r="K947" s="2">
        <v>2912</v>
      </c>
      <c r="L947" s="2">
        <f t="shared" si="43"/>
        <v>0</v>
      </c>
      <c r="M947" s="1">
        <v>44349</v>
      </c>
      <c r="N947" s="1">
        <v>44349</v>
      </c>
      <c r="O947">
        <v>946</v>
      </c>
      <c r="P947">
        <v>6</v>
      </c>
      <c r="Q947" t="s">
        <v>22</v>
      </c>
      <c r="R947" s="3">
        <v>0.09</v>
      </c>
      <c r="S947" s="2">
        <v>262.08</v>
      </c>
      <c r="T947">
        <v>1</v>
      </c>
      <c r="U947" t="str">
        <f t="shared" si="44"/>
        <v>Maio</v>
      </c>
    </row>
    <row r="948" spans="1:21">
      <c r="A948">
        <v>947</v>
      </c>
      <c r="B948" s="1">
        <v>44340</v>
      </c>
      <c r="C948" s="1" t="str">
        <f t="shared" si="42"/>
        <v>maio</v>
      </c>
      <c r="D948">
        <v>48</v>
      </c>
      <c r="E948" t="s">
        <v>61</v>
      </c>
      <c r="F948" t="s">
        <v>55</v>
      </c>
      <c r="G948" s="8">
        <v>20</v>
      </c>
      <c r="H948" s="2">
        <v>116</v>
      </c>
      <c r="I948" s="2">
        <v>2320</v>
      </c>
      <c r="J948" s="4">
        <v>0.04</v>
      </c>
      <c r="K948" s="2">
        <v>2227.1999999999998</v>
      </c>
      <c r="L948" s="2">
        <f t="shared" si="43"/>
        <v>92.800000000000182</v>
      </c>
      <c r="M948" s="1">
        <v>44359</v>
      </c>
      <c r="N948" s="1">
        <v>44359</v>
      </c>
      <c r="O948">
        <v>947</v>
      </c>
      <c r="P948">
        <v>1</v>
      </c>
      <c r="Q948" t="s">
        <v>22</v>
      </c>
      <c r="R948" s="3">
        <v>0.1</v>
      </c>
      <c r="S948" s="2">
        <v>222.72</v>
      </c>
      <c r="T948">
        <v>2</v>
      </c>
      <c r="U948" t="str">
        <f t="shared" si="44"/>
        <v>Maio</v>
      </c>
    </row>
    <row r="949" spans="1:21">
      <c r="A949">
        <v>948</v>
      </c>
      <c r="B949" s="1">
        <v>44340</v>
      </c>
      <c r="C949" s="1" t="str">
        <f t="shared" si="42"/>
        <v>maio</v>
      </c>
      <c r="D949">
        <v>62</v>
      </c>
      <c r="E949" t="s">
        <v>38</v>
      </c>
      <c r="F949" t="s">
        <v>21</v>
      </c>
      <c r="G949" s="8">
        <v>37</v>
      </c>
      <c r="H949" s="2">
        <v>102</v>
      </c>
      <c r="I949" s="2">
        <v>3774</v>
      </c>
      <c r="J949" s="4">
        <v>0.13</v>
      </c>
      <c r="K949" s="2">
        <v>3283.38</v>
      </c>
      <c r="L949" s="2">
        <f t="shared" si="43"/>
        <v>490.61999999999989</v>
      </c>
      <c r="M949" s="1">
        <v>44362</v>
      </c>
      <c r="N949" s="1">
        <v>44362</v>
      </c>
      <c r="O949">
        <v>948</v>
      </c>
      <c r="P949">
        <v>3</v>
      </c>
      <c r="Q949" t="s">
        <v>34</v>
      </c>
      <c r="R949" s="3">
        <v>0.06</v>
      </c>
      <c r="S949" s="2">
        <v>197.00280000000001</v>
      </c>
      <c r="T949">
        <v>3</v>
      </c>
      <c r="U949" t="str">
        <f t="shared" si="44"/>
        <v>Maio</v>
      </c>
    </row>
    <row r="950" spans="1:21">
      <c r="A950">
        <v>949</v>
      </c>
      <c r="B950" s="1">
        <v>44341</v>
      </c>
      <c r="C950" s="1" t="str">
        <f t="shared" si="42"/>
        <v>maio</v>
      </c>
      <c r="D950">
        <v>84</v>
      </c>
      <c r="E950" t="s">
        <v>44</v>
      </c>
      <c r="F950" t="s">
        <v>28</v>
      </c>
      <c r="G950" s="8">
        <v>39</v>
      </c>
      <c r="H950" s="2">
        <v>95</v>
      </c>
      <c r="I950" s="2">
        <v>3705</v>
      </c>
      <c r="J950" s="4">
        <v>7.0000000000000007E-2</v>
      </c>
      <c r="K950" s="2">
        <v>3445.65</v>
      </c>
      <c r="L950" s="2">
        <f t="shared" si="43"/>
        <v>259.34999999999991</v>
      </c>
      <c r="M950" s="1">
        <v>44370</v>
      </c>
      <c r="N950" s="1">
        <v>44370</v>
      </c>
      <c r="O950">
        <v>949</v>
      </c>
      <c r="P950">
        <v>2</v>
      </c>
      <c r="Q950" t="s">
        <v>37</v>
      </c>
      <c r="R950" s="3">
        <v>0.1</v>
      </c>
      <c r="S950" s="2">
        <v>344.56500000000005</v>
      </c>
      <c r="T950">
        <v>4</v>
      </c>
      <c r="U950" t="str">
        <f t="shared" si="44"/>
        <v>Maio</v>
      </c>
    </row>
    <row r="951" spans="1:21">
      <c r="A951">
        <v>950</v>
      </c>
      <c r="B951" s="1">
        <v>44341</v>
      </c>
      <c r="C951" s="1" t="str">
        <f t="shared" si="42"/>
        <v>maio</v>
      </c>
      <c r="D951">
        <v>13</v>
      </c>
      <c r="E951" t="s">
        <v>75</v>
      </c>
      <c r="F951" t="s">
        <v>59</v>
      </c>
      <c r="G951" s="8">
        <v>26</v>
      </c>
      <c r="H951" s="2">
        <v>116</v>
      </c>
      <c r="I951" s="2">
        <v>3016</v>
      </c>
      <c r="J951" s="4">
        <v>0.14000000000000001</v>
      </c>
      <c r="K951" s="2">
        <v>2593.7599999999998</v>
      </c>
      <c r="L951" s="2">
        <f t="shared" si="43"/>
        <v>422.24000000000024</v>
      </c>
      <c r="M951" s="1">
        <v>44365</v>
      </c>
      <c r="N951" s="1">
        <v>44365</v>
      </c>
      <c r="O951">
        <v>950</v>
      </c>
      <c r="P951">
        <v>1</v>
      </c>
      <c r="Q951" t="s">
        <v>32</v>
      </c>
      <c r="R951" s="3">
        <v>0.09</v>
      </c>
      <c r="S951" s="2">
        <v>233.43839999999997</v>
      </c>
      <c r="T951">
        <v>5</v>
      </c>
      <c r="U951" t="str">
        <f t="shared" si="44"/>
        <v>Maio</v>
      </c>
    </row>
    <row r="952" spans="1:21">
      <c r="A952">
        <v>951</v>
      </c>
      <c r="B952" s="1">
        <v>44342</v>
      </c>
      <c r="C952" s="1" t="str">
        <f t="shared" si="42"/>
        <v>maio</v>
      </c>
      <c r="D952">
        <v>42</v>
      </c>
      <c r="E952" t="s">
        <v>92</v>
      </c>
      <c r="F952" t="s">
        <v>31</v>
      </c>
      <c r="G952" s="8">
        <v>12</v>
      </c>
      <c r="H952" s="2">
        <v>94</v>
      </c>
      <c r="I952" s="2">
        <v>1128</v>
      </c>
      <c r="J952" s="4">
        <v>0.06</v>
      </c>
      <c r="K952" s="2">
        <v>1060.32</v>
      </c>
      <c r="L952" s="2">
        <f t="shared" si="43"/>
        <v>67.680000000000064</v>
      </c>
      <c r="M952" s="1">
        <v>44370</v>
      </c>
      <c r="N952" s="1">
        <v>44370</v>
      </c>
      <c r="O952">
        <v>951</v>
      </c>
      <c r="P952">
        <v>7</v>
      </c>
      <c r="Q952" t="s">
        <v>32</v>
      </c>
      <c r="R952" s="3">
        <v>0.06</v>
      </c>
      <c r="S952" s="2">
        <v>63.619199999999992</v>
      </c>
      <c r="T952">
        <v>6</v>
      </c>
      <c r="U952" t="str">
        <f t="shared" si="44"/>
        <v>Maio</v>
      </c>
    </row>
    <row r="953" spans="1:21">
      <c r="A953">
        <v>952</v>
      </c>
      <c r="B953" s="1">
        <v>44342</v>
      </c>
      <c r="C953" s="1" t="str">
        <f t="shared" si="42"/>
        <v>maio</v>
      </c>
      <c r="D953">
        <v>60</v>
      </c>
      <c r="E953" t="s">
        <v>82</v>
      </c>
      <c r="F953" t="s">
        <v>59</v>
      </c>
      <c r="G953" s="8">
        <v>42</v>
      </c>
      <c r="H953" s="2">
        <v>99</v>
      </c>
      <c r="I953" s="2">
        <v>4158</v>
      </c>
      <c r="J953" s="4">
        <v>0.01</v>
      </c>
      <c r="K953" s="2">
        <v>4116.42</v>
      </c>
      <c r="L953" s="2">
        <f t="shared" si="43"/>
        <v>41.579999999999927</v>
      </c>
      <c r="M953" s="1">
        <v>44369</v>
      </c>
      <c r="N953" s="1">
        <v>44369</v>
      </c>
      <c r="O953">
        <v>952</v>
      </c>
      <c r="P953">
        <v>1</v>
      </c>
      <c r="Q953" t="s">
        <v>22</v>
      </c>
      <c r="R953" s="3">
        <v>7.0000000000000007E-2</v>
      </c>
      <c r="S953" s="2">
        <v>288.14940000000001</v>
      </c>
      <c r="T953">
        <v>7</v>
      </c>
      <c r="U953" t="str">
        <f t="shared" si="44"/>
        <v>Maio</v>
      </c>
    </row>
    <row r="954" spans="1:21">
      <c r="A954">
        <v>953</v>
      </c>
      <c r="B954" s="1">
        <v>44343</v>
      </c>
      <c r="C954" s="1" t="str">
        <f t="shared" si="42"/>
        <v>maio</v>
      </c>
      <c r="D954">
        <v>98</v>
      </c>
      <c r="E954" t="s">
        <v>26</v>
      </c>
      <c r="F954" t="s">
        <v>50</v>
      </c>
      <c r="G954" s="8">
        <v>42</v>
      </c>
      <c r="H954" s="2">
        <v>98</v>
      </c>
      <c r="I954" s="2">
        <v>4116</v>
      </c>
      <c r="J954" s="4">
        <v>0.02</v>
      </c>
      <c r="K954" s="2">
        <v>4033.68</v>
      </c>
      <c r="L954" s="2">
        <f t="shared" si="43"/>
        <v>82.320000000000164</v>
      </c>
      <c r="M954" s="1">
        <v>44364</v>
      </c>
      <c r="N954" s="1">
        <v>44364</v>
      </c>
      <c r="O954">
        <v>953</v>
      </c>
      <c r="P954">
        <v>4</v>
      </c>
      <c r="Q954" t="s">
        <v>34</v>
      </c>
      <c r="R954" s="3">
        <v>0.1</v>
      </c>
      <c r="S954" s="2">
        <v>403.36799999999999</v>
      </c>
      <c r="T954">
        <v>1</v>
      </c>
      <c r="U954" t="str">
        <f t="shared" si="44"/>
        <v>Maio</v>
      </c>
    </row>
    <row r="955" spans="1:21">
      <c r="A955">
        <v>954</v>
      </c>
      <c r="B955" s="1">
        <v>44343</v>
      </c>
      <c r="C955" s="1" t="str">
        <f t="shared" si="42"/>
        <v>maio</v>
      </c>
      <c r="D955">
        <v>74</v>
      </c>
      <c r="E955" t="s">
        <v>38</v>
      </c>
      <c r="F955" t="s">
        <v>54</v>
      </c>
      <c r="G955" s="8">
        <v>25</v>
      </c>
      <c r="H955" s="2">
        <v>96</v>
      </c>
      <c r="I955" s="2">
        <v>2400</v>
      </c>
      <c r="J955" s="4">
        <v>0.15</v>
      </c>
      <c r="K955" s="2">
        <v>2040</v>
      </c>
      <c r="L955" s="2">
        <f t="shared" si="43"/>
        <v>360</v>
      </c>
      <c r="M955" s="1">
        <v>44366</v>
      </c>
      <c r="N955" s="1">
        <v>44366</v>
      </c>
      <c r="O955">
        <v>954</v>
      </c>
      <c r="P955">
        <v>2</v>
      </c>
      <c r="Q955" t="s">
        <v>29</v>
      </c>
      <c r="R955" s="3">
        <v>0.05</v>
      </c>
      <c r="S955" s="2">
        <v>102</v>
      </c>
      <c r="T955">
        <v>2</v>
      </c>
      <c r="U955" t="str">
        <f t="shared" si="44"/>
        <v>Maio</v>
      </c>
    </row>
    <row r="956" spans="1:21">
      <c r="A956">
        <v>955</v>
      </c>
      <c r="B956" s="1">
        <v>44343</v>
      </c>
      <c r="C956" s="1" t="str">
        <f t="shared" si="42"/>
        <v>maio</v>
      </c>
      <c r="D956">
        <v>90</v>
      </c>
      <c r="E956" t="s">
        <v>60</v>
      </c>
      <c r="F956" t="s">
        <v>46</v>
      </c>
      <c r="G956" s="8">
        <v>50</v>
      </c>
      <c r="H956" s="2">
        <v>109</v>
      </c>
      <c r="I956" s="2">
        <v>5450</v>
      </c>
      <c r="J956" s="4">
        <v>0.04</v>
      </c>
      <c r="K956" s="2">
        <v>5232</v>
      </c>
      <c r="L956" s="2">
        <f t="shared" si="43"/>
        <v>218</v>
      </c>
      <c r="M956" s="1">
        <v>44373</v>
      </c>
      <c r="N956" s="1">
        <v>44373</v>
      </c>
      <c r="O956">
        <v>955</v>
      </c>
      <c r="P956">
        <v>1</v>
      </c>
      <c r="Q956" t="s">
        <v>32</v>
      </c>
      <c r="R956" s="3">
        <v>0.08</v>
      </c>
      <c r="S956" s="2">
        <v>418.56</v>
      </c>
      <c r="T956">
        <v>3</v>
      </c>
      <c r="U956" t="str">
        <f t="shared" si="44"/>
        <v>Maio</v>
      </c>
    </row>
    <row r="957" spans="1:21">
      <c r="A957">
        <v>956</v>
      </c>
      <c r="B957" s="1">
        <v>44343</v>
      </c>
      <c r="C957" s="1" t="str">
        <f t="shared" si="42"/>
        <v>maio</v>
      </c>
      <c r="D957">
        <v>91</v>
      </c>
      <c r="E957" t="s">
        <v>62</v>
      </c>
      <c r="F957" t="s">
        <v>24</v>
      </c>
      <c r="G957" s="8">
        <v>43</v>
      </c>
      <c r="H957" s="2">
        <v>111</v>
      </c>
      <c r="I957" s="2">
        <v>4773</v>
      </c>
      <c r="J957" s="4">
        <v>0.14000000000000001</v>
      </c>
      <c r="K957" s="2">
        <v>4104.78</v>
      </c>
      <c r="L957" s="2">
        <f t="shared" si="43"/>
        <v>668.22000000000025</v>
      </c>
      <c r="M957" s="1">
        <v>44358</v>
      </c>
      <c r="N957" s="1">
        <v>44358</v>
      </c>
      <c r="O957">
        <v>956</v>
      </c>
      <c r="P957">
        <v>2</v>
      </c>
      <c r="Q957" t="s">
        <v>52</v>
      </c>
      <c r="R957" s="3">
        <v>0.1</v>
      </c>
      <c r="S957" s="2">
        <v>410.47800000000001</v>
      </c>
      <c r="T957">
        <v>4</v>
      </c>
      <c r="U957" t="str">
        <f t="shared" si="44"/>
        <v>Maio</v>
      </c>
    </row>
    <row r="958" spans="1:21">
      <c r="A958">
        <v>957</v>
      </c>
      <c r="B958" s="1">
        <v>44343</v>
      </c>
      <c r="C958" s="1" t="str">
        <f t="shared" si="42"/>
        <v>maio</v>
      </c>
      <c r="D958">
        <v>49</v>
      </c>
      <c r="E958" t="s">
        <v>38</v>
      </c>
      <c r="F958" t="s">
        <v>46</v>
      </c>
      <c r="G958" s="8">
        <v>46</v>
      </c>
      <c r="H958" s="2">
        <v>112</v>
      </c>
      <c r="I958" s="2">
        <v>5152</v>
      </c>
      <c r="J958" s="4">
        <v>0.14000000000000001</v>
      </c>
      <c r="K958" s="2">
        <v>4430.72</v>
      </c>
      <c r="L958" s="2">
        <f t="shared" si="43"/>
        <v>721.27999999999975</v>
      </c>
      <c r="M958" s="1">
        <v>44343</v>
      </c>
      <c r="N958" s="1">
        <v>44343</v>
      </c>
      <c r="O958">
        <v>957</v>
      </c>
      <c r="P958">
        <v>1</v>
      </c>
      <c r="Q958" t="s">
        <v>43</v>
      </c>
      <c r="R958" s="3">
        <v>0.06</v>
      </c>
      <c r="S958" s="2">
        <v>265.84320000000002</v>
      </c>
      <c r="T958">
        <v>5</v>
      </c>
      <c r="U958" t="str">
        <f t="shared" si="44"/>
        <v>Maio</v>
      </c>
    </row>
    <row r="959" spans="1:21">
      <c r="A959">
        <v>958</v>
      </c>
      <c r="B959" s="1">
        <v>44343</v>
      </c>
      <c r="C959" s="1" t="str">
        <f t="shared" si="42"/>
        <v>maio</v>
      </c>
      <c r="D959">
        <v>87</v>
      </c>
      <c r="E959" t="s">
        <v>40</v>
      </c>
      <c r="F959" t="s">
        <v>28</v>
      </c>
      <c r="G959" s="8">
        <v>36</v>
      </c>
      <c r="H959" s="2">
        <v>104</v>
      </c>
      <c r="I959" s="2">
        <v>3744</v>
      </c>
      <c r="J959" s="4">
        <v>0.1</v>
      </c>
      <c r="K959" s="2">
        <v>3369.6</v>
      </c>
      <c r="L959" s="2">
        <f t="shared" si="43"/>
        <v>374.40000000000009</v>
      </c>
      <c r="M959" s="1">
        <v>44364</v>
      </c>
      <c r="N959" s="1">
        <v>44364</v>
      </c>
      <c r="O959">
        <v>958</v>
      </c>
      <c r="P959">
        <v>4</v>
      </c>
      <c r="Q959" t="s">
        <v>37</v>
      </c>
      <c r="R959" s="3">
        <v>0.08</v>
      </c>
      <c r="S959" s="2">
        <v>269.56799999999998</v>
      </c>
      <c r="T959">
        <v>6</v>
      </c>
      <c r="U959" t="str">
        <f t="shared" si="44"/>
        <v>Maio</v>
      </c>
    </row>
    <row r="960" spans="1:21">
      <c r="A960">
        <v>959</v>
      </c>
      <c r="B960" s="1">
        <v>44345</v>
      </c>
      <c r="C960" s="1" t="str">
        <f t="shared" si="42"/>
        <v>maio</v>
      </c>
      <c r="D960">
        <v>23</v>
      </c>
      <c r="E960" t="s">
        <v>105</v>
      </c>
      <c r="F960" t="s">
        <v>46</v>
      </c>
      <c r="G960" s="8">
        <v>50</v>
      </c>
      <c r="H960" s="2">
        <v>97</v>
      </c>
      <c r="I960" s="2">
        <v>4850</v>
      </c>
      <c r="J960" s="4">
        <v>0.03</v>
      </c>
      <c r="K960" s="2">
        <v>4704.5</v>
      </c>
      <c r="L960" s="2">
        <f t="shared" si="43"/>
        <v>145.5</v>
      </c>
      <c r="M960" s="1">
        <v>44351</v>
      </c>
      <c r="N960" s="1">
        <v>44351</v>
      </c>
      <c r="O960">
        <v>959</v>
      </c>
      <c r="P960">
        <v>6</v>
      </c>
      <c r="Q960" t="s">
        <v>43</v>
      </c>
      <c r="R960" s="3">
        <v>0.05</v>
      </c>
      <c r="S960" s="2">
        <v>235.22500000000002</v>
      </c>
      <c r="T960">
        <v>7</v>
      </c>
      <c r="U960" t="str">
        <f t="shared" si="44"/>
        <v>Maio</v>
      </c>
    </row>
    <row r="961" spans="1:21">
      <c r="A961">
        <v>960</v>
      </c>
      <c r="B961" s="1">
        <v>44347</v>
      </c>
      <c r="C961" s="1" t="str">
        <f t="shared" si="42"/>
        <v>maio</v>
      </c>
      <c r="D961">
        <v>8</v>
      </c>
      <c r="E961" t="s">
        <v>38</v>
      </c>
      <c r="F961" t="s">
        <v>21</v>
      </c>
      <c r="G961" s="8">
        <v>23</v>
      </c>
      <c r="H961" s="2">
        <v>111</v>
      </c>
      <c r="I961" s="2">
        <v>2553</v>
      </c>
      <c r="J961" s="4">
        <v>0.1</v>
      </c>
      <c r="K961" s="2">
        <v>2297.6999999999998</v>
      </c>
      <c r="L961" s="2">
        <f t="shared" si="43"/>
        <v>255.30000000000018</v>
      </c>
      <c r="M961" s="1">
        <v>44372</v>
      </c>
      <c r="N961" s="1">
        <v>44372</v>
      </c>
      <c r="O961">
        <v>960</v>
      </c>
      <c r="P961">
        <v>2</v>
      </c>
      <c r="Q961" t="s">
        <v>29</v>
      </c>
      <c r="R961" s="3">
        <v>0.06</v>
      </c>
      <c r="S961" s="2">
        <v>137.86199999999999</v>
      </c>
      <c r="T961">
        <v>1</v>
      </c>
      <c r="U961" t="str">
        <f t="shared" si="44"/>
        <v>Maio</v>
      </c>
    </row>
    <row r="962" spans="1:21">
      <c r="A962">
        <v>961</v>
      </c>
      <c r="B962" s="1">
        <v>44349</v>
      </c>
      <c r="C962" s="1" t="str">
        <f t="shared" si="42"/>
        <v>junho</v>
      </c>
      <c r="D962">
        <v>26</v>
      </c>
      <c r="E962" t="s">
        <v>95</v>
      </c>
      <c r="F962" t="s">
        <v>59</v>
      </c>
      <c r="G962" s="8">
        <v>32</v>
      </c>
      <c r="H962" s="2">
        <v>100</v>
      </c>
      <c r="I962" s="2">
        <v>3200</v>
      </c>
      <c r="J962" s="4">
        <v>0</v>
      </c>
      <c r="K962" s="2">
        <v>3200</v>
      </c>
      <c r="L962" s="2">
        <f t="shared" si="43"/>
        <v>0</v>
      </c>
      <c r="M962" s="1">
        <v>44364</v>
      </c>
      <c r="N962" s="1">
        <v>44364</v>
      </c>
      <c r="O962">
        <v>961</v>
      </c>
      <c r="P962">
        <v>3</v>
      </c>
      <c r="Q962" t="s">
        <v>52</v>
      </c>
      <c r="R962" s="3">
        <v>0.06</v>
      </c>
      <c r="S962" s="2">
        <v>192</v>
      </c>
      <c r="T962">
        <v>2</v>
      </c>
      <c r="U962" t="str">
        <f t="shared" si="44"/>
        <v>Junho</v>
      </c>
    </row>
    <row r="963" spans="1:21">
      <c r="A963">
        <v>962</v>
      </c>
      <c r="B963" s="1">
        <v>44349</v>
      </c>
      <c r="C963" s="1" t="str">
        <f t="shared" ref="C963:C1013" si="45">TEXT(B963,"mmmm")</f>
        <v>junho</v>
      </c>
      <c r="D963">
        <v>41</v>
      </c>
      <c r="E963" t="s">
        <v>68</v>
      </c>
      <c r="F963" t="s">
        <v>55</v>
      </c>
      <c r="G963" s="8">
        <v>31</v>
      </c>
      <c r="H963" s="2">
        <v>111</v>
      </c>
      <c r="I963" s="2">
        <v>3441</v>
      </c>
      <c r="J963" s="4">
        <v>0.09</v>
      </c>
      <c r="K963" s="2">
        <v>3131.31</v>
      </c>
      <c r="L963" s="2">
        <f t="shared" ref="L963:L1013" si="46">I963-K963</f>
        <v>309.69000000000005</v>
      </c>
      <c r="M963" s="1">
        <v>44378</v>
      </c>
      <c r="N963" s="1">
        <v>44378</v>
      </c>
      <c r="O963">
        <v>962</v>
      </c>
      <c r="P963">
        <v>2</v>
      </c>
      <c r="Q963" t="s">
        <v>43</v>
      </c>
      <c r="R963" s="3">
        <v>0.05</v>
      </c>
      <c r="S963" s="2">
        <v>156.56550000000001</v>
      </c>
      <c r="T963">
        <v>3</v>
      </c>
      <c r="U963" t="str">
        <f t="shared" ref="U963:U1013" si="47">PROPER(TEXT(B963,"mmmm"))</f>
        <v>Junho</v>
      </c>
    </row>
    <row r="964" spans="1:21">
      <c r="A964">
        <v>963</v>
      </c>
      <c r="B964" s="1">
        <v>44350</v>
      </c>
      <c r="C964" s="1" t="str">
        <f t="shared" si="45"/>
        <v>junho</v>
      </c>
      <c r="D964">
        <v>43</v>
      </c>
      <c r="E964" t="s">
        <v>99</v>
      </c>
      <c r="F964" t="s">
        <v>41</v>
      </c>
      <c r="G964" s="8">
        <v>42</v>
      </c>
      <c r="H964" s="2">
        <v>91</v>
      </c>
      <c r="I964" s="2">
        <v>3822</v>
      </c>
      <c r="J964" s="4">
        <v>7.0000000000000007E-2</v>
      </c>
      <c r="K964" s="2">
        <v>3554.46</v>
      </c>
      <c r="L964" s="2">
        <f t="shared" si="46"/>
        <v>267.53999999999996</v>
      </c>
      <c r="M964" s="1">
        <v>44376</v>
      </c>
      <c r="N964" s="1">
        <v>44376</v>
      </c>
      <c r="O964">
        <v>963</v>
      </c>
      <c r="P964">
        <v>1</v>
      </c>
      <c r="Q964" t="s">
        <v>43</v>
      </c>
      <c r="R964" s="3">
        <v>0.1</v>
      </c>
      <c r="S964" s="2">
        <v>355.44600000000003</v>
      </c>
      <c r="T964">
        <v>4</v>
      </c>
      <c r="U964" t="str">
        <f t="shared" si="47"/>
        <v>Junho</v>
      </c>
    </row>
    <row r="965" spans="1:21">
      <c r="A965">
        <v>964</v>
      </c>
      <c r="B965" s="1">
        <v>44350</v>
      </c>
      <c r="C965" s="1" t="str">
        <f t="shared" si="45"/>
        <v>junho</v>
      </c>
      <c r="D965">
        <v>25</v>
      </c>
      <c r="E965" t="s">
        <v>63</v>
      </c>
      <c r="F965" t="s">
        <v>41</v>
      </c>
      <c r="G965" s="8">
        <v>20</v>
      </c>
      <c r="H965" s="2">
        <v>94</v>
      </c>
      <c r="I965" s="2">
        <v>1880</v>
      </c>
      <c r="J965" s="4">
        <v>0.08</v>
      </c>
      <c r="K965" s="2">
        <v>1729.6</v>
      </c>
      <c r="L965" s="2">
        <f t="shared" si="46"/>
        <v>150.40000000000009</v>
      </c>
      <c r="M965" s="1">
        <v>44368</v>
      </c>
      <c r="N965" s="1">
        <v>44368</v>
      </c>
      <c r="O965">
        <v>964</v>
      </c>
      <c r="P965">
        <v>1</v>
      </c>
      <c r="Q965" t="s">
        <v>34</v>
      </c>
      <c r="R965" s="3">
        <v>0.08</v>
      </c>
      <c r="S965" s="2">
        <v>138.36799999999999</v>
      </c>
      <c r="T965">
        <v>5</v>
      </c>
      <c r="U965" t="str">
        <f t="shared" si="47"/>
        <v>Junho</v>
      </c>
    </row>
    <row r="966" spans="1:21">
      <c r="A966">
        <v>965</v>
      </c>
      <c r="B966" s="1">
        <v>44351</v>
      </c>
      <c r="C966" s="1" t="str">
        <f t="shared" si="45"/>
        <v>junho</v>
      </c>
      <c r="D966">
        <v>67</v>
      </c>
      <c r="E966" t="s">
        <v>106</v>
      </c>
      <c r="F966" t="s">
        <v>31</v>
      </c>
      <c r="G966" s="8">
        <v>21</v>
      </c>
      <c r="H966" s="2">
        <v>114</v>
      </c>
      <c r="I966" s="2">
        <v>2394</v>
      </c>
      <c r="J966" s="4">
        <v>0.09</v>
      </c>
      <c r="K966" s="2">
        <v>2178.54</v>
      </c>
      <c r="L966" s="2">
        <f t="shared" si="46"/>
        <v>215.46000000000004</v>
      </c>
      <c r="M966" s="1">
        <v>44362</v>
      </c>
      <c r="N966" s="1">
        <v>44362</v>
      </c>
      <c r="O966">
        <v>965</v>
      </c>
      <c r="P966">
        <v>6</v>
      </c>
      <c r="Q966" t="s">
        <v>22</v>
      </c>
      <c r="R966" s="3">
        <v>0.1</v>
      </c>
      <c r="S966" s="2">
        <v>217.85400000000001</v>
      </c>
      <c r="T966">
        <v>6</v>
      </c>
      <c r="U966" t="str">
        <f t="shared" si="47"/>
        <v>Junho</v>
      </c>
    </row>
    <row r="967" spans="1:21">
      <c r="A967">
        <v>966</v>
      </c>
      <c r="B967" s="1">
        <v>44352</v>
      </c>
      <c r="C967" s="1" t="str">
        <f t="shared" si="45"/>
        <v>junho</v>
      </c>
      <c r="D967">
        <v>3</v>
      </c>
      <c r="E967" t="s">
        <v>91</v>
      </c>
      <c r="F967" t="s">
        <v>59</v>
      </c>
      <c r="G967" s="8">
        <v>35</v>
      </c>
      <c r="H967" s="2">
        <v>114</v>
      </c>
      <c r="I967" s="2">
        <v>3990</v>
      </c>
      <c r="J967" s="4">
        <v>0.02</v>
      </c>
      <c r="K967" s="2">
        <v>3910.2</v>
      </c>
      <c r="L967" s="2">
        <f t="shared" si="46"/>
        <v>79.800000000000182</v>
      </c>
      <c r="M967" s="1">
        <v>44364</v>
      </c>
      <c r="N967" s="1">
        <v>44364</v>
      </c>
      <c r="O967">
        <v>966</v>
      </c>
      <c r="P967">
        <v>6</v>
      </c>
      <c r="Q967" t="s">
        <v>22</v>
      </c>
      <c r="R967" s="3">
        <v>0.05</v>
      </c>
      <c r="S967" s="2">
        <v>195.51</v>
      </c>
      <c r="T967">
        <v>7</v>
      </c>
      <c r="U967" t="str">
        <f t="shared" si="47"/>
        <v>Junho</v>
      </c>
    </row>
    <row r="968" spans="1:21">
      <c r="A968">
        <v>967</v>
      </c>
      <c r="B968" s="1">
        <v>44352</v>
      </c>
      <c r="C968" s="1" t="str">
        <f t="shared" si="45"/>
        <v>junho</v>
      </c>
      <c r="D968">
        <v>57</v>
      </c>
      <c r="E968" t="s">
        <v>89</v>
      </c>
      <c r="F968" t="s">
        <v>55</v>
      </c>
      <c r="G968" s="8">
        <v>14</v>
      </c>
      <c r="H968" s="2">
        <v>91</v>
      </c>
      <c r="I968" s="2">
        <v>1274</v>
      </c>
      <c r="J968" s="4">
        <v>0.15</v>
      </c>
      <c r="K968" s="2">
        <v>1082.9000000000001</v>
      </c>
      <c r="L968" s="2">
        <f t="shared" si="46"/>
        <v>191.09999999999991</v>
      </c>
      <c r="M968" s="1">
        <v>44378</v>
      </c>
      <c r="N968" s="1">
        <v>44378</v>
      </c>
      <c r="O968">
        <v>967</v>
      </c>
      <c r="P968">
        <v>1</v>
      </c>
      <c r="Q968" t="s">
        <v>29</v>
      </c>
      <c r="R968" s="3">
        <v>0.08</v>
      </c>
      <c r="S968" s="2">
        <v>86.632000000000005</v>
      </c>
      <c r="T968">
        <v>1</v>
      </c>
      <c r="U968" t="str">
        <f t="shared" si="47"/>
        <v>Junho</v>
      </c>
    </row>
    <row r="969" spans="1:21">
      <c r="A969">
        <v>968</v>
      </c>
      <c r="B969" s="1">
        <v>44352</v>
      </c>
      <c r="C969" s="1" t="str">
        <f t="shared" si="45"/>
        <v>junho</v>
      </c>
      <c r="D969">
        <v>19</v>
      </c>
      <c r="E969" t="s">
        <v>38</v>
      </c>
      <c r="F969" t="s">
        <v>28</v>
      </c>
      <c r="G969" s="8">
        <v>40</v>
      </c>
      <c r="H969" s="2">
        <v>105</v>
      </c>
      <c r="I969" s="2">
        <v>4200</v>
      </c>
      <c r="J969" s="4">
        <v>7.0000000000000007E-2</v>
      </c>
      <c r="K969" s="2">
        <v>3906</v>
      </c>
      <c r="L969" s="2">
        <f t="shared" si="46"/>
        <v>294</v>
      </c>
      <c r="M969" s="1">
        <v>44370</v>
      </c>
      <c r="N969" s="1">
        <v>44370</v>
      </c>
      <c r="O969">
        <v>968</v>
      </c>
      <c r="P969">
        <v>4</v>
      </c>
      <c r="Q969" t="s">
        <v>32</v>
      </c>
      <c r="R969" s="3">
        <v>0.05</v>
      </c>
      <c r="S969" s="2">
        <v>195.3</v>
      </c>
      <c r="T969">
        <v>2</v>
      </c>
      <c r="U969" t="str">
        <f t="shared" si="47"/>
        <v>Junho</v>
      </c>
    </row>
    <row r="970" spans="1:21">
      <c r="A970">
        <v>969</v>
      </c>
      <c r="B970" s="1">
        <v>44352</v>
      </c>
      <c r="C970" s="1" t="str">
        <f t="shared" si="45"/>
        <v>junho</v>
      </c>
      <c r="D970">
        <v>51</v>
      </c>
      <c r="E970" t="s">
        <v>53</v>
      </c>
      <c r="F970" t="s">
        <v>54</v>
      </c>
      <c r="G970" s="8">
        <v>50</v>
      </c>
      <c r="H970" s="2">
        <v>102</v>
      </c>
      <c r="I970" s="2">
        <v>5100</v>
      </c>
      <c r="J970" s="4">
        <v>0.14000000000000001</v>
      </c>
      <c r="K970" s="2">
        <v>4386</v>
      </c>
      <c r="L970" s="2">
        <f t="shared" si="46"/>
        <v>714</v>
      </c>
      <c r="M970" s="1">
        <v>44365</v>
      </c>
      <c r="N970" s="1">
        <v>44365</v>
      </c>
      <c r="O970">
        <v>969</v>
      </c>
      <c r="P970">
        <v>7</v>
      </c>
      <c r="Q970" t="s">
        <v>37</v>
      </c>
      <c r="R970" s="3">
        <v>0.06</v>
      </c>
      <c r="S970" s="2">
        <v>263.15999999999997</v>
      </c>
      <c r="T970">
        <v>3</v>
      </c>
      <c r="U970" t="str">
        <f t="shared" si="47"/>
        <v>Junho</v>
      </c>
    </row>
    <row r="971" spans="1:21">
      <c r="A971">
        <v>970</v>
      </c>
      <c r="B971" s="1">
        <v>44353</v>
      </c>
      <c r="C971" s="1" t="str">
        <f t="shared" si="45"/>
        <v>junho</v>
      </c>
      <c r="D971">
        <v>1</v>
      </c>
      <c r="E971" t="s">
        <v>93</v>
      </c>
      <c r="F971" t="s">
        <v>31</v>
      </c>
      <c r="G971" s="8">
        <v>32</v>
      </c>
      <c r="H971" s="2">
        <v>114</v>
      </c>
      <c r="I971" s="2">
        <v>3648</v>
      </c>
      <c r="J971" s="4">
        <v>0.06</v>
      </c>
      <c r="K971" s="2">
        <v>3429.12</v>
      </c>
      <c r="L971" s="2">
        <f t="shared" si="46"/>
        <v>218.88000000000011</v>
      </c>
      <c r="M971" s="1">
        <v>44354</v>
      </c>
      <c r="N971" s="1">
        <v>44354</v>
      </c>
      <c r="O971">
        <v>970</v>
      </c>
      <c r="P971">
        <v>4</v>
      </c>
      <c r="Q971" t="s">
        <v>47</v>
      </c>
      <c r="R971" s="3">
        <v>0.05</v>
      </c>
      <c r="S971" s="2">
        <v>171.45600000000002</v>
      </c>
      <c r="T971">
        <v>4</v>
      </c>
      <c r="U971" t="str">
        <f t="shared" si="47"/>
        <v>Junho</v>
      </c>
    </row>
    <row r="972" spans="1:21">
      <c r="A972">
        <v>971</v>
      </c>
      <c r="B972" s="1">
        <v>44354</v>
      </c>
      <c r="C972" s="1" t="str">
        <f t="shared" si="45"/>
        <v>junho</v>
      </c>
      <c r="D972">
        <v>19</v>
      </c>
      <c r="E972" t="s">
        <v>38</v>
      </c>
      <c r="F972" t="s">
        <v>31</v>
      </c>
      <c r="G972" s="8">
        <v>48</v>
      </c>
      <c r="H972" s="2">
        <v>107</v>
      </c>
      <c r="I972" s="2">
        <v>5136</v>
      </c>
      <c r="J972" s="4">
        <v>0.04</v>
      </c>
      <c r="K972" s="2">
        <v>4930.5600000000004</v>
      </c>
      <c r="L972" s="2">
        <f t="shared" si="46"/>
        <v>205.4399999999996</v>
      </c>
      <c r="M972" s="1">
        <v>44377</v>
      </c>
      <c r="N972" s="1">
        <v>44377</v>
      </c>
      <c r="O972">
        <v>971</v>
      </c>
      <c r="P972">
        <v>7</v>
      </c>
      <c r="Q972" t="s">
        <v>32</v>
      </c>
      <c r="R972" s="3">
        <v>0.08</v>
      </c>
      <c r="S972" s="2">
        <v>394.44480000000004</v>
      </c>
      <c r="T972">
        <v>5</v>
      </c>
      <c r="U972" t="str">
        <f t="shared" si="47"/>
        <v>Junho</v>
      </c>
    </row>
    <row r="973" spans="1:21">
      <c r="A973">
        <v>972</v>
      </c>
      <c r="B973" s="1">
        <v>44354</v>
      </c>
      <c r="C973" s="1" t="str">
        <f t="shared" si="45"/>
        <v>junho</v>
      </c>
      <c r="D973">
        <v>33</v>
      </c>
      <c r="E973" t="s">
        <v>76</v>
      </c>
      <c r="F973" t="s">
        <v>46</v>
      </c>
      <c r="G973" s="8">
        <v>23</v>
      </c>
      <c r="H973" s="2">
        <v>116</v>
      </c>
      <c r="I973" s="2">
        <v>2668</v>
      </c>
      <c r="J973" s="4">
        <v>0.08</v>
      </c>
      <c r="K973" s="2">
        <v>2454.56</v>
      </c>
      <c r="L973" s="2">
        <f t="shared" si="46"/>
        <v>213.44000000000005</v>
      </c>
      <c r="M973" s="1">
        <v>44379</v>
      </c>
      <c r="N973" s="1">
        <v>44379</v>
      </c>
      <c r="O973">
        <v>972</v>
      </c>
      <c r="P973">
        <v>6</v>
      </c>
      <c r="Q973" t="s">
        <v>25</v>
      </c>
      <c r="R973" s="3">
        <v>0.08</v>
      </c>
      <c r="S973" s="2">
        <v>196.3648</v>
      </c>
      <c r="T973">
        <v>6</v>
      </c>
      <c r="U973" t="str">
        <f t="shared" si="47"/>
        <v>Junho</v>
      </c>
    </row>
    <row r="974" spans="1:21">
      <c r="A974">
        <v>973</v>
      </c>
      <c r="B974" s="1">
        <v>44354</v>
      </c>
      <c r="C974" s="1" t="str">
        <f t="shared" si="45"/>
        <v>junho</v>
      </c>
      <c r="D974">
        <v>22</v>
      </c>
      <c r="E974" t="s">
        <v>51</v>
      </c>
      <c r="F974" t="s">
        <v>31</v>
      </c>
      <c r="G974" s="8">
        <v>33</v>
      </c>
      <c r="H974" s="2">
        <v>103</v>
      </c>
      <c r="I974" s="2">
        <v>3399</v>
      </c>
      <c r="J974" s="4">
        <v>0.08</v>
      </c>
      <c r="K974" s="2">
        <v>3127.08</v>
      </c>
      <c r="L974" s="2">
        <f t="shared" si="46"/>
        <v>271.92000000000007</v>
      </c>
      <c r="M974" s="1">
        <v>44373</v>
      </c>
      <c r="N974" s="1">
        <v>44373</v>
      </c>
      <c r="O974">
        <v>973</v>
      </c>
      <c r="P974">
        <v>7</v>
      </c>
      <c r="Q974" t="s">
        <v>34</v>
      </c>
      <c r="R974" s="3">
        <v>0.1</v>
      </c>
      <c r="S974" s="2">
        <v>312.70800000000003</v>
      </c>
      <c r="T974">
        <v>7</v>
      </c>
      <c r="U974" t="str">
        <f t="shared" si="47"/>
        <v>Junho</v>
      </c>
    </row>
    <row r="975" spans="1:21">
      <c r="A975">
        <v>974</v>
      </c>
      <c r="B975" s="1">
        <v>44354</v>
      </c>
      <c r="C975" s="1" t="str">
        <f t="shared" si="45"/>
        <v>junho</v>
      </c>
      <c r="D975">
        <v>84</v>
      </c>
      <c r="E975" t="s">
        <v>44</v>
      </c>
      <c r="F975" t="s">
        <v>46</v>
      </c>
      <c r="G975" s="8">
        <v>15</v>
      </c>
      <c r="H975" s="2">
        <v>120</v>
      </c>
      <c r="I975" s="2">
        <v>1800</v>
      </c>
      <c r="J975" s="4">
        <v>0.08</v>
      </c>
      <c r="K975" s="2">
        <v>1656</v>
      </c>
      <c r="L975" s="2">
        <f t="shared" si="46"/>
        <v>144</v>
      </c>
      <c r="M975" s="1">
        <v>44365</v>
      </c>
      <c r="N975" s="1">
        <v>44365</v>
      </c>
      <c r="O975">
        <v>974</v>
      </c>
      <c r="P975">
        <v>3</v>
      </c>
      <c r="Q975" t="s">
        <v>22</v>
      </c>
      <c r="R975" s="3">
        <v>0.08</v>
      </c>
      <c r="S975" s="2">
        <v>132.47999999999999</v>
      </c>
      <c r="T975">
        <v>1</v>
      </c>
      <c r="U975" t="str">
        <f t="shared" si="47"/>
        <v>Junho</v>
      </c>
    </row>
    <row r="976" spans="1:21">
      <c r="A976">
        <v>975</v>
      </c>
      <c r="B976" s="1">
        <v>44354</v>
      </c>
      <c r="C976" s="1" t="str">
        <f t="shared" si="45"/>
        <v>junho</v>
      </c>
      <c r="D976">
        <v>89</v>
      </c>
      <c r="E976" t="s">
        <v>49</v>
      </c>
      <c r="F976" t="s">
        <v>28</v>
      </c>
      <c r="G976" s="8">
        <v>34</v>
      </c>
      <c r="H976" s="2">
        <v>101</v>
      </c>
      <c r="I976" s="2">
        <v>3434</v>
      </c>
      <c r="J976" s="4">
        <v>0.11</v>
      </c>
      <c r="K976" s="2">
        <v>3056.26</v>
      </c>
      <c r="L976" s="2">
        <f t="shared" si="46"/>
        <v>377.73999999999978</v>
      </c>
      <c r="M976" s="1">
        <v>44372</v>
      </c>
      <c r="N976" s="1">
        <v>44372</v>
      </c>
      <c r="O976">
        <v>975</v>
      </c>
      <c r="P976">
        <v>1</v>
      </c>
      <c r="Q976" t="s">
        <v>69</v>
      </c>
      <c r="R976" s="3">
        <v>0.09</v>
      </c>
      <c r="S976" s="2">
        <v>275.0634</v>
      </c>
      <c r="T976">
        <v>2</v>
      </c>
      <c r="U976" t="str">
        <f t="shared" si="47"/>
        <v>Junho</v>
      </c>
    </row>
    <row r="977" spans="1:21">
      <c r="A977">
        <v>976</v>
      </c>
      <c r="B977" s="1">
        <v>44354</v>
      </c>
      <c r="C977" s="1" t="str">
        <f t="shared" si="45"/>
        <v>junho</v>
      </c>
      <c r="D977">
        <v>43</v>
      </c>
      <c r="E977" t="s">
        <v>99</v>
      </c>
      <c r="F977" t="s">
        <v>55</v>
      </c>
      <c r="G977" s="8">
        <v>35</v>
      </c>
      <c r="H977" s="2">
        <v>91</v>
      </c>
      <c r="I977" s="2">
        <v>3185</v>
      </c>
      <c r="J977" s="4">
        <v>0.02</v>
      </c>
      <c r="K977" s="2">
        <v>3121.3</v>
      </c>
      <c r="L977" s="2">
        <f t="shared" si="46"/>
        <v>63.699999999999818</v>
      </c>
      <c r="M977" s="1">
        <v>44380</v>
      </c>
      <c r="N977" s="1">
        <v>44380</v>
      </c>
      <c r="O977">
        <v>976</v>
      </c>
      <c r="P977">
        <v>3</v>
      </c>
      <c r="Q977" t="s">
        <v>32</v>
      </c>
      <c r="R977" s="3">
        <v>7.0000000000000007E-2</v>
      </c>
      <c r="S977" s="2">
        <v>218.49100000000004</v>
      </c>
      <c r="T977">
        <v>3</v>
      </c>
      <c r="U977" t="str">
        <f t="shared" si="47"/>
        <v>Junho</v>
      </c>
    </row>
    <row r="978" spans="1:21">
      <c r="A978">
        <v>977</v>
      </c>
      <c r="B978" s="1">
        <v>44355</v>
      </c>
      <c r="C978" s="1" t="str">
        <f t="shared" si="45"/>
        <v>junho</v>
      </c>
      <c r="D978">
        <v>26</v>
      </c>
      <c r="E978" t="s">
        <v>95</v>
      </c>
      <c r="F978" t="s">
        <v>28</v>
      </c>
      <c r="G978" s="8">
        <v>23</v>
      </c>
      <c r="H978" s="2">
        <v>114</v>
      </c>
      <c r="I978" s="2">
        <v>2622</v>
      </c>
      <c r="J978" s="4">
        <v>0.11</v>
      </c>
      <c r="K978" s="2">
        <v>2333.58</v>
      </c>
      <c r="L978" s="2">
        <f t="shared" si="46"/>
        <v>288.42000000000007</v>
      </c>
      <c r="M978" s="1">
        <v>44357</v>
      </c>
      <c r="N978" s="1">
        <v>44357</v>
      </c>
      <c r="O978">
        <v>977</v>
      </c>
      <c r="P978">
        <v>2</v>
      </c>
      <c r="Q978" t="s">
        <v>69</v>
      </c>
      <c r="R978" s="3">
        <v>0.06</v>
      </c>
      <c r="S978" s="2">
        <v>140.01479999999998</v>
      </c>
      <c r="T978">
        <v>4</v>
      </c>
      <c r="U978" t="str">
        <f t="shared" si="47"/>
        <v>Junho</v>
      </c>
    </row>
    <row r="979" spans="1:21">
      <c r="A979">
        <v>978</v>
      </c>
      <c r="B979" s="1">
        <v>44355</v>
      </c>
      <c r="C979" s="1" t="str">
        <f t="shared" si="45"/>
        <v>junho</v>
      </c>
      <c r="D979">
        <v>71</v>
      </c>
      <c r="E979" t="s">
        <v>20</v>
      </c>
      <c r="F979" t="s">
        <v>46</v>
      </c>
      <c r="G979" s="8">
        <v>29</v>
      </c>
      <c r="H979" s="2">
        <v>106</v>
      </c>
      <c r="I979" s="2">
        <v>3074</v>
      </c>
      <c r="J979" s="4">
        <v>0.11</v>
      </c>
      <c r="K979" s="2">
        <v>2735.86</v>
      </c>
      <c r="L979" s="2">
        <f t="shared" si="46"/>
        <v>338.13999999999987</v>
      </c>
      <c r="M979" s="1">
        <v>44355</v>
      </c>
      <c r="N979" s="1">
        <v>44355</v>
      </c>
      <c r="O979">
        <v>978</v>
      </c>
      <c r="P979">
        <v>5</v>
      </c>
      <c r="Q979" t="s">
        <v>25</v>
      </c>
      <c r="R979" s="3">
        <v>7.0000000000000007E-2</v>
      </c>
      <c r="S979" s="2">
        <v>191.51020000000003</v>
      </c>
      <c r="T979">
        <v>5</v>
      </c>
      <c r="U979" t="str">
        <f t="shared" si="47"/>
        <v>Junho</v>
      </c>
    </row>
    <row r="980" spans="1:21">
      <c r="A980">
        <v>979</v>
      </c>
      <c r="B980" s="1">
        <v>44355</v>
      </c>
      <c r="C980" s="1" t="str">
        <f t="shared" si="45"/>
        <v>junho</v>
      </c>
      <c r="D980">
        <v>76</v>
      </c>
      <c r="E980" t="s">
        <v>104</v>
      </c>
      <c r="F980" t="s">
        <v>50</v>
      </c>
      <c r="G980" s="8">
        <v>29</v>
      </c>
      <c r="H980" s="2">
        <v>117</v>
      </c>
      <c r="I980" s="2">
        <v>3393</v>
      </c>
      <c r="J980" s="4">
        <v>0.03</v>
      </c>
      <c r="K980" s="2">
        <v>3291.21</v>
      </c>
      <c r="L980" s="2">
        <f t="shared" si="46"/>
        <v>101.78999999999996</v>
      </c>
      <c r="M980" s="1">
        <v>44355</v>
      </c>
      <c r="N980" s="1">
        <v>44355</v>
      </c>
      <c r="O980">
        <v>979</v>
      </c>
      <c r="P980">
        <v>4</v>
      </c>
      <c r="Q980" t="s">
        <v>37</v>
      </c>
      <c r="R980" s="3">
        <v>0.05</v>
      </c>
      <c r="S980" s="2">
        <v>164.56050000000002</v>
      </c>
      <c r="T980">
        <v>6</v>
      </c>
      <c r="U980" t="str">
        <f t="shared" si="47"/>
        <v>Junho</v>
      </c>
    </row>
    <row r="981" spans="1:21">
      <c r="A981">
        <v>980</v>
      </c>
      <c r="B981" s="1">
        <v>44356</v>
      </c>
      <c r="C981" s="1" t="str">
        <f t="shared" si="45"/>
        <v>junho</v>
      </c>
      <c r="D981">
        <v>58</v>
      </c>
      <c r="E981" t="s">
        <v>72</v>
      </c>
      <c r="F981" t="s">
        <v>46</v>
      </c>
      <c r="G981" s="8">
        <v>20</v>
      </c>
      <c r="H981" s="2">
        <v>96</v>
      </c>
      <c r="I981" s="2">
        <v>1920</v>
      </c>
      <c r="J981" s="4">
        <v>0.08</v>
      </c>
      <c r="K981" s="2">
        <v>1766.4</v>
      </c>
      <c r="L981" s="2">
        <f t="shared" si="46"/>
        <v>153.59999999999991</v>
      </c>
      <c r="M981" s="1">
        <v>44375</v>
      </c>
      <c r="N981" s="1">
        <v>44375</v>
      </c>
      <c r="O981">
        <v>980</v>
      </c>
      <c r="P981">
        <v>7</v>
      </c>
      <c r="Q981" t="s">
        <v>34</v>
      </c>
      <c r="R981" s="3">
        <v>0.08</v>
      </c>
      <c r="S981" s="2">
        <v>141.31200000000001</v>
      </c>
      <c r="T981">
        <v>7</v>
      </c>
      <c r="U981" t="str">
        <f t="shared" si="47"/>
        <v>Junho</v>
      </c>
    </row>
    <row r="982" spans="1:21">
      <c r="A982">
        <v>981</v>
      </c>
      <c r="B982" s="1">
        <v>44358</v>
      </c>
      <c r="C982" s="1" t="str">
        <f t="shared" si="45"/>
        <v>junho</v>
      </c>
      <c r="D982">
        <v>70</v>
      </c>
      <c r="E982" t="s">
        <v>67</v>
      </c>
      <c r="F982" t="s">
        <v>21</v>
      </c>
      <c r="G982" s="8">
        <v>41</v>
      </c>
      <c r="H982" s="2">
        <v>102</v>
      </c>
      <c r="I982" s="2">
        <v>4182</v>
      </c>
      <c r="J982" s="4">
        <v>0.15</v>
      </c>
      <c r="K982" s="2">
        <v>3554.7</v>
      </c>
      <c r="L982" s="2">
        <f t="shared" si="46"/>
        <v>627.30000000000018</v>
      </c>
      <c r="M982" s="1">
        <v>44366</v>
      </c>
      <c r="N982" s="1">
        <v>44366</v>
      </c>
      <c r="O982">
        <v>981</v>
      </c>
      <c r="P982">
        <v>6</v>
      </c>
      <c r="Q982" t="s">
        <v>47</v>
      </c>
      <c r="R982" s="3">
        <v>0.05</v>
      </c>
      <c r="S982" s="2">
        <v>177.73500000000001</v>
      </c>
      <c r="T982">
        <v>1</v>
      </c>
      <c r="U982" t="str">
        <f t="shared" si="47"/>
        <v>Junho</v>
      </c>
    </row>
    <row r="983" spans="1:21">
      <c r="A983">
        <v>982</v>
      </c>
      <c r="B983" s="1">
        <v>44358</v>
      </c>
      <c r="C983" s="1" t="str">
        <f t="shared" si="45"/>
        <v>junho</v>
      </c>
      <c r="D983">
        <v>34</v>
      </c>
      <c r="E983" t="s">
        <v>58</v>
      </c>
      <c r="F983" t="s">
        <v>59</v>
      </c>
      <c r="G983" s="8">
        <v>38</v>
      </c>
      <c r="H983" s="2">
        <v>97</v>
      </c>
      <c r="I983" s="2">
        <v>3686</v>
      </c>
      <c r="J983" s="4">
        <v>7.0000000000000007E-2</v>
      </c>
      <c r="K983" s="2">
        <v>3427.98</v>
      </c>
      <c r="L983" s="2">
        <f t="shared" si="46"/>
        <v>258.02</v>
      </c>
      <c r="M983" s="1">
        <v>44364</v>
      </c>
      <c r="N983" s="1">
        <v>44364</v>
      </c>
      <c r="O983">
        <v>982</v>
      </c>
      <c r="P983">
        <v>1</v>
      </c>
      <c r="Q983" t="s">
        <v>37</v>
      </c>
      <c r="R983" s="3">
        <v>7.0000000000000007E-2</v>
      </c>
      <c r="S983" s="2">
        <v>239.95860000000002</v>
      </c>
      <c r="T983">
        <v>2</v>
      </c>
      <c r="U983" t="str">
        <f t="shared" si="47"/>
        <v>Junho</v>
      </c>
    </row>
    <row r="984" spans="1:21">
      <c r="A984">
        <v>983</v>
      </c>
      <c r="B984" s="1">
        <v>44358</v>
      </c>
      <c r="C984" s="1" t="str">
        <f t="shared" si="45"/>
        <v>junho</v>
      </c>
      <c r="D984">
        <v>72</v>
      </c>
      <c r="E984" t="s">
        <v>38</v>
      </c>
      <c r="F984" t="s">
        <v>55</v>
      </c>
      <c r="G984" s="8">
        <v>25</v>
      </c>
      <c r="H984" s="2">
        <v>91</v>
      </c>
      <c r="I984" s="2">
        <v>2275</v>
      </c>
      <c r="J984" s="4">
        <v>7.0000000000000007E-2</v>
      </c>
      <c r="K984" s="2">
        <v>2115.75</v>
      </c>
      <c r="L984" s="2">
        <f t="shared" si="46"/>
        <v>159.25</v>
      </c>
      <c r="M984" s="1">
        <v>44373</v>
      </c>
      <c r="N984" s="1">
        <v>44373</v>
      </c>
      <c r="O984">
        <v>983</v>
      </c>
      <c r="P984">
        <v>1</v>
      </c>
      <c r="Q984" t="s">
        <v>25</v>
      </c>
      <c r="R984" s="3">
        <v>0.05</v>
      </c>
      <c r="S984" s="2">
        <v>105.78750000000001</v>
      </c>
      <c r="T984">
        <v>3</v>
      </c>
      <c r="U984" t="str">
        <f t="shared" si="47"/>
        <v>Junho</v>
      </c>
    </row>
    <row r="985" spans="1:21">
      <c r="A985">
        <v>984</v>
      </c>
      <c r="B985" s="1">
        <v>44358</v>
      </c>
      <c r="C985" s="1" t="str">
        <f t="shared" si="45"/>
        <v>junho</v>
      </c>
      <c r="D985">
        <v>74</v>
      </c>
      <c r="E985" t="s">
        <v>38</v>
      </c>
      <c r="F985" t="s">
        <v>31</v>
      </c>
      <c r="G985" s="8">
        <v>13</v>
      </c>
      <c r="H985" s="2">
        <v>115</v>
      </c>
      <c r="I985" s="2">
        <v>1495</v>
      </c>
      <c r="J985" s="4">
        <v>0.04</v>
      </c>
      <c r="K985" s="2">
        <v>1435.2</v>
      </c>
      <c r="L985" s="2">
        <f t="shared" si="46"/>
        <v>59.799999999999955</v>
      </c>
      <c r="M985" s="1">
        <v>44373</v>
      </c>
      <c r="N985" s="1">
        <v>44373</v>
      </c>
      <c r="O985">
        <v>984</v>
      </c>
      <c r="P985">
        <v>4</v>
      </c>
      <c r="Q985" t="s">
        <v>52</v>
      </c>
      <c r="R985" s="3">
        <v>0.05</v>
      </c>
      <c r="S985" s="2">
        <v>71.760000000000005</v>
      </c>
      <c r="T985">
        <v>4</v>
      </c>
      <c r="U985" t="str">
        <f t="shared" si="47"/>
        <v>Junho</v>
      </c>
    </row>
    <row r="986" spans="1:21">
      <c r="A986">
        <v>985</v>
      </c>
      <c r="B986" s="1">
        <v>44358</v>
      </c>
      <c r="C986" s="1" t="str">
        <f t="shared" si="45"/>
        <v>junho</v>
      </c>
      <c r="D986">
        <v>44</v>
      </c>
      <c r="E986" t="s">
        <v>71</v>
      </c>
      <c r="F986" t="s">
        <v>54</v>
      </c>
      <c r="G986" s="8">
        <v>26</v>
      </c>
      <c r="H986" s="2">
        <v>114</v>
      </c>
      <c r="I986" s="2">
        <v>2964</v>
      </c>
      <c r="J986" s="4">
        <v>0.09</v>
      </c>
      <c r="K986" s="2">
        <v>2697.24</v>
      </c>
      <c r="L986" s="2">
        <f t="shared" si="46"/>
        <v>266.76000000000022</v>
      </c>
      <c r="M986" s="1">
        <v>44366</v>
      </c>
      <c r="N986" s="1">
        <v>44366</v>
      </c>
      <c r="O986">
        <v>985</v>
      </c>
      <c r="P986">
        <v>6</v>
      </c>
      <c r="Q986" t="s">
        <v>52</v>
      </c>
      <c r="R986" s="3">
        <v>0.06</v>
      </c>
      <c r="S986" s="2">
        <v>161.83439999999999</v>
      </c>
      <c r="T986">
        <v>5</v>
      </c>
      <c r="U986" t="str">
        <f t="shared" si="47"/>
        <v>Junho</v>
      </c>
    </row>
    <row r="987" spans="1:21">
      <c r="A987">
        <v>986</v>
      </c>
      <c r="B987" s="1">
        <v>44358</v>
      </c>
      <c r="C987" s="1" t="str">
        <f t="shared" si="45"/>
        <v>junho</v>
      </c>
      <c r="D987">
        <v>47</v>
      </c>
      <c r="E987" t="s">
        <v>40</v>
      </c>
      <c r="F987" t="s">
        <v>24</v>
      </c>
      <c r="G987" s="8">
        <v>32</v>
      </c>
      <c r="H987" s="2">
        <v>98</v>
      </c>
      <c r="I987" s="2">
        <v>3136</v>
      </c>
      <c r="J987" s="4">
        <v>0.08</v>
      </c>
      <c r="K987" s="2">
        <v>2885.12</v>
      </c>
      <c r="L987" s="2">
        <f t="shared" si="46"/>
        <v>250.88000000000011</v>
      </c>
      <c r="M987" s="1">
        <v>44379</v>
      </c>
      <c r="N987" s="1">
        <v>44379</v>
      </c>
      <c r="O987">
        <v>986</v>
      </c>
      <c r="P987">
        <v>3</v>
      </c>
      <c r="Q987" t="s">
        <v>29</v>
      </c>
      <c r="R987" s="3">
        <v>7.0000000000000007E-2</v>
      </c>
      <c r="S987" s="2">
        <v>201.95840000000001</v>
      </c>
      <c r="T987">
        <v>6</v>
      </c>
      <c r="U987" t="str">
        <f t="shared" si="47"/>
        <v>Junho</v>
      </c>
    </row>
    <row r="988" spans="1:21">
      <c r="A988">
        <v>987</v>
      </c>
      <c r="B988" s="1">
        <v>44360</v>
      </c>
      <c r="C988" s="1" t="str">
        <f t="shared" si="45"/>
        <v>junho</v>
      </c>
      <c r="D988">
        <v>43</v>
      </c>
      <c r="E988" t="s">
        <v>99</v>
      </c>
      <c r="F988" t="s">
        <v>46</v>
      </c>
      <c r="G988" s="8">
        <v>15</v>
      </c>
      <c r="H988" s="2">
        <v>95</v>
      </c>
      <c r="I988" s="2">
        <v>1425</v>
      </c>
      <c r="J988" s="4">
        <v>0.11</v>
      </c>
      <c r="K988" s="2">
        <v>1268.25</v>
      </c>
      <c r="L988" s="2">
        <f t="shared" si="46"/>
        <v>156.75</v>
      </c>
      <c r="M988" s="1">
        <v>44387</v>
      </c>
      <c r="N988" s="1">
        <v>44387</v>
      </c>
      <c r="O988">
        <v>987</v>
      </c>
      <c r="P988">
        <v>2</v>
      </c>
      <c r="Q988" t="s">
        <v>25</v>
      </c>
      <c r="R988" s="3">
        <v>0.09</v>
      </c>
      <c r="S988" s="2">
        <v>114.1425</v>
      </c>
      <c r="T988">
        <v>7</v>
      </c>
      <c r="U988" t="str">
        <f t="shared" si="47"/>
        <v>Junho</v>
      </c>
    </row>
    <row r="989" spans="1:21">
      <c r="A989">
        <v>988</v>
      </c>
      <c r="B989" s="1">
        <v>44360</v>
      </c>
      <c r="C989" s="1" t="str">
        <f t="shared" si="45"/>
        <v>junho</v>
      </c>
      <c r="D989">
        <v>73</v>
      </c>
      <c r="E989" t="s">
        <v>38</v>
      </c>
      <c r="F989" t="s">
        <v>50</v>
      </c>
      <c r="G989" s="8">
        <v>30</v>
      </c>
      <c r="H989" s="2">
        <v>97</v>
      </c>
      <c r="I989" s="2">
        <v>2910</v>
      </c>
      <c r="J989" s="4">
        <v>0.09</v>
      </c>
      <c r="K989" s="2">
        <v>2648.1</v>
      </c>
      <c r="L989" s="2">
        <f t="shared" si="46"/>
        <v>261.90000000000009</v>
      </c>
      <c r="M989" s="1">
        <v>44385</v>
      </c>
      <c r="N989" s="1">
        <v>44385</v>
      </c>
      <c r="O989">
        <v>988</v>
      </c>
      <c r="P989">
        <v>3</v>
      </c>
      <c r="Q989" t="s">
        <v>22</v>
      </c>
      <c r="R989" s="3">
        <v>0.1</v>
      </c>
      <c r="S989" s="2">
        <v>264.81</v>
      </c>
      <c r="T989">
        <v>1</v>
      </c>
      <c r="U989" t="str">
        <f t="shared" si="47"/>
        <v>Junho</v>
      </c>
    </row>
    <row r="990" spans="1:21">
      <c r="A990">
        <v>989</v>
      </c>
      <c r="B990" s="1">
        <v>44361</v>
      </c>
      <c r="C990" s="1" t="str">
        <f t="shared" si="45"/>
        <v>junho</v>
      </c>
      <c r="D990">
        <v>93</v>
      </c>
      <c r="E990" t="s">
        <v>33</v>
      </c>
      <c r="F990" t="s">
        <v>24</v>
      </c>
      <c r="G990" s="8">
        <v>12</v>
      </c>
      <c r="H990" s="2">
        <v>96</v>
      </c>
      <c r="I990" s="2">
        <v>1152</v>
      </c>
      <c r="J990" s="4">
        <v>0.03</v>
      </c>
      <c r="K990" s="2">
        <v>1117.44</v>
      </c>
      <c r="L990" s="2">
        <f t="shared" si="46"/>
        <v>34.559999999999945</v>
      </c>
      <c r="M990" s="1">
        <v>44376</v>
      </c>
      <c r="N990" s="1">
        <v>44376</v>
      </c>
      <c r="O990">
        <v>989</v>
      </c>
      <c r="P990">
        <v>2</v>
      </c>
      <c r="Q990" t="s">
        <v>37</v>
      </c>
      <c r="R990" s="3">
        <v>0.06</v>
      </c>
      <c r="S990" s="2">
        <v>67.046400000000006</v>
      </c>
      <c r="T990">
        <v>2</v>
      </c>
      <c r="U990" t="str">
        <f t="shared" si="47"/>
        <v>Junho</v>
      </c>
    </row>
    <row r="991" spans="1:21">
      <c r="A991">
        <v>990</v>
      </c>
      <c r="B991" s="1">
        <v>44361</v>
      </c>
      <c r="C991" s="1" t="str">
        <f t="shared" si="45"/>
        <v>junho</v>
      </c>
      <c r="D991">
        <v>6</v>
      </c>
      <c r="E991" t="s">
        <v>88</v>
      </c>
      <c r="F991" t="s">
        <v>46</v>
      </c>
      <c r="G991" s="8">
        <v>36</v>
      </c>
      <c r="H991" s="2">
        <v>92</v>
      </c>
      <c r="I991" s="2">
        <v>3312</v>
      </c>
      <c r="J991" s="4">
        <v>0.15</v>
      </c>
      <c r="K991" s="2">
        <v>2815.2</v>
      </c>
      <c r="L991" s="2">
        <f t="shared" si="46"/>
        <v>496.80000000000018</v>
      </c>
      <c r="M991" s="1">
        <v>44390</v>
      </c>
      <c r="N991" s="1">
        <v>44390</v>
      </c>
      <c r="O991">
        <v>990</v>
      </c>
      <c r="P991">
        <v>7</v>
      </c>
      <c r="Q991" t="s">
        <v>37</v>
      </c>
      <c r="R991" s="3">
        <v>0.09</v>
      </c>
      <c r="S991" s="2">
        <v>253.36799999999997</v>
      </c>
      <c r="T991">
        <v>3</v>
      </c>
      <c r="U991" t="str">
        <f t="shared" si="47"/>
        <v>Junho</v>
      </c>
    </row>
    <row r="992" spans="1:21">
      <c r="A992">
        <v>991</v>
      </c>
      <c r="B992" s="1">
        <v>44362</v>
      </c>
      <c r="C992" s="1" t="str">
        <f t="shared" si="45"/>
        <v>junho</v>
      </c>
      <c r="D992">
        <v>11</v>
      </c>
      <c r="E992" t="s">
        <v>60</v>
      </c>
      <c r="F992" t="s">
        <v>31</v>
      </c>
      <c r="G992" s="8">
        <v>50</v>
      </c>
      <c r="H992" s="2">
        <v>118</v>
      </c>
      <c r="I992" s="2">
        <v>5900</v>
      </c>
      <c r="J992" s="4">
        <v>0.13</v>
      </c>
      <c r="K992" s="2">
        <v>5133</v>
      </c>
      <c r="L992" s="2">
        <f t="shared" si="46"/>
        <v>767</v>
      </c>
      <c r="M992" s="1">
        <v>44366</v>
      </c>
      <c r="N992" s="1">
        <v>44366</v>
      </c>
      <c r="O992">
        <v>991</v>
      </c>
      <c r="P992">
        <v>1</v>
      </c>
      <c r="Q992" t="s">
        <v>37</v>
      </c>
      <c r="R992" s="3">
        <v>0.09</v>
      </c>
      <c r="S992" s="2">
        <v>461.96999999999997</v>
      </c>
      <c r="T992">
        <v>4</v>
      </c>
      <c r="U992" t="str">
        <f t="shared" si="47"/>
        <v>Junho</v>
      </c>
    </row>
    <row r="993" spans="1:21">
      <c r="A993">
        <v>992</v>
      </c>
      <c r="B993" s="1">
        <v>44363</v>
      </c>
      <c r="C993" s="1" t="str">
        <f t="shared" si="45"/>
        <v>junho</v>
      </c>
      <c r="D993">
        <v>42</v>
      </c>
      <c r="E993" t="s">
        <v>92</v>
      </c>
      <c r="F993" t="s">
        <v>24</v>
      </c>
      <c r="G993" s="8">
        <v>12</v>
      </c>
      <c r="H993" s="2">
        <v>111</v>
      </c>
      <c r="I993" s="2">
        <v>1332</v>
      </c>
      <c r="J993" s="4">
        <v>0.11</v>
      </c>
      <c r="K993" s="2">
        <v>1185.48</v>
      </c>
      <c r="L993" s="2">
        <f t="shared" si="46"/>
        <v>146.51999999999998</v>
      </c>
      <c r="M993" s="1">
        <v>44366</v>
      </c>
      <c r="N993" s="1">
        <v>44366</v>
      </c>
      <c r="O993">
        <v>992</v>
      </c>
      <c r="P993">
        <v>7</v>
      </c>
      <c r="Q993" t="s">
        <v>34</v>
      </c>
      <c r="R993" s="3">
        <v>0.09</v>
      </c>
      <c r="S993" s="2">
        <v>106.6932</v>
      </c>
      <c r="T993">
        <v>5</v>
      </c>
      <c r="U993" t="str">
        <f t="shared" si="47"/>
        <v>Junho</v>
      </c>
    </row>
    <row r="994" spans="1:21">
      <c r="A994">
        <v>993</v>
      </c>
      <c r="B994" s="1">
        <v>44364</v>
      </c>
      <c r="C994" s="1" t="str">
        <f t="shared" si="45"/>
        <v>junho</v>
      </c>
      <c r="D994">
        <v>60</v>
      </c>
      <c r="E994" t="s">
        <v>82</v>
      </c>
      <c r="F994" t="s">
        <v>50</v>
      </c>
      <c r="G994" s="8">
        <v>24</v>
      </c>
      <c r="H994" s="2">
        <v>107</v>
      </c>
      <c r="I994" s="2">
        <v>2568</v>
      </c>
      <c r="J994" s="4">
        <v>0.05</v>
      </c>
      <c r="K994" s="2">
        <v>2439.6</v>
      </c>
      <c r="L994" s="2">
        <f t="shared" si="46"/>
        <v>128.40000000000009</v>
      </c>
      <c r="M994" s="1">
        <v>44365</v>
      </c>
      <c r="N994" s="1">
        <v>44365</v>
      </c>
      <c r="O994">
        <v>993</v>
      </c>
      <c r="P994">
        <v>7</v>
      </c>
      <c r="Q994" t="s">
        <v>69</v>
      </c>
      <c r="R994" s="3">
        <v>0.06</v>
      </c>
      <c r="S994" s="2">
        <v>146.37599999999998</v>
      </c>
      <c r="T994">
        <v>6</v>
      </c>
      <c r="U994" t="str">
        <f t="shared" si="47"/>
        <v>Junho</v>
      </c>
    </row>
    <row r="995" spans="1:21">
      <c r="A995">
        <v>994</v>
      </c>
      <c r="B995" s="1">
        <v>44364</v>
      </c>
      <c r="C995" s="1" t="str">
        <f t="shared" si="45"/>
        <v>junho</v>
      </c>
      <c r="D995">
        <v>79</v>
      </c>
      <c r="E995" t="s">
        <v>33</v>
      </c>
      <c r="F995" t="s">
        <v>24</v>
      </c>
      <c r="G995" s="8">
        <v>13</v>
      </c>
      <c r="H995" s="2">
        <v>117</v>
      </c>
      <c r="I995" s="2">
        <v>1521</v>
      </c>
      <c r="J995" s="4">
        <v>7.0000000000000007E-2</v>
      </c>
      <c r="K995" s="2">
        <v>1414.53</v>
      </c>
      <c r="L995" s="2">
        <f t="shared" si="46"/>
        <v>106.47000000000003</v>
      </c>
      <c r="M995" s="1">
        <v>44382</v>
      </c>
      <c r="N995" s="1">
        <v>44382</v>
      </c>
      <c r="O995">
        <v>994</v>
      </c>
      <c r="P995">
        <v>5</v>
      </c>
      <c r="Q995" t="s">
        <v>47</v>
      </c>
      <c r="R995" s="3">
        <v>0.08</v>
      </c>
      <c r="S995" s="2">
        <v>113.16240000000001</v>
      </c>
      <c r="T995">
        <v>7</v>
      </c>
      <c r="U995" t="str">
        <f t="shared" si="47"/>
        <v>Junho</v>
      </c>
    </row>
    <row r="996" spans="1:21">
      <c r="A996">
        <v>995</v>
      </c>
      <c r="B996" s="1">
        <v>44364</v>
      </c>
      <c r="C996" s="1" t="str">
        <f t="shared" si="45"/>
        <v>junho</v>
      </c>
      <c r="D996">
        <v>21</v>
      </c>
      <c r="E996" t="s">
        <v>87</v>
      </c>
      <c r="F996" t="s">
        <v>31</v>
      </c>
      <c r="G996" s="8">
        <v>14</v>
      </c>
      <c r="H996" s="2">
        <v>119</v>
      </c>
      <c r="I996" s="2">
        <v>1666</v>
      </c>
      <c r="J996" s="4">
        <v>0.13</v>
      </c>
      <c r="K996" s="2">
        <v>1449.42</v>
      </c>
      <c r="L996" s="2">
        <f t="shared" si="46"/>
        <v>216.57999999999993</v>
      </c>
      <c r="M996" s="1">
        <v>44374</v>
      </c>
      <c r="N996" s="1">
        <v>44374</v>
      </c>
      <c r="O996">
        <v>995</v>
      </c>
      <c r="P996">
        <v>5</v>
      </c>
      <c r="Q996" t="s">
        <v>37</v>
      </c>
      <c r="R996" s="3">
        <v>0.06</v>
      </c>
      <c r="S996" s="2">
        <v>86.965199999999996</v>
      </c>
      <c r="T996">
        <v>1</v>
      </c>
      <c r="U996" t="str">
        <f t="shared" si="47"/>
        <v>Junho</v>
      </c>
    </row>
    <row r="997" spans="1:21">
      <c r="A997">
        <v>996</v>
      </c>
      <c r="B997" s="1">
        <v>44364</v>
      </c>
      <c r="C997" s="1" t="str">
        <f t="shared" si="45"/>
        <v>junho</v>
      </c>
      <c r="D997">
        <v>77</v>
      </c>
      <c r="E997" t="s">
        <v>65</v>
      </c>
      <c r="F997" t="s">
        <v>50</v>
      </c>
      <c r="G997" s="8">
        <v>16</v>
      </c>
      <c r="H997" s="2">
        <v>113</v>
      </c>
      <c r="I997" s="2">
        <v>1808</v>
      </c>
      <c r="J997" s="4">
        <v>0.03</v>
      </c>
      <c r="K997" s="2">
        <v>1753.76</v>
      </c>
      <c r="L997" s="2">
        <f t="shared" si="46"/>
        <v>54.240000000000009</v>
      </c>
      <c r="M997" s="1">
        <v>44364</v>
      </c>
      <c r="N997" s="1">
        <v>44364</v>
      </c>
      <c r="O997">
        <v>996</v>
      </c>
      <c r="P997">
        <v>5</v>
      </c>
      <c r="Q997" t="s">
        <v>25</v>
      </c>
      <c r="R997" s="3">
        <v>0.09</v>
      </c>
      <c r="S997" s="2">
        <v>157.83840000000001</v>
      </c>
      <c r="T997">
        <v>2</v>
      </c>
      <c r="U997" t="str">
        <f t="shared" si="47"/>
        <v>Junho</v>
      </c>
    </row>
    <row r="998" spans="1:21">
      <c r="A998">
        <v>997</v>
      </c>
      <c r="B998" s="1">
        <v>44365</v>
      </c>
      <c r="C998" s="1" t="str">
        <f t="shared" si="45"/>
        <v>junho</v>
      </c>
      <c r="D998">
        <v>28</v>
      </c>
      <c r="E998" t="s">
        <v>86</v>
      </c>
      <c r="F998" t="s">
        <v>24</v>
      </c>
      <c r="G998" s="8">
        <v>33</v>
      </c>
      <c r="H998" s="2">
        <v>97</v>
      </c>
      <c r="I998" s="2">
        <v>3201</v>
      </c>
      <c r="J998" s="4">
        <v>0.11</v>
      </c>
      <c r="K998" s="2">
        <v>2848.89</v>
      </c>
      <c r="L998" s="2">
        <f t="shared" si="46"/>
        <v>352.11000000000013</v>
      </c>
      <c r="M998" s="1">
        <v>44373</v>
      </c>
      <c r="N998" s="1">
        <v>44373</v>
      </c>
      <c r="O998">
        <v>997</v>
      </c>
      <c r="P998">
        <v>3</v>
      </c>
      <c r="Q998" t="s">
        <v>47</v>
      </c>
      <c r="R998" s="3">
        <v>7.0000000000000007E-2</v>
      </c>
      <c r="S998" s="2">
        <v>199.42230000000001</v>
      </c>
      <c r="T998">
        <v>3</v>
      </c>
      <c r="U998" t="str">
        <f t="shared" si="47"/>
        <v>Junho</v>
      </c>
    </row>
    <row r="999" spans="1:21">
      <c r="A999">
        <v>998</v>
      </c>
      <c r="B999" s="1">
        <v>44365</v>
      </c>
      <c r="C999" s="1" t="str">
        <f t="shared" si="45"/>
        <v>junho</v>
      </c>
      <c r="D999">
        <v>97</v>
      </c>
      <c r="E999" t="s">
        <v>66</v>
      </c>
      <c r="F999" t="s">
        <v>54</v>
      </c>
      <c r="G999" s="8">
        <v>13</v>
      </c>
      <c r="H999" s="2">
        <v>99</v>
      </c>
      <c r="I999" s="2">
        <v>1287</v>
      </c>
      <c r="J999" s="4">
        <v>0.06</v>
      </c>
      <c r="K999" s="2">
        <v>1209.78</v>
      </c>
      <c r="L999" s="2">
        <f t="shared" si="46"/>
        <v>77.220000000000027</v>
      </c>
      <c r="M999" s="1">
        <v>44382</v>
      </c>
      <c r="N999" s="1">
        <v>44382</v>
      </c>
      <c r="O999">
        <v>998</v>
      </c>
      <c r="P999">
        <v>3</v>
      </c>
      <c r="Q999" t="s">
        <v>29</v>
      </c>
      <c r="R999" s="3">
        <v>7.0000000000000007E-2</v>
      </c>
      <c r="S999" s="2">
        <v>84.684600000000003</v>
      </c>
      <c r="T999">
        <v>4</v>
      </c>
      <c r="U999" t="str">
        <f t="shared" si="47"/>
        <v>Junho</v>
      </c>
    </row>
    <row r="1000" spans="1:21">
      <c r="A1000">
        <v>999</v>
      </c>
      <c r="B1000" s="1">
        <v>44365</v>
      </c>
      <c r="C1000" s="1" t="str">
        <f t="shared" si="45"/>
        <v>junho</v>
      </c>
      <c r="D1000">
        <v>8</v>
      </c>
      <c r="E1000" t="s">
        <v>38</v>
      </c>
      <c r="F1000" t="s">
        <v>46</v>
      </c>
      <c r="G1000" s="8">
        <v>21</v>
      </c>
      <c r="H1000" s="2">
        <v>93</v>
      </c>
      <c r="I1000" s="2">
        <v>1953</v>
      </c>
      <c r="J1000" s="4">
        <v>0.03</v>
      </c>
      <c r="K1000" s="2">
        <v>1894.41</v>
      </c>
      <c r="L1000" s="2">
        <f t="shared" si="46"/>
        <v>58.589999999999918</v>
      </c>
      <c r="M1000" s="1">
        <v>44392</v>
      </c>
      <c r="N1000" s="1">
        <v>44392</v>
      </c>
      <c r="O1000">
        <v>999</v>
      </c>
      <c r="P1000">
        <v>5</v>
      </c>
      <c r="Q1000" t="s">
        <v>69</v>
      </c>
      <c r="R1000" s="3">
        <v>7.0000000000000007E-2</v>
      </c>
      <c r="S1000" s="2">
        <v>132.60870000000003</v>
      </c>
      <c r="T1000">
        <v>5</v>
      </c>
      <c r="U1000" t="str">
        <f t="shared" si="47"/>
        <v>Junho</v>
      </c>
    </row>
    <row r="1001" spans="1:21">
      <c r="A1001">
        <v>1000</v>
      </c>
      <c r="B1001" s="1">
        <v>44366</v>
      </c>
      <c r="C1001" s="1" t="str">
        <f t="shared" si="45"/>
        <v>junho</v>
      </c>
      <c r="D1001">
        <v>1</v>
      </c>
      <c r="E1001" t="s">
        <v>93</v>
      </c>
      <c r="F1001" t="s">
        <v>24</v>
      </c>
      <c r="G1001" s="8">
        <v>41</v>
      </c>
      <c r="H1001" s="2">
        <v>92</v>
      </c>
      <c r="I1001" s="2">
        <v>3772</v>
      </c>
      <c r="J1001" s="4">
        <v>0.1</v>
      </c>
      <c r="K1001" s="2">
        <v>3394.8</v>
      </c>
      <c r="L1001" s="2">
        <f t="shared" si="46"/>
        <v>377.19999999999982</v>
      </c>
      <c r="M1001" s="1">
        <v>44393</v>
      </c>
      <c r="N1001" s="1">
        <v>44393</v>
      </c>
      <c r="O1001">
        <v>1000</v>
      </c>
      <c r="P1001">
        <v>7</v>
      </c>
      <c r="Q1001" t="s">
        <v>34</v>
      </c>
      <c r="R1001" s="3">
        <v>0.08</v>
      </c>
      <c r="S1001" s="2">
        <v>271.584</v>
      </c>
      <c r="T1001">
        <v>6</v>
      </c>
      <c r="U1001" t="str">
        <f t="shared" si="47"/>
        <v>Junho</v>
      </c>
    </row>
    <row r="1002" spans="1:21">
      <c r="A1002">
        <v>1001</v>
      </c>
      <c r="B1002" s="1">
        <v>44367</v>
      </c>
      <c r="C1002" s="1" t="str">
        <f t="shared" si="45"/>
        <v>junho</v>
      </c>
      <c r="D1002">
        <v>98</v>
      </c>
      <c r="E1002" t="s">
        <v>26</v>
      </c>
      <c r="F1002" t="s">
        <v>28</v>
      </c>
      <c r="G1002" s="8">
        <v>47</v>
      </c>
      <c r="H1002" s="2">
        <v>108</v>
      </c>
      <c r="I1002" s="2">
        <v>5076</v>
      </c>
      <c r="J1002" s="4">
        <v>0</v>
      </c>
      <c r="K1002" s="2">
        <v>5076</v>
      </c>
      <c r="L1002" s="2">
        <f t="shared" si="46"/>
        <v>0</v>
      </c>
      <c r="M1002" s="1">
        <v>44397</v>
      </c>
      <c r="N1002" s="1">
        <v>44397</v>
      </c>
      <c r="O1002">
        <v>1001</v>
      </c>
      <c r="P1002">
        <v>2</v>
      </c>
      <c r="Q1002" t="s">
        <v>32</v>
      </c>
      <c r="R1002" s="3">
        <v>0.05</v>
      </c>
      <c r="S1002" s="2">
        <v>253.8</v>
      </c>
      <c r="T1002">
        <v>7</v>
      </c>
      <c r="U1002" t="str">
        <f t="shared" si="47"/>
        <v>Junho</v>
      </c>
    </row>
    <row r="1003" spans="1:21">
      <c r="A1003">
        <v>1002</v>
      </c>
      <c r="B1003" s="1">
        <v>44369</v>
      </c>
      <c r="C1003" s="1" t="str">
        <f t="shared" si="45"/>
        <v>junho</v>
      </c>
      <c r="D1003">
        <v>28</v>
      </c>
      <c r="E1003" t="s">
        <v>86</v>
      </c>
      <c r="F1003" t="s">
        <v>46</v>
      </c>
      <c r="G1003" s="8">
        <v>27</v>
      </c>
      <c r="H1003" s="2">
        <v>105</v>
      </c>
      <c r="I1003" s="2">
        <v>2835</v>
      </c>
      <c r="J1003" s="4">
        <v>0.01</v>
      </c>
      <c r="K1003" s="2">
        <v>2806.65</v>
      </c>
      <c r="L1003" s="2">
        <f t="shared" si="46"/>
        <v>28.349999999999909</v>
      </c>
      <c r="M1003" s="1">
        <v>44385</v>
      </c>
      <c r="N1003" s="1">
        <v>44385</v>
      </c>
      <c r="O1003">
        <v>1002</v>
      </c>
      <c r="P1003">
        <v>7</v>
      </c>
      <c r="Q1003" t="s">
        <v>22</v>
      </c>
      <c r="R1003" s="3">
        <v>0.06</v>
      </c>
      <c r="S1003" s="2">
        <v>168.399</v>
      </c>
      <c r="T1003">
        <v>1</v>
      </c>
      <c r="U1003" t="str">
        <f t="shared" si="47"/>
        <v>Junho</v>
      </c>
    </row>
    <row r="1004" spans="1:21">
      <c r="A1004">
        <v>1003</v>
      </c>
      <c r="B1004" s="1">
        <v>44369</v>
      </c>
      <c r="C1004" s="1" t="str">
        <f t="shared" si="45"/>
        <v>junho</v>
      </c>
      <c r="D1004">
        <v>11</v>
      </c>
      <c r="E1004" t="s">
        <v>60</v>
      </c>
      <c r="F1004" t="s">
        <v>46</v>
      </c>
      <c r="G1004" s="8">
        <v>41</v>
      </c>
      <c r="H1004" s="2">
        <v>107</v>
      </c>
      <c r="I1004" s="2">
        <v>4387</v>
      </c>
      <c r="J1004" s="4">
        <v>0</v>
      </c>
      <c r="K1004" s="2">
        <v>4387</v>
      </c>
      <c r="L1004" s="2">
        <f t="shared" si="46"/>
        <v>0</v>
      </c>
      <c r="M1004" s="1">
        <v>44383</v>
      </c>
      <c r="N1004" s="1">
        <v>44383</v>
      </c>
      <c r="O1004">
        <v>1003</v>
      </c>
      <c r="P1004">
        <v>4</v>
      </c>
      <c r="Q1004" t="s">
        <v>22</v>
      </c>
      <c r="R1004" s="3">
        <v>0.09</v>
      </c>
      <c r="S1004" s="2">
        <v>394.83</v>
      </c>
      <c r="T1004">
        <v>2</v>
      </c>
      <c r="U1004" t="str">
        <f t="shared" si="47"/>
        <v>Junho</v>
      </c>
    </row>
    <row r="1005" spans="1:21">
      <c r="A1005">
        <v>1004</v>
      </c>
      <c r="B1005" s="1">
        <v>44370</v>
      </c>
      <c r="C1005" s="1" t="str">
        <f t="shared" si="45"/>
        <v>junho</v>
      </c>
      <c r="D1005">
        <v>62</v>
      </c>
      <c r="E1005" t="s">
        <v>38</v>
      </c>
      <c r="F1005" t="s">
        <v>21</v>
      </c>
      <c r="G1005" s="8">
        <v>20</v>
      </c>
      <c r="H1005" s="2">
        <v>113</v>
      </c>
      <c r="I1005" s="2">
        <v>2260</v>
      </c>
      <c r="J1005" s="4">
        <v>0.05</v>
      </c>
      <c r="K1005" s="2">
        <v>2147</v>
      </c>
      <c r="L1005" s="2">
        <f t="shared" si="46"/>
        <v>113</v>
      </c>
      <c r="M1005" s="1">
        <v>44394</v>
      </c>
      <c r="N1005" s="1">
        <v>44394</v>
      </c>
      <c r="O1005">
        <v>1004</v>
      </c>
      <c r="P1005">
        <v>2</v>
      </c>
      <c r="Q1005" t="s">
        <v>29</v>
      </c>
      <c r="R1005" s="3">
        <v>0.06</v>
      </c>
      <c r="S1005" s="2">
        <v>128.82</v>
      </c>
      <c r="T1005">
        <v>3</v>
      </c>
      <c r="U1005" t="str">
        <f t="shared" si="47"/>
        <v>Junho</v>
      </c>
    </row>
    <row r="1006" spans="1:21">
      <c r="A1006">
        <v>1005</v>
      </c>
      <c r="B1006" s="1">
        <v>44371</v>
      </c>
      <c r="C1006" s="1" t="str">
        <f t="shared" si="45"/>
        <v>junho</v>
      </c>
      <c r="D1006">
        <v>48</v>
      </c>
      <c r="E1006" t="s">
        <v>61</v>
      </c>
      <c r="F1006" t="s">
        <v>24</v>
      </c>
      <c r="G1006" s="8">
        <v>39</v>
      </c>
      <c r="H1006" s="2">
        <v>105</v>
      </c>
      <c r="I1006" s="2">
        <v>4095</v>
      </c>
      <c r="J1006" s="4">
        <v>0.03</v>
      </c>
      <c r="K1006" s="2">
        <v>3972.15</v>
      </c>
      <c r="L1006" s="2">
        <f t="shared" si="46"/>
        <v>122.84999999999991</v>
      </c>
      <c r="M1006" s="1">
        <v>44371</v>
      </c>
      <c r="N1006" s="1">
        <v>44371</v>
      </c>
      <c r="O1006">
        <v>1005</v>
      </c>
      <c r="P1006">
        <v>6</v>
      </c>
      <c r="Q1006" t="s">
        <v>32</v>
      </c>
      <c r="R1006" s="3">
        <v>0.1</v>
      </c>
      <c r="S1006" s="2">
        <v>397.21500000000003</v>
      </c>
      <c r="T1006">
        <v>4</v>
      </c>
      <c r="U1006" t="str">
        <f t="shared" si="47"/>
        <v>Junho</v>
      </c>
    </row>
    <row r="1007" spans="1:21">
      <c r="A1007">
        <v>1006</v>
      </c>
      <c r="B1007" s="1">
        <v>44371</v>
      </c>
      <c r="C1007" s="1" t="str">
        <f t="shared" si="45"/>
        <v>junho</v>
      </c>
      <c r="D1007">
        <v>62</v>
      </c>
      <c r="E1007" t="s">
        <v>38</v>
      </c>
      <c r="F1007" t="s">
        <v>55</v>
      </c>
      <c r="G1007" s="8">
        <v>13</v>
      </c>
      <c r="H1007" s="2">
        <v>103</v>
      </c>
      <c r="I1007" s="2">
        <v>1339</v>
      </c>
      <c r="J1007" s="4">
        <v>0.14000000000000001</v>
      </c>
      <c r="K1007" s="2">
        <v>1151.54</v>
      </c>
      <c r="L1007" s="2">
        <f t="shared" si="46"/>
        <v>187.46000000000004</v>
      </c>
      <c r="M1007" s="1">
        <v>44397</v>
      </c>
      <c r="N1007" s="1">
        <v>44397</v>
      </c>
      <c r="O1007">
        <v>1006</v>
      </c>
      <c r="P1007">
        <v>6</v>
      </c>
      <c r="Q1007" t="s">
        <v>34</v>
      </c>
      <c r="R1007" s="3">
        <v>0.08</v>
      </c>
      <c r="S1007" s="2">
        <v>92.123199999999997</v>
      </c>
      <c r="T1007">
        <v>5</v>
      </c>
      <c r="U1007" t="str">
        <f t="shared" si="47"/>
        <v>Junho</v>
      </c>
    </row>
    <row r="1008" spans="1:21">
      <c r="A1008">
        <v>1007</v>
      </c>
      <c r="B1008" s="1">
        <v>44373</v>
      </c>
      <c r="C1008" s="1" t="str">
        <f t="shared" si="45"/>
        <v>junho</v>
      </c>
      <c r="D1008">
        <v>70</v>
      </c>
      <c r="E1008" t="s">
        <v>67</v>
      </c>
      <c r="F1008" t="s">
        <v>31</v>
      </c>
      <c r="G1008" s="8">
        <v>38</v>
      </c>
      <c r="H1008" s="2">
        <v>117</v>
      </c>
      <c r="I1008" s="2">
        <v>4446</v>
      </c>
      <c r="J1008" s="4">
        <v>0.02</v>
      </c>
      <c r="K1008" s="2">
        <v>4357.08</v>
      </c>
      <c r="L1008" s="2">
        <f t="shared" si="46"/>
        <v>88.920000000000073</v>
      </c>
      <c r="M1008" s="1">
        <v>44390</v>
      </c>
      <c r="N1008" s="1">
        <v>44390</v>
      </c>
      <c r="O1008">
        <v>1007</v>
      </c>
      <c r="P1008">
        <v>4</v>
      </c>
      <c r="Q1008" t="s">
        <v>37</v>
      </c>
      <c r="R1008" s="3">
        <v>0.05</v>
      </c>
      <c r="S1008" s="2">
        <v>217.85400000000001</v>
      </c>
      <c r="T1008">
        <v>6</v>
      </c>
      <c r="U1008" t="str">
        <f t="shared" si="47"/>
        <v>Junho</v>
      </c>
    </row>
    <row r="1009" spans="1:21">
      <c r="A1009">
        <v>1008</v>
      </c>
      <c r="B1009" s="1">
        <v>44374</v>
      </c>
      <c r="C1009" s="1" t="str">
        <f t="shared" si="45"/>
        <v>junho</v>
      </c>
      <c r="D1009">
        <v>81</v>
      </c>
      <c r="E1009" t="s">
        <v>103</v>
      </c>
      <c r="F1009" t="s">
        <v>54</v>
      </c>
      <c r="G1009" s="8">
        <v>20</v>
      </c>
      <c r="H1009" s="2">
        <v>111</v>
      </c>
      <c r="I1009" s="2">
        <v>2220</v>
      </c>
      <c r="J1009" s="4">
        <v>0.05</v>
      </c>
      <c r="K1009" s="2">
        <v>2109</v>
      </c>
      <c r="L1009" s="2">
        <f t="shared" si="46"/>
        <v>111</v>
      </c>
      <c r="M1009" s="1">
        <v>44383</v>
      </c>
      <c r="N1009" s="1">
        <v>44383</v>
      </c>
      <c r="O1009">
        <v>1008</v>
      </c>
      <c r="P1009">
        <v>5</v>
      </c>
      <c r="Q1009" t="s">
        <v>69</v>
      </c>
      <c r="R1009" s="3">
        <v>0.05</v>
      </c>
      <c r="S1009" s="2">
        <v>105.45</v>
      </c>
      <c r="T1009">
        <v>7</v>
      </c>
      <c r="U1009" t="str">
        <f t="shared" si="47"/>
        <v>Junho</v>
      </c>
    </row>
    <row r="1010" spans="1:21">
      <c r="A1010">
        <v>1009</v>
      </c>
      <c r="B1010" s="1">
        <v>44375</v>
      </c>
      <c r="C1010" s="1" t="str">
        <f t="shared" si="45"/>
        <v>junho</v>
      </c>
      <c r="D1010">
        <v>42</v>
      </c>
      <c r="E1010" t="s">
        <v>92</v>
      </c>
      <c r="F1010" t="s">
        <v>21</v>
      </c>
      <c r="G1010" s="8">
        <v>48</v>
      </c>
      <c r="H1010" s="2">
        <v>98</v>
      </c>
      <c r="I1010" s="2">
        <v>4704</v>
      </c>
      <c r="J1010" s="4">
        <v>7.0000000000000007E-2</v>
      </c>
      <c r="K1010" s="2">
        <v>4374.72</v>
      </c>
      <c r="L1010" s="2">
        <f t="shared" si="46"/>
        <v>329.27999999999975</v>
      </c>
      <c r="M1010" s="1">
        <v>44384</v>
      </c>
      <c r="N1010" s="1">
        <v>44384</v>
      </c>
      <c r="O1010">
        <v>1009</v>
      </c>
      <c r="P1010">
        <v>4</v>
      </c>
      <c r="Q1010" t="s">
        <v>37</v>
      </c>
      <c r="R1010" s="3">
        <v>0.1</v>
      </c>
      <c r="S1010" s="2">
        <v>437.47200000000004</v>
      </c>
      <c r="T1010">
        <v>1</v>
      </c>
      <c r="U1010" t="str">
        <f t="shared" si="47"/>
        <v>Junho</v>
      </c>
    </row>
    <row r="1011" spans="1:21">
      <c r="A1011">
        <v>1010</v>
      </c>
      <c r="B1011" s="1">
        <v>44375</v>
      </c>
      <c r="C1011" s="1" t="str">
        <f t="shared" si="45"/>
        <v>junho</v>
      </c>
      <c r="D1011">
        <v>17</v>
      </c>
      <c r="E1011" t="s">
        <v>67</v>
      </c>
      <c r="F1011" t="s">
        <v>41</v>
      </c>
      <c r="G1011" s="8">
        <v>35</v>
      </c>
      <c r="H1011" s="2">
        <v>114</v>
      </c>
      <c r="I1011" s="2">
        <v>3990</v>
      </c>
      <c r="J1011" s="4">
        <v>0.03</v>
      </c>
      <c r="K1011" s="2">
        <v>3870.3</v>
      </c>
      <c r="L1011" s="2">
        <f t="shared" si="46"/>
        <v>119.69999999999982</v>
      </c>
      <c r="M1011" s="1">
        <v>44382</v>
      </c>
      <c r="N1011" s="1">
        <v>44382</v>
      </c>
      <c r="O1011">
        <v>1010</v>
      </c>
      <c r="P1011">
        <v>1</v>
      </c>
      <c r="Q1011" t="s">
        <v>37</v>
      </c>
      <c r="R1011" s="3">
        <v>0.06</v>
      </c>
      <c r="S1011" s="2">
        <v>232.21799999999999</v>
      </c>
      <c r="T1011">
        <v>2</v>
      </c>
      <c r="U1011" t="str">
        <f t="shared" si="47"/>
        <v>Junho</v>
      </c>
    </row>
    <row r="1012" spans="1:21">
      <c r="A1012">
        <v>1011</v>
      </c>
      <c r="B1012" s="1">
        <v>44375</v>
      </c>
      <c r="C1012" s="1" t="str">
        <f t="shared" si="45"/>
        <v>junho</v>
      </c>
      <c r="D1012">
        <v>60</v>
      </c>
      <c r="E1012" t="s">
        <v>82</v>
      </c>
      <c r="F1012" t="s">
        <v>46</v>
      </c>
      <c r="G1012" s="8">
        <v>45</v>
      </c>
      <c r="H1012" s="2">
        <v>116</v>
      </c>
      <c r="I1012" s="2">
        <v>5220</v>
      </c>
      <c r="J1012" s="4">
        <v>7.0000000000000007E-2</v>
      </c>
      <c r="K1012" s="2">
        <v>4854.6000000000004</v>
      </c>
      <c r="L1012" s="2">
        <f t="shared" si="46"/>
        <v>365.39999999999964</v>
      </c>
      <c r="M1012" s="1">
        <v>44400</v>
      </c>
      <c r="N1012" s="1">
        <v>44400</v>
      </c>
      <c r="O1012">
        <v>1011</v>
      </c>
      <c r="P1012">
        <v>6</v>
      </c>
      <c r="Q1012" t="s">
        <v>69</v>
      </c>
      <c r="R1012" s="3">
        <v>0.08</v>
      </c>
      <c r="S1012" s="2">
        <v>388.36800000000005</v>
      </c>
      <c r="T1012">
        <v>3</v>
      </c>
      <c r="U1012" t="str">
        <f t="shared" si="47"/>
        <v>Junho</v>
      </c>
    </row>
    <row r="1013" spans="1:21">
      <c r="A1013">
        <v>1012</v>
      </c>
      <c r="B1013" s="1">
        <v>44376</v>
      </c>
      <c r="C1013" s="1" t="str">
        <f t="shared" si="45"/>
        <v>junho</v>
      </c>
      <c r="D1013">
        <v>35</v>
      </c>
      <c r="E1013" t="s">
        <v>38</v>
      </c>
      <c r="F1013" t="s">
        <v>50</v>
      </c>
      <c r="G1013" s="8">
        <v>30</v>
      </c>
      <c r="H1013" s="2">
        <v>114</v>
      </c>
      <c r="I1013" s="2">
        <v>3420</v>
      </c>
      <c r="J1013" s="4">
        <v>0.15</v>
      </c>
      <c r="K1013" s="2">
        <v>2907</v>
      </c>
      <c r="L1013" s="2">
        <f t="shared" si="46"/>
        <v>513</v>
      </c>
      <c r="M1013" s="1">
        <v>44400</v>
      </c>
      <c r="N1013" s="1">
        <v>44400</v>
      </c>
      <c r="O1013">
        <v>1012</v>
      </c>
      <c r="P1013">
        <v>4</v>
      </c>
      <c r="Q1013" t="s">
        <v>29</v>
      </c>
      <c r="R1013" s="3">
        <v>0.05</v>
      </c>
      <c r="S1013" s="2">
        <v>145.35</v>
      </c>
      <c r="T1013">
        <v>4</v>
      </c>
      <c r="U1013" t="str">
        <f t="shared" si="47"/>
        <v>Junho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8E111-EB85-4904-B4AD-BF1D400F1E20}">
  <dimension ref="A1:S1013"/>
  <sheetViews>
    <sheetView workbookViewId="0">
      <selection activeCell="I6" sqref="I6"/>
    </sheetView>
  </sheetViews>
  <sheetFormatPr defaultRowHeight="15"/>
  <cols>
    <col min="2" max="2" width="10.7109375" style="1" bestFit="1" customWidth="1"/>
    <col min="7" max="7" width="10.5703125" style="2" bestFit="1" customWidth="1"/>
    <col min="8" max="8" width="12.140625" style="2" bestFit="1" customWidth="1"/>
    <col min="9" max="9" width="10.7109375" style="4" bestFit="1" customWidth="1"/>
    <col min="10" max="10" width="12.140625" style="2" bestFit="1" customWidth="1"/>
    <col min="11" max="12" width="10.7109375" style="1" bestFit="1" customWidth="1"/>
    <col min="16" max="16" width="9.140625" style="3"/>
    <col min="17" max="17" width="10.5703125" style="2" bestFit="1" customWidth="1"/>
  </cols>
  <sheetData>
    <row r="1" spans="1:19">
      <c r="A1" t="s">
        <v>0</v>
      </c>
      <c r="B1" s="1" t="s">
        <v>1</v>
      </c>
      <c r="C1" t="s">
        <v>3</v>
      </c>
      <c r="D1" t="s">
        <v>4</v>
      </c>
      <c r="E1" t="s">
        <v>5</v>
      </c>
      <c r="F1" t="s">
        <v>6</v>
      </c>
      <c r="G1" s="2" t="s">
        <v>7</v>
      </c>
      <c r="H1" s="2" t="s">
        <v>8</v>
      </c>
      <c r="I1" s="4" t="s">
        <v>9</v>
      </c>
      <c r="J1" s="2" t="s">
        <v>10</v>
      </c>
      <c r="K1" s="1" t="s">
        <v>12</v>
      </c>
      <c r="L1" s="1" t="s">
        <v>13</v>
      </c>
      <c r="M1" t="s">
        <v>14</v>
      </c>
      <c r="N1" t="s">
        <v>15</v>
      </c>
      <c r="O1" t="s">
        <v>16</v>
      </c>
      <c r="P1" s="3" t="s">
        <v>17</v>
      </c>
      <c r="Q1" s="2" t="s">
        <v>18</v>
      </c>
      <c r="R1" t="s">
        <v>19</v>
      </c>
      <c r="S1" t="s">
        <v>2</v>
      </c>
    </row>
    <row r="2" spans="1:19">
      <c r="A2">
        <v>1</v>
      </c>
      <c r="B2" s="1">
        <v>43831</v>
      </c>
      <c r="C2">
        <v>71</v>
      </c>
      <c r="D2" t="s">
        <v>20</v>
      </c>
      <c r="E2" t="s">
        <v>21</v>
      </c>
      <c r="F2">
        <v>37</v>
      </c>
      <c r="G2" s="2">
        <v>101</v>
      </c>
      <c r="H2" s="2">
        <v>3737</v>
      </c>
      <c r="I2" s="4">
        <v>0.02</v>
      </c>
      <c r="J2" s="2">
        <v>3662.26</v>
      </c>
      <c r="K2" s="1">
        <v>43842</v>
      </c>
      <c r="L2" s="1">
        <v>43842</v>
      </c>
      <c r="M2">
        <v>1</v>
      </c>
      <c r="N2">
        <v>6</v>
      </c>
      <c r="O2" t="s">
        <v>22</v>
      </c>
      <c r="P2" s="3">
        <v>0.08</v>
      </c>
      <c r="Q2" s="2">
        <v>292.98080000000004</v>
      </c>
      <c r="R2">
        <v>1</v>
      </c>
      <c r="S2" t="str">
        <f>PROPER(TEXT(B2,"mmmm"))</f>
        <v>Janeiro</v>
      </c>
    </row>
    <row r="3" spans="1:19">
      <c r="A3">
        <v>2</v>
      </c>
      <c r="B3" s="1">
        <v>43831</v>
      </c>
      <c r="C3">
        <v>52</v>
      </c>
      <c r="D3" t="s">
        <v>23</v>
      </c>
      <c r="E3" t="s">
        <v>24</v>
      </c>
      <c r="F3">
        <v>47</v>
      </c>
      <c r="G3" s="2">
        <v>93</v>
      </c>
      <c r="H3" s="2">
        <v>4371</v>
      </c>
      <c r="I3" s="4">
        <v>0.04</v>
      </c>
      <c r="J3" s="2">
        <v>4196.16</v>
      </c>
      <c r="K3" s="1">
        <v>43833</v>
      </c>
      <c r="L3" s="1">
        <v>43833</v>
      </c>
      <c r="M3">
        <v>2</v>
      </c>
      <c r="N3">
        <v>2</v>
      </c>
      <c r="O3" t="s">
        <v>25</v>
      </c>
      <c r="P3" s="3">
        <v>0.1</v>
      </c>
      <c r="Q3" s="2">
        <v>419.61599999999999</v>
      </c>
      <c r="R3">
        <v>2</v>
      </c>
      <c r="S3" t="str">
        <f t="shared" ref="S3:S66" si="0">PROPER(TEXT(B3,"mmmm"))</f>
        <v>Janeiro</v>
      </c>
    </row>
    <row r="4" spans="1:19">
      <c r="A4">
        <v>3</v>
      </c>
      <c r="B4" s="1">
        <v>43831</v>
      </c>
      <c r="C4">
        <v>92</v>
      </c>
      <c r="D4" t="s">
        <v>26</v>
      </c>
      <c r="E4" t="s">
        <v>24</v>
      </c>
      <c r="F4">
        <v>34</v>
      </c>
      <c r="G4" s="2">
        <v>116</v>
      </c>
      <c r="H4" s="2">
        <v>3944</v>
      </c>
      <c r="I4" s="4">
        <v>0.01</v>
      </c>
      <c r="J4" s="2">
        <v>3904.56</v>
      </c>
      <c r="K4" s="1">
        <v>43854</v>
      </c>
      <c r="L4" s="1">
        <v>43854</v>
      </c>
      <c r="M4">
        <v>3</v>
      </c>
      <c r="N4">
        <v>4</v>
      </c>
      <c r="O4" t="s">
        <v>25</v>
      </c>
      <c r="P4" s="3">
        <v>0.1</v>
      </c>
      <c r="Q4" s="2">
        <v>390.45600000000002</v>
      </c>
      <c r="R4">
        <v>3</v>
      </c>
      <c r="S4" t="str">
        <f t="shared" si="0"/>
        <v>Janeiro</v>
      </c>
    </row>
    <row r="5" spans="1:19">
      <c r="A5">
        <v>4</v>
      </c>
      <c r="B5" s="1">
        <v>43834</v>
      </c>
      <c r="C5">
        <v>16</v>
      </c>
      <c r="D5" t="s">
        <v>27</v>
      </c>
      <c r="E5" t="s">
        <v>28</v>
      </c>
      <c r="F5">
        <v>44</v>
      </c>
      <c r="G5" s="2">
        <v>113</v>
      </c>
      <c r="H5" s="2">
        <v>4972</v>
      </c>
      <c r="I5" s="4">
        <v>0.08</v>
      </c>
      <c r="J5" s="2">
        <v>4574.24</v>
      </c>
      <c r="K5" s="1">
        <v>43834</v>
      </c>
      <c r="L5" s="1">
        <v>43834</v>
      </c>
      <c r="M5">
        <v>4</v>
      </c>
      <c r="N5">
        <v>3</v>
      </c>
      <c r="O5" t="s">
        <v>29</v>
      </c>
      <c r="P5" s="3">
        <v>7.0000000000000007E-2</v>
      </c>
      <c r="Q5" s="2">
        <v>320.1968</v>
      </c>
      <c r="R5">
        <v>4</v>
      </c>
      <c r="S5" t="str">
        <f t="shared" si="0"/>
        <v>Janeiro</v>
      </c>
    </row>
    <row r="6" spans="1:19">
      <c r="A6">
        <v>5</v>
      </c>
      <c r="B6" s="1">
        <v>43835</v>
      </c>
      <c r="C6">
        <v>66</v>
      </c>
      <c r="D6" t="s">
        <v>30</v>
      </c>
      <c r="E6" t="s">
        <v>31</v>
      </c>
      <c r="F6">
        <v>24</v>
      </c>
      <c r="G6" s="2">
        <v>97</v>
      </c>
      <c r="H6" s="2">
        <v>2328</v>
      </c>
      <c r="I6" s="4">
        <v>0.02</v>
      </c>
      <c r="J6" s="2">
        <v>2281.44</v>
      </c>
      <c r="K6" s="1">
        <v>43842</v>
      </c>
      <c r="L6" s="1">
        <v>43842</v>
      </c>
      <c r="M6">
        <v>5</v>
      </c>
      <c r="N6">
        <v>6</v>
      </c>
      <c r="O6" t="s">
        <v>32</v>
      </c>
      <c r="P6" s="3">
        <v>7.0000000000000007E-2</v>
      </c>
      <c r="Q6" s="2">
        <v>159.70080000000002</v>
      </c>
      <c r="R6">
        <v>5</v>
      </c>
      <c r="S6" t="str">
        <f t="shared" si="0"/>
        <v>Janeiro</v>
      </c>
    </row>
    <row r="7" spans="1:19">
      <c r="A7">
        <v>6</v>
      </c>
      <c r="B7" s="1">
        <v>43836</v>
      </c>
      <c r="C7">
        <v>93</v>
      </c>
      <c r="D7" t="s">
        <v>33</v>
      </c>
      <c r="E7" t="s">
        <v>24</v>
      </c>
      <c r="F7">
        <v>11</v>
      </c>
      <c r="G7" s="2">
        <v>96</v>
      </c>
      <c r="H7" s="2">
        <v>1056</v>
      </c>
      <c r="I7" s="4">
        <v>0</v>
      </c>
      <c r="J7" s="2">
        <v>1056</v>
      </c>
      <c r="K7" s="1">
        <v>43857</v>
      </c>
      <c r="L7" s="1">
        <v>43857</v>
      </c>
      <c r="M7">
        <v>6</v>
      </c>
      <c r="N7">
        <v>2</v>
      </c>
      <c r="O7" t="s">
        <v>34</v>
      </c>
      <c r="P7" s="3">
        <v>0.08</v>
      </c>
      <c r="Q7" s="2">
        <v>84.48</v>
      </c>
      <c r="R7">
        <v>6</v>
      </c>
      <c r="S7" t="str">
        <f t="shared" si="0"/>
        <v>Janeiro</v>
      </c>
    </row>
    <row r="8" spans="1:19">
      <c r="A8">
        <v>7</v>
      </c>
      <c r="B8" s="1">
        <v>43836</v>
      </c>
      <c r="C8">
        <v>2</v>
      </c>
      <c r="D8" t="s">
        <v>35</v>
      </c>
      <c r="E8" t="s">
        <v>31</v>
      </c>
      <c r="F8">
        <v>20</v>
      </c>
      <c r="G8" s="2">
        <v>112</v>
      </c>
      <c r="H8" s="2">
        <v>2240</v>
      </c>
      <c r="I8" s="4">
        <v>0.13</v>
      </c>
      <c r="J8" s="2">
        <v>1948.8</v>
      </c>
      <c r="K8" s="1">
        <v>43865</v>
      </c>
      <c r="L8" s="1">
        <v>43865</v>
      </c>
      <c r="M8">
        <v>7</v>
      </c>
      <c r="N8">
        <v>4</v>
      </c>
      <c r="O8" t="s">
        <v>29</v>
      </c>
      <c r="P8" s="3">
        <v>0.08</v>
      </c>
      <c r="Q8" s="2">
        <v>155.904</v>
      </c>
      <c r="R8">
        <v>7</v>
      </c>
      <c r="S8" t="str">
        <f t="shared" si="0"/>
        <v>Janeiro</v>
      </c>
    </row>
    <row r="9" spans="1:19">
      <c r="A9">
        <v>8</v>
      </c>
      <c r="B9" s="1">
        <v>43836</v>
      </c>
      <c r="C9">
        <v>9</v>
      </c>
      <c r="D9" t="s">
        <v>36</v>
      </c>
      <c r="E9" t="s">
        <v>31</v>
      </c>
      <c r="F9">
        <v>10</v>
      </c>
      <c r="G9" s="2">
        <v>92</v>
      </c>
      <c r="H9" s="2">
        <v>920</v>
      </c>
      <c r="I9" s="4">
        <v>0</v>
      </c>
      <c r="J9" s="2">
        <v>920</v>
      </c>
      <c r="K9" s="1">
        <v>43861</v>
      </c>
      <c r="L9" s="1">
        <v>43861</v>
      </c>
      <c r="M9">
        <v>8</v>
      </c>
      <c r="N9">
        <v>4</v>
      </c>
      <c r="O9" t="s">
        <v>37</v>
      </c>
      <c r="P9" s="3">
        <v>0.06</v>
      </c>
      <c r="Q9" s="2">
        <v>55.199999999999996</v>
      </c>
      <c r="R9">
        <v>1</v>
      </c>
      <c r="S9" t="str">
        <f t="shared" si="0"/>
        <v>Janeiro</v>
      </c>
    </row>
    <row r="10" spans="1:19">
      <c r="A10">
        <v>9</v>
      </c>
      <c r="B10" s="1">
        <v>43836</v>
      </c>
      <c r="C10">
        <v>39</v>
      </c>
      <c r="D10" t="s">
        <v>38</v>
      </c>
      <c r="E10" t="s">
        <v>24</v>
      </c>
      <c r="F10">
        <v>22</v>
      </c>
      <c r="G10" s="2">
        <v>99</v>
      </c>
      <c r="H10" s="2">
        <v>2178</v>
      </c>
      <c r="I10" s="4">
        <v>0.02</v>
      </c>
      <c r="J10" s="2">
        <v>2134.44</v>
      </c>
      <c r="K10" s="1">
        <v>43855</v>
      </c>
      <c r="L10" s="1">
        <v>43855</v>
      </c>
      <c r="M10">
        <v>9</v>
      </c>
      <c r="N10">
        <v>7</v>
      </c>
      <c r="O10" t="s">
        <v>34</v>
      </c>
      <c r="P10" s="3">
        <v>0.09</v>
      </c>
      <c r="Q10" s="2">
        <v>192.09960000000001</v>
      </c>
      <c r="R10">
        <v>2</v>
      </c>
      <c r="S10" t="str">
        <f t="shared" si="0"/>
        <v>Janeiro</v>
      </c>
    </row>
    <row r="11" spans="1:19">
      <c r="A11">
        <v>10</v>
      </c>
      <c r="B11" s="1">
        <v>43837</v>
      </c>
      <c r="C11">
        <v>20</v>
      </c>
      <c r="D11" t="s">
        <v>39</v>
      </c>
      <c r="E11" t="s">
        <v>31</v>
      </c>
      <c r="F11">
        <v>45</v>
      </c>
      <c r="G11" s="2">
        <v>107</v>
      </c>
      <c r="H11" s="2">
        <v>4815</v>
      </c>
      <c r="I11" s="4">
        <v>0.02</v>
      </c>
      <c r="J11" s="2">
        <v>4718.7</v>
      </c>
      <c r="K11" s="1">
        <v>43842</v>
      </c>
      <c r="L11" s="1">
        <v>43842</v>
      </c>
      <c r="M11">
        <v>10</v>
      </c>
      <c r="N11">
        <v>5</v>
      </c>
      <c r="O11" t="s">
        <v>25</v>
      </c>
      <c r="P11" s="3">
        <v>0.1</v>
      </c>
      <c r="Q11" s="2">
        <v>471.87</v>
      </c>
      <c r="R11">
        <v>3</v>
      </c>
      <c r="S11" t="str">
        <f t="shared" si="0"/>
        <v>Janeiro</v>
      </c>
    </row>
    <row r="12" spans="1:19">
      <c r="A12">
        <v>11</v>
      </c>
      <c r="B12" s="1">
        <v>43837</v>
      </c>
      <c r="C12">
        <v>87</v>
      </c>
      <c r="D12" t="s">
        <v>40</v>
      </c>
      <c r="E12" t="s">
        <v>41</v>
      </c>
      <c r="F12">
        <v>14</v>
      </c>
      <c r="G12" s="2">
        <v>105</v>
      </c>
      <c r="H12" s="2">
        <v>1470</v>
      </c>
      <c r="I12" s="4">
        <v>0</v>
      </c>
      <c r="J12" s="2">
        <v>1470</v>
      </c>
      <c r="K12" s="1">
        <v>43843</v>
      </c>
      <c r="L12" s="1">
        <v>43843</v>
      </c>
      <c r="M12">
        <v>11</v>
      </c>
      <c r="N12">
        <v>6</v>
      </c>
      <c r="O12" t="s">
        <v>29</v>
      </c>
      <c r="P12" s="3">
        <v>0.1</v>
      </c>
      <c r="Q12" s="2">
        <v>147</v>
      </c>
      <c r="R12">
        <v>4</v>
      </c>
      <c r="S12" t="str">
        <f t="shared" si="0"/>
        <v>Janeiro</v>
      </c>
    </row>
    <row r="13" spans="1:19">
      <c r="A13">
        <v>12</v>
      </c>
      <c r="B13" s="1">
        <v>43837</v>
      </c>
      <c r="C13">
        <v>96</v>
      </c>
      <c r="D13" t="s">
        <v>42</v>
      </c>
      <c r="E13" t="s">
        <v>31</v>
      </c>
      <c r="F13">
        <v>27</v>
      </c>
      <c r="G13" s="2">
        <v>105</v>
      </c>
      <c r="H13" s="2">
        <v>2835</v>
      </c>
      <c r="I13" s="4">
        <v>0.09</v>
      </c>
      <c r="J13" s="2">
        <v>2579.85</v>
      </c>
      <c r="K13" s="1">
        <v>43842</v>
      </c>
      <c r="L13" s="1">
        <v>43842</v>
      </c>
      <c r="M13">
        <v>12</v>
      </c>
      <c r="N13">
        <v>3</v>
      </c>
      <c r="O13" t="s">
        <v>43</v>
      </c>
      <c r="P13" s="3">
        <v>7.0000000000000007E-2</v>
      </c>
      <c r="Q13" s="2">
        <v>180.58950000000002</v>
      </c>
      <c r="R13">
        <v>5</v>
      </c>
      <c r="S13" t="str">
        <f t="shared" si="0"/>
        <v>Janeiro</v>
      </c>
    </row>
    <row r="14" spans="1:19">
      <c r="A14">
        <v>13</v>
      </c>
      <c r="B14" s="1">
        <v>43839</v>
      </c>
      <c r="C14">
        <v>55</v>
      </c>
      <c r="D14" t="s">
        <v>44</v>
      </c>
      <c r="E14" t="s">
        <v>31</v>
      </c>
      <c r="F14">
        <v>18</v>
      </c>
      <c r="G14" s="2">
        <v>110</v>
      </c>
      <c r="H14" s="2">
        <v>1980</v>
      </c>
      <c r="I14" s="4">
        <v>0.14000000000000001</v>
      </c>
      <c r="J14" s="2">
        <v>1702.8</v>
      </c>
      <c r="K14" s="1">
        <v>43868</v>
      </c>
      <c r="L14" s="1">
        <v>43868</v>
      </c>
      <c r="M14">
        <v>13</v>
      </c>
      <c r="N14">
        <v>5</v>
      </c>
      <c r="O14" t="s">
        <v>22</v>
      </c>
      <c r="P14" s="3">
        <v>0.06</v>
      </c>
      <c r="Q14" s="2">
        <v>102.16799999999999</v>
      </c>
      <c r="R14">
        <v>6</v>
      </c>
      <c r="S14" t="str">
        <f t="shared" si="0"/>
        <v>Janeiro</v>
      </c>
    </row>
    <row r="15" spans="1:19">
      <c r="A15">
        <v>14</v>
      </c>
      <c r="B15" s="1">
        <v>43839</v>
      </c>
      <c r="C15">
        <v>73</v>
      </c>
      <c r="D15" t="s">
        <v>38</v>
      </c>
      <c r="E15" t="s">
        <v>24</v>
      </c>
      <c r="F15">
        <v>31</v>
      </c>
      <c r="G15" s="2">
        <v>117</v>
      </c>
      <c r="H15" s="2">
        <v>3627</v>
      </c>
      <c r="I15" s="4">
        <v>0.02</v>
      </c>
      <c r="J15" s="2">
        <v>3554.46</v>
      </c>
      <c r="K15" s="1">
        <v>43839</v>
      </c>
      <c r="L15" s="1">
        <v>43839</v>
      </c>
      <c r="M15">
        <v>14</v>
      </c>
      <c r="N15">
        <v>4</v>
      </c>
      <c r="O15" t="s">
        <v>25</v>
      </c>
      <c r="P15" s="3">
        <v>0.06</v>
      </c>
      <c r="Q15" s="2">
        <v>213.26759999999999</v>
      </c>
      <c r="R15">
        <v>7</v>
      </c>
      <c r="S15" t="str">
        <f t="shared" si="0"/>
        <v>Janeiro</v>
      </c>
    </row>
    <row r="16" spans="1:19">
      <c r="A16">
        <v>15</v>
      </c>
      <c r="B16" s="1">
        <v>43839</v>
      </c>
      <c r="C16">
        <v>74</v>
      </c>
      <c r="D16" t="s">
        <v>38</v>
      </c>
      <c r="E16" t="s">
        <v>28</v>
      </c>
      <c r="F16">
        <v>11</v>
      </c>
      <c r="G16" s="2">
        <v>114</v>
      </c>
      <c r="H16" s="2">
        <v>1254</v>
      </c>
      <c r="I16" s="4">
        <v>0.04</v>
      </c>
      <c r="J16" s="2">
        <v>1203.8399999999999</v>
      </c>
      <c r="K16" s="1">
        <v>43847</v>
      </c>
      <c r="L16" s="1">
        <v>43847</v>
      </c>
      <c r="M16">
        <v>15</v>
      </c>
      <c r="N16">
        <v>4</v>
      </c>
      <c r="O16" t="s">
        <v>32</v>
      </c>
      <c r="P16" s="3">
        <v>0.1</v>
      </c>
      <c r="Q16" s="2">
        <v>120.384</v>
      </c>
      <c r="R16">
        <v>1</v>
      </c>
      <c r="S16" t="str">
        <f t="shared" si="0"/>
        <v>Janeiro</v>
      </c>
    </row>
    <row r="17" spans="1:19">
      <c r="A17">
        <v>16</v>
      </c>
      <c r="B17" s="1">
        <v>43841</v>
      </c>
      <c r="C17">
        <v>12</v>
      </c>
      <c r="D17" t="s">
        <v>45</v>
      </c>
      <c r="E17" t="s">
        <v>31</v>
      </c>
      <c r="F17">
        <v>25</v>
      </c>
      <c r="G17" s="2">
        <v>110</v>
      </c>
      <c r="H17" s="2">
        <v>2750</v>
      </c>
      <c r="I17" s="4">
        <v>0.01</v>
      </c>
      <c r="J17" s="2">
        <v>2722.5</v>
      </c>
      <c r="K17" s="1">
        <v>43843</v>
      </c>
      <c r="L17" s="1">
        <v>43843</v>
      </c>
      <c r="M17">
        <v>16</v>
      </c>
      <c r="N17">
        <v>6</v>
      </c>
      <c r="O17" t="s">
        <v>32</v>
      </c>
      <c r="P17" s="3">
        <v>0.1</v>
      </c>
      <c r="Q17" s="2">
        <v>272.25</v>
      </c>
      <c r="R17">
        <v>2</v>
      </c>
      <c r="S17" t="str">
        <f t="shared" si="0"/>
        <v>Janeiro</v>
      </c>
    </row>
    <row r="18" spans="1:19">
      <c r="A18">
        <v>17</v>
      </c>
      <c r="B18" s="1">
        <v>43842</v>
      </c>
      <c r="C18">
        <v>92</v>
      </c>
      <c r="D18" t="s">
        <v>26</v>
      </c>
      <c r="E18" t="s">
        <v>46</v>
      </c>
      <c r="F18">
        <v>30</v>
      </c>
      <c r="G18" s="2">
        <v>108</v>
      </c>
      <c r="H18" s="2">
        <v>3240</v>
      </c>
      <c r="I18" s="4">
        <v>0.06</v>
      </c>
      <c r="J18" s="2">
        <v>3045.6</v>
      </c>
      <c r="K18" s="1">
        <v>43865</v>
      </c>
      <c r="L18" s="1">
        <v>43865</v>
      </c>
      <c r="M18">
        <v>17</v>
      </c>
      <c r="N18">
        <v>1</v>
      </c>
      <c r="O18" t="s">
        <v>47</v>
      </c>
      <c r="P18" s="3">
        <v>7.0000000000000007E-2</v>
      </c>
      <c r="Q18" s="2">
        <v>213.19200000000001</v>
      </c>
      <c r="R18">
        <v>3</v>
      </c>
      <c r="S18" t="str">
        <f t="shared" si="0"/>
        <v>Janeiro</v>
      </c>
    </row>
    <row r="19" spans="1:19">
      <c r="A19">
        <v>18</v>
      </c>
      <c r="B19" s="1">
        <v>43845</v>
      </c>
      <c r="C19">
        <v>37</v>
      </c>
      <c r="D19" t="s">
        <v>48</v>
      </c>
      <c r="E19" t="s">
        <v>28</v>
      </c>
      <c r="F19">
        <v>21</v>
      </c>
      <c r="G19" s="2">
        <v>109</v>
      </c>
      <c r="H19" s="2">
        <v>2289</v>
      </c>
      <c r="I19" s="4">
        <v>0.1</v>
      </c>
      <c r="J19" s="2">
        <v>2060.1</v>
      </c>
      <c r="K19" s="1">
        <v>43873</v>
      </c>
      <c r="L19" s="1">
        <v>43873</v>
      </c>
      <c r="M19">
        <v>18</v>
      </c>
      <c r="N19">
        <v>4</v>
      </c>
      <c r="O19" t="s">
        <v>47</v>
      </c>
      <c r="P19" s="3">
        <v>7.0000000000000007E-2</v>
      </c>
      <c r="Q19" s="2">
        <v>144.20699999999999</v>
      </c>
      <c r="R19">
        <v>4</v>
      </c>
      <c r="S19" t="str">
        <f t="shared" si="0"/>
        <v>Janeiro</v>
      </c>
    </row>
    <row r="20" spans="1:19">
      <c r="A20">
        <v>19</v>
      </c>
      <c r="B20" s="1">
        <v>43845</v>
      </c>
      <c r="C20">
        <v>100</v>
      </c>
      <c r="D20" t="s">
        <v>38</v>
      </c>
      <c r="E20" t="s">
        <v>31</v>
      </c>
      <c r="F20">
        <v>37</v>
      </c>
      <c r="G20" s="2">
        <v>99</v>
      </c>
      <c r="H20" s="2">
        <v>3663</v>
      </c>
      <c r="I20" s="4">
        <v>0.12</v>
      </c>
      <c r="J20" s="2">
        <v>3223.44</v>
      </c>
      <c r="K20" s="1">
        <v>43863</v>
      </c>
      <c r="L20" s="1">
        <v>43863</v>
      </c>
      <c r="M20">
        <v>19</v>
      </c>
      <c r="N20">
        <v>3</v>
      </c>
      <c r="O20" t="s">
        <v>43</v>
      </c>
      <c r="P20" s="3">
        <v>0.05</v>
      </c>
      <c r="Q20" s="2">
        <v>161.17200000000003</v>
      </c>
      <c r="R20">
        <v>5</v>
      </c>
      <c r="S20" t="str">
        <f t="shared" si="0"/>
        <v>Janeiro</v>
      </c>
    </row>
    <row r="21" spans="1:19">
      <c r="A21">
        <v>20</v>
      </c>
      <c r="B21" s="1">
        <v>43845</v>
      </c>
      <c r="C21">
        <v>94</v>
      </c>
      <c r="D21" t="s">
        <v>49</v>
      </c>
      <c r="E21" t="s">
        <v>50</v>
      </c>
      <c r="F21">
        <v>39</v>
      </c>
      <c r="G21" s="2">
        <v>103</v>
      </c>
      <c r="H21" s="2">
        <v>4017</v>
      </c>
      <c r="I21" s="4">
        <v>0.15</v>
      </c>
      <c r="J21" s="2">
        <v>3414.45</v>
      </c>
      <c r="K21" s="1">
        <v>43860</v>
      </c>
      <c r="L21" s="1">
        <v>43860</v>
      </c>
      <c r="M21">
        <v>20</v>
      </c>
      <c r="N21">
        <v>6</v>
      </c>
      <c r="O21" t="s">
        <v>34</v>
      </c>
      <c r="P21" s="3">
        <v>0.08</v>
      </c>
      <c r="Q21" s="2">
        <v>273.15600000000001</v>
      </c>
      <c r="R21">
        <v>6</v>
      </c>
      <c r="S21" t="str">
        <f t="shared" si="0"/>
        <v>Janeiro</v>
      </c>
    </row>
    <row r="22" spans="1:19">
      <c r="A22">
        <v>21</v>
      </c>
      <c r="B22" s="1">
        <v>43845</v>
      </c>
      <c r="C22">
        <v>22</v>
      </c>
      <c r="D22" t="s">
        <v>51</v>
      </c>
      <c r="E22" t="s">
        <v>50</v>
      </c>
      <c r="F22">
        <v>27</v>
      </c>
      <c r="G22" s="2">
        <v>115</v>
      </c>
      <c r="H22" s="2">
        <v>3105</v>
      </c>
      <c r="I22" s="4">
        <v>0.12</v>
      </c>
      <c r="J22" s="2">
        <v>2732.4</v>
      </c>
      <c r="K22" s="1">
        <v>43855</v>
      </c>
      <c r="L22" s="1">
        <v>43855</v>
      </c>
      <c r="M22">
        <v>21</v>
      </c>
      <c r="N22">
        <v>1</v>
      </c>
      <c r="O22" t="s">
        <v>29</v>
      </c>
      <c r="P22" s="3">
        <v>7.0000000000000007E-2</v>
      </c>
      <c r="Q22" s="2">
        <v>191.26800000000003</v>
      </c>
      <c r="R22">
        <v>7</v>
      </c>
      <c r="S22" t="str">
        <f t="shared" si="0"/>
        <v>Janeiro</v>
      </c>
    </row>
    <row r="23" spans="1:19">
      <c r="A23">
        <v>22</v>
      </c>
      <c r="B23" s="1">
        <v>43846</v>
      </c>
      <c r="C23">
        <v>35</v>
      </c>
      <c r="D23" t="s">
        <v>38</v>
      </c>
      <c r="E23" t="s">
        <v>31</v>
      </c>
      <c r="F23">
        <v>49</v>
      </c>
      <c r="G23" s="2">
        <v>105</v>
      </c>
      <c r="H23" s="2">
        <v>5145</v>
      </c>
      <c r="I23" s="4">
        <v>0.03</v>
      </c>
      <c r="J23" s="2">
        <v>4990.6499999999996</v>
      </c>
      <c r="K23" s="1">
        <v>43852</v>
      </c>
      <c r="L23" s="1">
        <v>43852</v>
      </c>
      <c r="M23">
        <v>22</v>
      </c>
      <c r="N23">
        <v>2</v>
      </c>
      <c r="O23" t="s">
        <v>29</v>
      </c>
      <c r="P23" s="3">
        <v>0.09</v>
      </c>
      <c r="Q23" s="2">
        <v>449.15849999999995</v>
      </c>
      <c r="R23">
        <v>1</v>
      </c>
      <c r="S23" t="str">
        <f t="shared" si="0"/>
        <v>Janeiro</v>
      </c>
    </row>
    <row r="24" spans="1:19">
      <c r="A24">
        <v>23</v>
      </c>
      <c r="B24" s="1">
        <v>43846</v>
      </c>
      <c r="C24">
        <v>88</v>
      </c>
      <c r="D24" t="s">
        <v>38</v>
      </c>
      <c r="E24" t="s">
        <v>50</v>
      </c>
      <c r="F24">
        <v>29</v>
      </c>
      <c r="G24" s="2">
        <v>91</v>
      </c>
      <c r="H24" s="2">
        <v>2639</v>
      </c>
      <c r="I24" s="4">
        <v>0.1</v>
      </c>
      <c r="J24" s="2">
        <v>2375.1</v>
      </c>
      <c r="K24" s="1">
        <v>43873</v>
      </c>
      <c r="L24" s="1">
        <v>43873</v>
      </c>
      <c r="M24">
        <v>23</v>
      </c>
      <c r="N24">
        <v>2</v>
      </c>
      <c r="O24" t="s">
        <v>52</v>
      </c>
      <c r="P24" s="3">
        <v>0.09</v>
      </c>
      <c r="Q24" s="2">
        <v>213.75899999999999</v>
      </c>
      <c r="R24">
        <v>2</v>
      </c>
      <c r="S24" t="str">
        <f t="shared" si="0"/>
        <v>Janeiro</v>
      </c>
    </row>
    <row r="25" spans="1:19">
      <c r="A25">
        <v>24</v>
      </c>
      <c r="B25" s="1">
        <v>43846</v>
      </c>
      <c r="C25">
        <v>51</v>
      </c>
      <c r="D25" t="s">
        <v>53</v>
      </c>
      <c r="E25" t="s">
        <v>54</v>
      </c>
      <c r="F25">
        <v>23</v>
      </c>
      <c r="G25" s="2">
        <v>90</v>
      </c>
      <c r="H25" s="2">
        <v>2070</v>
      </c>
      <c r="I25" s="4">
        <v>7.0000000000000007E-2</v>
      </c>
      <c r="J25" s="2">
        <v>1925.1</v>
      </c>
      <c r="K25" s="1">
        <v>43865</v>
      </c>
      <c r="L25" s="1">
        <v>43865</v>
      </c>
      <c r="M25">
        <v>24</v>
      </c>
      <c r="N25">
        <v>5</v>
      </c>
      <c r="O25" t="s">
        <v>25</v>
      </c>
      <c r="P25" s="3">
        <v>7.0000000000000007E-2</v>
      </c>
      <c r="Q25" s="2">
        <v>134.75700000000001</v>
      </c>
      <c r="R25">
        <v>3</v>
      </c>
      <c r="S25" t="str">
        <f t="shared" si="0"/>
        <v>Janeiro</v>
      </c>
    </row>
    <row r="26" spans="1:19">
      <c r="A26">
        <v>25</v>
      </c>
      <c r="B26" s="1">
        <v>43848</v>
      </c>
      <c r="C26">
        <v>51</v>
      </c>
      <c r="D26" t="s">
        <v>53</v>
      </c>
      <c r="E26" t="s">
        <v>55</v>
      </c>
      <c r="F26">
        <v>17</v>
      </c>
      <c r="G26" s="2">
        <v>116</v>
      </c>
      <c r="H26" s="2">
        <v>1972</v>
      </c>
      <c r="I26" s="4">
        <v>0.08</v>
      </c>
      <c r="J26" s="2">
        <v>1814.24</v>
      </c>
      <c r="K26" s="1">
        <v>43853</v>
      </c>
      <c r="L26" s="1">
        <v>43853</v>
      </c>
      <c r="M26">
        <v>25</v>
      </c>
      <c r="N26">
        <v>5</v>
      </c>
      <c r="O26" t="s">
        <v>34</v>
      </c>
      <c r="P26" s="3">
        <v>0.09</v>
      </c>
      <c r="Q26" s="2">
        <v>163.2816</v>
      </c>
      <c r="R26">
        <v>4</v>
      </c>
      <c r="S26" t="str">
        <f t="shared" si="0"/>
        <v>Janeiro</v>
      </c>
    </row>
    <row r="27" spans="1:19">
      <c r="A27">
        <v>26</v>
      </c>
      <c r="B27" s="1">
        <v>43848</v>
      </c>
      <c r="C27">
        <v>61</v>
      </c>
      <c r="D27" t="s">
        <v>56</v>
      </c>
      <c r="E27" t="s">
        <v>55</v>
      </c>
      <c r="F27">
        <v>28</v>
      </c>
      <c r="G27" s="2">
        <v>109</v>
      </c>
      <c r="H27" s="2">
        <v>3052</v>
      </c>
      <c r="I27" s="4">
        <v>0.09</v>
      </c>
      <c r="J27" s="2">
        <v>2777.32</v>
      </c>
      <c r="K27" s="1">
        <v>43869</v>
      </c>
      <c r="L27" s="1">
        <v>43869</v>
      </c>
      <c r="M27">
        <v>26</v>
      </c>
      <c r="N27">
        <v>5</v>
      </c>
      <c r="O27" t="s">
        <v>47</v>
      </c>
      <c r="P27" s="3">
        <v>0.05</v>
      </c>
      <c r="Q27" s="2">
        <v>138.86600000000001</v>
      </c>
      <c r="R27">
        <v>5</v>
      </c>
      <c r="S27" t="str">
        <f t="shared" si="0"/>
        <v>Janeiro</v>
      </c>
    </row>
    <row r="28" spans="1:19">
      <c r="A28">
        <v>27</v>
      </c>
      <c r="B28" s="1">
        <v>43848</v>
      </c>
      <c r="C28">
        <v>85</v>
      </c>
      <c r="D28" t="s">
        <v>57</v>
      </c>
      <c r="E28" t="s">
        <v>28</v>
      </c>
      <c r="F28">
        <v>11</v>
      </c>
      <c r="G28" s="2">
        <v>101</v>
      </c>
      <c r="H28" s="2">
        <v>1111</v>
      </c>
      <c r="I28" s="4">
        <v>0.11</v>
      </c>
      <c r="J28" s="2">
        <v>988.79</v>
      </c>
      <c r="K28" s="1">
        <v>43878</v>
      </c>
      <c r="L28" s="1">
        <v>43878</v>
      </c>
      <c r="M28">
        <v>27</v>
      </c>
      <c r="N28">
        <v>6</v>
      </c>
      <c r="O28" t="s">
        <v>25</v>
      </c>
      <c r="P28" s="3">
        <v>0.06</v>
      </c>
      <c r="Q28" s="2">
        <v>59.327399999999997</v>
      </c>
      <c r="R28">
        <v>6</v>
      </c>
      <c r="S28" t="str">
        <f t="shared" si="0"/>
        <v>Janeiro</v>
      </c>
    </row>
    <row r="29" spans="1:19">
      <c r="A29">
        <v>28</v>
      </c>
      <c r="B29" s="1">
        <v>43849</v>
      </c>
      <c r="C29">
        <v>34</v>
      </c>
      <c r="D29" t="s">
        <v>58</v>
      </c>
      <c r="E29" t="s">
        <v>59</v>
      </c>
      <c r="F29">
        <v>27</v>
      </c>
      <c r="G29" s="2">
        <v>96</v>
      </c>
      <c r="H29" s="2">
        <v>2592</v>
      </c>
      <c r="I29" s="4">
        <v>0.13</v>
      </c>
      <c r="J29" s="2">
        <v>2255.04</v>
      </c>
      <c r="K29" s="1">
        <v>43868</v>
      </c>
      <c r="L29" s="1">
        <v>43868</v>
      </c>
      <c r="M29">
        <v>28</v>
      </c>
      <c r="N29">
        <v>6</v>
      </c>
      <c r="O29" t="s">
        <v>32</v>
      </c>
      <c r="P29" s="3">
        <v>0.06</v>
      </c>
      <c r="Q29" s="2">
        <v>135.30240000000001</v>
      </c>
      <c r="R29">
        <v>7</v>
      </c>
      <c r="S29" t="str">
        <f t="shared" si="0"/>
        <v>Janeiro</v>
      </c>
    </row>
    <row r="30" spans="1:19">
      <c r="A30">
        <v>29</v>
      </c>
      <c r="B30" s="1">
        <v>43849</v>
      </c>
      <c r="C30">
        <v>90</v>
      </c>
      <c r="D30" t="s">
        <v>60</v>
      </c>
      <c r="E30" t="s">
        <v>28</v>
      </c>
      <c r="F30">
        <v>20</v>
      </c>
      <c r="G30" s="2">
        <v>95</v>
      </c>
      <c r="H30" s="2">
        <v>1900</v>
      </c>
      <c r="I30" s="4">
        <v>7.0000000000000007E-2</v>
      </c>
      <c r="J30" s="2">
        <v>1767</v>
      </c>
      <c r="K30" s="1">
        <v>43854</v>
      </c>
      <c r="L30" s="1">
        <v>43854</v>
      </c>
      <c r="M30">
        <v>29</v>
      </c>
      <c r="N30">
        <v>7</v>
      </c>
      <c r="O30" t="s">
        <v>43</v>
      </c>
      <c r="P30" s="3">
        <v>0.1</v>
      </c>
      <c r="Q30" s="2">
        <v>176.70000000000002</v>
      </c>
      <c r="R30">
        <v>1</v>
      </c>
      <c r="S30" t="str">
        <f t="shared" si="0"/>
        <v>Janeiro</v>
      </c>
    </row>
    <row r="31" spans="1:19">
      <c r="A31">
        <v>30</v>
      </c>
      <c r="B31" s="1">
        <v>43850</v>
      </c>
      <c r="C31">
        <v>48</v>
      </c>
      <c r="D31" t="s">
        <v>61</v>
      </c>
      <c r="E31" t="s">
        <v>50</v>
      </c>
      <c r="F31">
        <v>19</v>
      </c>
      <c r="G31" s="2">
        <v>114</v>
      </c>
      <c r="H31" s="2">
        <v>2166</v>
      </c>
      <c r="I31" s="4">
        <v>0.05</v>
      </c>
      <c r="J31" s="2">
        <v>2057.6999999999998</v>
      </c>
      <c r="K31" s="1">
        <v>43879</v>
      </c>
      <c r="L31" s="1">
        <v>43879</v>
      </c>
      <c r="M31">
        <v>30</v>
      </c>
      <c r="N31">
        <v>5</v>
      </c>
      <c r="O31" t="s">
        <v>32</v>
      </c>
      <c r="P31" s="3">
        <v>0.1</v>
      </c>
      <c r="Q31" s="2">
        <v>205.76999999999998</v>
      </c>
      <c r="R31">
        <v>2</v>
      </c>
      <c r="S31" t="str">
        <f t="shared" si="0"/>
        <v>Janeiro</v>
      </c>
    </row>
    <row r="32" spans="1:19">
      <c r="A32">
        <v>31</v>
      </c>
      <c r="B32" s="1">
        <v>43850</v>
      </c>
      <c r="C32">
        <v>91</v>
      </c>
      <c r="D32" t="s">
        <v>62</v>
      </c>
      <c r="E32" t="s">
        <v>54</v>
      </c>
      <c r="F32">
        <v>50</v>
      </c>
      <c r="G32" s="2">
        <v>96</v>
      </c>
      <c r="H32" s="2">
        <v>4800</v>
      </c>
      <c r="I32" s="4">
        <v>0.05</v>
      </c>
      <c r="J32" s="2">
        <v>4560</v>
      </c>
      <c r="K32" s="1">
        <v>43879</v>
      </c>
      <c r="L32" s="1">
        <v>43879</v>
      </c>
      <c r="M32">
        <v>31</v>
      </c>
      <c r="N32">
        <v>3</v>
      </c>
      <c r="O32" t="s">
        <v>22</v>
      </c>
      <c r="P32" s="3">
        <v>0.08</v>
      </c>
      <c r="Q32" s="2">
        <v>364.8</v>
      </c>
      <c r="R32">
        <v>3</v>
      </c>
      <c r="S32" t="str">
        <f t="shared" si="0"/>
        <v>Janeiro</v>
      </c>
    </row>
    <row r="33" spans="1:19">
      <c r="A33">
        <v>32</v>
      </c>
      <c r="B33" s="1">
        <v>43850</v>
      </c>
      <c r="C33">
        <v>25</v>
      </c>
      <c r="D33" t="s">
        <v>63</v>
      </c>
      <c r="E33" t="s">
        <v>50</v>
      </c>
      <c r="F33">
        <v>20</v>
      </c>
      <c r="G33" s="2">
        <v>108</v>
      </c>
      <c r="H33" s="2">
        <v>2160</v>
      </c>
      <c r="I33" s="4">
        <v>0</v>
      </c>
      <c r="J33" s="2">
        <v>2160</v>
      </c>
      <c r="K33" s="1">
        <v>43862</v>
      </c>
      <c r="L33" s="1">
        <v>43862</v>
      </c>
      <c r="M33">
        <v>32</v>
      </c>
      <c r="N33">
        <v>6</v>
      </c>
      <c r="O33" t="s">
        <v>32</v>
      </c>
      <c r="P33" s="3">
        <v>7.0000000000000007E-2</v>
      </c>
      <c r="Q33" s="2">
        <v>151.20000000000002</v>
      </c>
      <c r="R33">
        <v>4</v>
      </c>
      <c r="S33" t="str">
        <f t="shared" si="0"/>
        <v>Janeiro</v>
      </c>
    </row>
    <row r="34" spans="1:19">
      <c r="A34">
        <v>33</v>
      </c>
      <c r="B34" s="1">
        <v>43851</v>
      </c>
      <c r="C34">
        <v>65</v>
      </c>
      <c r="D34" t="s">
        <v>64</v>
      </c>
      <c r="E34" t="s">
        <v>31</v>
      </c>
      <c r="F34">
        <v>18</v>
      </c>
      <c r="G34" s="2">
        <v>102</v>
      </c>
      <c r="H34" s="2">
        <v>1836</v>
      </c>
      <c r="I34" s="4">
        <v>0.11</v>
      </c>
      <c r="J34" s="2">
        <v>1634.04</v>
      </c>
      <c r="K34" s="1">
        <v>43878</v>
      </c>
      <c r="L34" s="1">
        <v>43878</v>
      </c>
      <c r="M34">
        <v>33</v>
      </c>
      <c r="N34">
        <v>3</v>
      </c>
      <c r="O34" t="s">
        <v>22</v>
      </c>
      <c r="P34" s="3">
        <v>0.06</v>
      </c>
      <c r="Q34" s="2">
        <v>98.042400000000001</v>
      </c>
      <c r="R34">
        <v>5</v>
      </c>
      <c r="S34" t="str">
        <f t="shared" si="0"/>
        <v>Janeiro</v>
      </c>
    </row>
    <row r="35" spans="1:19">
      <c r="A35">
        <v>34</v>
      </c>
      <c r="B35" s="1">
        <v>43851</v>
      </c>
      <c r="C35">
        <v>52</v>
      </c>
      <c r="D35" t="s">
        <v>23</v>
      </c>
      <c r="E35" t="s">
        <v>31</v>
      </c>
      <c r="F35">
        <v>44</v>
      </c>
      <c r="G35" s="2">
        <v>106</v>
      </c>
      <c r="H35" s="2">
        <v>4664</v>
      </c>
      <c r="I35" s="4">
        <v>0.08</v>
      </c>
      <c r="J35" s="2">
        <v>4290.88</v>
      </c>
      <c r="K35" s="1">
        <v>43863</v>
      </c>
      <c r="L35" s="1">
        <v>43863</v>
      </c>
      <c r="M35">
        <v>34</v>
      </c>
      <c r="N35">
        <v>1</v>
      </c>
      <c r="O35" t="s">
        <v>32</v>
      </c>
      <c r="P35" s="3">
        <v>7.0000000000000007E-2</v>
      </c>
      <c r="Q35" s="2">
        <v>300.36160000000001</v>
      </c>
      <c r="R35">
        <v>6</v>
      </c>
      <c r="S35" t="str">
        <f t="shared" si="0"/>
        <v>Janeiro</v>
      </c>
    </row>
    <row r="36" spans="1:19">
      <c r="A36">
        <v>35</v>
      </c>
      <c r="B36" s="1">
        <v>43851</v>
      </c>
      <c r="C36">
        <v>74</v>
      </c>
      <c r="D36" t="s">
        <v>38</v>
      </c>
      <c r="E36" t="s">
        <v>50</v>
      </c>
      <c r="F36">
        <v>41</v>
      </c>
      <c r="G36" s="2">
        <v>105</v>
      </c>
      <c r="H36" s="2">
        <v>4305</v>
      </c>
      <c r="I36" s="4">
        <v>0.13</v>
      </c>
      <c r="J36" s="2">
        <v>3745.35</v>
      </c>
      <c r="K36" s="1">
        <v>43879</v>
      </c>
      <c r="L36" s="1">
        <v>43879</v>
      </c>
      <c r="M36">
        <v>35</v>
      </c>
      <c r="N36">
        <v>6</v>
      </c>
      <c r="O36" t="s">
        <v>52</v>
      </c>
      <c r="P36" s="3">
        <v>0.09</v>
      </c>
      <c r="Q36" s="2">
        <v>337.08150000000001</v>
      </c>
      <c r="R36">
        <v>7</v>
      </c>
      <c r="S36" t="str">
        <f t="shared" si="0"/>
        <v>Janeiro</v>
      </c>
    </row>
    <row r="37" spans="1:19">
      <c r="A37">
        <v>36</v>
      </c>
      <c r="B37" s="1">
        <v>43852</v>
      </c>
      <c r="C37">
        <v>77</v>
      </c>
      <c r="D37" t="s">
        <v>65</v>
      </c>
      <c r="E37" t="s">
        <v>24</v>
      </c>
      <c r="F37">
        <v>19</v>
      </c>
      <c r="G37" s="2">
        <v>111</v>
      </c>
      <c r="H37" s="2">
        <v>2109</v>
      </c>
      <c r="I37" s="4">
        <v>0.08</v>
      </c>
      <c r="J37" s="2">
        <v>1940.28</v>
      </c>
      <c r="K37" s="1">
        <v>43866</v>
      </c>
      <c r="L37" s="1">
        <v>43866</v>
      </c>
      <c r="M37">
        <v>36</v>
      </c>
      <c r="N37">
        <v>2</v>
      </c>
      <c r="O37" t="s">
        <v>37</v>
      </c>
      <c r="P37" s="3">
        <v>0.06</v>
      </c>
      <c r="Q37" s="2">
        <v>116.41679999999999</v>
      </c>
      <c r="R37">
        <v>1</v>
      </c>
      <c r="S37" t="str">
        <f t="shared" si="0"/>
        <v>Janeiro</v>
      </c>
    </row>
    <row r="38" spans="1:19">
      <c r="A38">
        <v>37</v>
      </c>
      <c r="B38" s="1">
        <v>43852</v>
      </c>
      <c r="C38">
        <v>72</v>
      </c>
      <c r="D38" t="s">
        <v>38</v>
      </c>
      <c r="E38" t="s">
        <v>31</v>
      </c>
      <c r="F38">
        <v>14</v>
      </c>
      <c r="G38" s="2">
        <v>94</v>
      </c>
      <c r="H38" s="2">
        <v>1316</v>
      </c>
      <c r="I38" s="4">
        <v>0.09</v>
      </c>
      <c r="J38" s="2">
        <v>1197.56</v>
      </c>
      <c r="K38" s="1">
        <v>43870</v>
      </c>
      <c r="L38" s="1">
        <v>43870</v>
      </c>
      <c r="M38">
        <v>37</v>
      </c>
      <c r="N38">
        <v>7</v>
      </c>
      <c r="O38" t="s">
        <v>47</v>
      </c>
      <c r="P38" s="3">
        <v>0.09</v>
      </c>
      <c r="Q38" s="2">
        <v>107.78039999999999</v>
      </c>
      <c r="R38">
        <v>2</v>
      </c>
      <c r="S38" t="str">
        <f t="shared" si="0"/>
        <v>Janeiro</v>
      </c>
    </row>
    <row r="39" spans="1:19">
      <c r="A39">
        <v>38</v>
      </c>
      <c r="B39" s="1">
        <v>43853</v>
      </c>
      <c r="C39">
        <v>97</v>
      </c>
      <c r="D39" t="s">
        <v>66</v>
      </c>
      <c r="E39" t="s">
        <v>21</v>
      </c>
      <c r="F39">
        <v>16</v>
      </c>
      <c r="G39" s="2">
        <v>108</v>
      </c>
      <c r="H39" s="2">
        <v>1728</v>
      </c>
      <c r="I39" s="4">
        <v>0.08</v>
      </c>
      <c r="J39" s="2">
        <v>1589.76</v>
      </c>
      <c r="K39" s="1">
        <v>43862</v>
      </c>
      <c r="L39" s="1">
        <v>43862</v>
      </c>
      <c r="M39">
        <v>38</v>
      </c>
      <c r="N39">
        <v>4</v>
      </c>
      <c r="O39" t="s">
        <v>47</v>
      </c>
      <c r="P39" s="3">
        <v>0.06</v>
      </c>
      <c r="Q39" s="2">
        <v>95.385599999999997</v>
      </c>
      <c r="R39">
        <v>3</v>
      </c>
      <c r="S39" t="str">
        <f t="shared" si="0"/>
        <v>Janeiro</v>
      </c>
    </row>
    <row r="40" spans="1:19">
      <c r="A40">
        <v>39</v>
      </c>
      <c r="B40" s="1">
        <v>43853</v>
      </c>
      <c r="C40">
        <v>82</v>
      </c>
      <c r="D40" t="s">
        <v>67</v>
      </c>
      <c r="E40" t="s">
        <v>24</v>
      </c>
      <c r="F40">
        <v>41</v>
      </c>
      <c r="G40" s="2">
        <v>102</v>
      </c>
      <c r="H40" s="2">
        <v>4182</v>
      </c>
      <c r="I40" s="4">
        <v>0.04</v>
      </c>
      <c r="J40" s="2">
        <v>4014.72</v>
      </c>
      <c r="K40" s="1">
        <v>43878</v>
      </c>
      <c r="L40" s="1">
        <v>43878</v>
      </c>
      <c r="M40">
        <v>39</v>
      </c>
      <c r="N40">
        <v>7</v>
      </c>
      <c r="O40" t="s">
        <v>29</v>
      </c>
      <c r="P40" s="3">
        <v>0.09</v>
      </c>
      <c r="Q40" s="2">
        <v>361.32479999999998</v>
      </c>
      <c r="R40">
        <v>4</v>
      </c>
      <c r="S40" t="str">
        <f t="shared" si="0"/>
        <v>Janeiro</v>
      </c>
    </row>
    <row r="41" spans="1:19">
      <c r="A41">
        <v>40</v>
      </c>
      <c r="B41" s="1">
        <v>43854</v>
      </c>
      <c r="C41">
        <v>47</v>
      </c>
      <c r="D41" t="s">
        <v>40</v>
      </c>
      <c r="E41" t="s">
        <v>59</v>
      </c>
      <c r="F41">
        <v>46</v>
      </c>
      <c r="G41" s="2">
        <v>107</v>
      </c>
      <c r="H41" s="2">
        <v>4922</v>
      </c>
      <c r="I41" s="4">
        <v>0.15</v>
      </c>
      <c r="J41" s="2">
        <v>4183.7</v>
      </c>
      <c r="K41" s="1">
        <v>43867</v>
      </c>
      <c r="L41" s="1">
        <v>43867</v>
      </c>
      <c r="M41">
        <v>40</v>
      </c>
      <c r="N41">
        <v>6</v>
      </c>
      <c r="O41" t="s">
        <v>25</v>
      </c>
      <c r="P41" s="3">
        <v>0.05</v>
      </c>
      <c r="Q41" s="2">
        <v>209.185</v>
      </c>
      <c r="R41">
        <v>5</v>
      </c>
      <c r="S41" t="str">
        <f t="shared" si="0"/>
        <v>Janeiro</v>
      </c>
    </row>
    <row r="42" spans="1:19">
      <c r="A42">
        <v>41</v>
      </c>
      <c r="B42" s="1">
        <v>43854</v>
      </c>
      <c r="C42">
        <v>77</v>
      </c>
      <c r="D42" t="s">
        <v>65</v>
      </c>
      <c r="E42" t="s">
        <v>50</v>
      </c>
      <c r="F42">
        <v>38</v>
      </c>
      <c r="G42" s="2">
        <v>105</v>
      </c>
      <c r="H42" s="2">
        <v>3990</v>
      </c>
      <c r="I42" s="4">
        <v>0.05</v>
      </c>
      <c r="J42" s="2">
        <v>3790.5</v>
      </c>
      <c r="K42" s="1">
        <v>43881</v>
      </c>
      <c r="L42" s="1">
        <v>43881</v>
      </c>
      <c r="M42">
        <v>41</v>
      </c>
      <c r="N42">
        <v>7</v>
      </c>
      <c r="O42" t="s">
        <v>43</v>
      </c>
      <c r="P42" s="3">
        <v>0.09</v>
      </c>
      <c r="Q42" s="2">
        <v>341.14499999999998</v>
      </c>
      <c r="R42">
        <v>6</v>
      </c>
      <c r="S42" t="str">
        <f t="shared" si="0"/>
        <v>Janeiro</v>
      </c>
    </row>
    <row r="43" spans="1:19">
      <c r="A43">
        <v>42</v>
      </c>
      <c r="B43" s="1">
        <v>43854</v>
      </c>
      <c r="C43">
        <v>8</v>
      </c>
      <c r="D43" t="s">
        <v>38</v>
      </c>
      <c r="E43" t="s">
        <v>41</v>
      </c>
      <c r="F43">
        <v>48</v>
      </c>
      <c r="G43" s="2">
        <v>111</v>
      </c>
      <c r="H43" s="2">
        <v>5328</v>
      </c>
      <c r="I43" s="4">
        <v>0.11</v>
      </c>
      <c r="J43" s="2">
        <v>4741.92</v>
      </c>
      <c r="K43" s="1">
        <v>43867</v>
      </c>
      <c r="L43" s="1">
        <v>43867</v>
      </c>
      <c r="M43">
        <v>42</v>
      </c>
      <c r="N43">
        <v>7</v>
      </c>
      <c r="O43" t="s">
        <v>37</v>
      </c>
      <c r="P43" s="3">
        <v>0.09</v>
      </c>
      <c r="Q43" s="2">
        <v>426.77280000000002</v>
      </c>
      <c r="R43">
        <v>7</v>
      </c>
      <c r="S43" t="str">
        <f t="shared" si="0"/>
        <v>Janeiro</v>
      </c>
    </row>
    <row r="44" spans="1:19">
      <c r="A44">
        <v>43</v>
      </c>
      <c r="B44" s="1">
        <v>43854</v>
      </c>
      <c r="C44">
        <v>41</v>
      </c>
      <c r="D44" t="s">
        <v>68</v>
      </c>
      <c r="E44" t="s">
        <v>28</v>
      </c>
      <c r="F44">
        <v>33</v>
      </c>
      <c r="G44" s="2">
        <v>99</v>
      </c>
      <c r="H44" s="2">
        <v>3267</v>
      </c>
      <c r="I44" s="4">
        <v>0.02</v>
      </c>
      <c r="J44" s="2">
        <v>3201.66</v>
      </c>
      <c r="K44" s="1">
        <v>43877</v>
      </c>
      <c r="L44" s="1">
        <v>43877</v>
      </c>
      <c r="M44">
        <v>43</v>
      </c>
      <c r="N44">
        <v>5</v>
      </c>
      <c r="O44" t="s">
        <v>22</v>
      </c>
      <c r="P44" s="3">
        <v>0.05</v>
      </c>
      <c r="Q44" s="2">
        <v>160.083</v>
      </c>
      <c r="R44">
        <v>1</v>
      </c>
      <c r="S44" t="str">
        <f t="shared" si="0"/>
        <v>Janeiro</v>
      </c>
    </row>
    <row r="45" spans="1:19">
      <c r="A45">
        <v>44</v>
      </c>
      <c r="B45" s="1">
        <v>43855</v>
      </c>
      <c r="C45">
        <v>41</v>
      </c>
      <c r="D45" t="s">
        <v>68</v>
      </c>
      <c r="E45" t="s">
        <v>46</v>
      </c>
      <c r="F45">
        <v>22</v>
      </c>
      <c r="G45" s="2">
        <v>117</v>
      </c>
      <c r="H45" s="2">
        <v>2574</v>
      </c>
      <c r="I45" s="4">
        <v>0.12</v>
      </c>
      <c r="J45" s="2">
        <v>2265.12</v>
      </c>
      <c r="K45" s="1">
        <v>43884</v>
      </c>
      <c r="L45" s="1">
        <v>43884</v>
      </c>
      <c r="M45">
        <v>44</v>
      </c>
      <c r="N45">
        <v>7</v>
      </c>
      <c r="O45" t="s">
        <v>29</v>
      </c>
      <c r="P45" s="3">
        <v>7.0000000000000007E-2</v>
      </c>
      <c r="Q45" s="2">
        <v>158.55840000000001</v>
      </c>
      <c r="R45">
        <v>2</v>
      </c>
      <c r="S45" t="str">
        <f t="shared" si="0"/>
        <v>Janeiro</v>
      </c>
    </row>
    <row r="46" spans="1:19">
      <c r="A46">
        <v>45</v>
      </c>
      <c r="B46" s="1">
        <v>43855</v>
      </c>
      <c r="C46">
        <v>55</v>
      </c>
      <c r="D46" t="s">
        <v>44</v>
      </c>
      <c r="E46" t="s">
        <v>41</v>
      </c>
      <c r="F46">
        <v>31</v>
      </c>
      <c r="G46" s="2">
        <v>110</v>
      </c>
      <c r="H46" s="2">
        <v>3410</v>
      </c>
      <c r="I46" s="4">
        <v>0.04</v>
      </c>
      <c r="J46" s="2">
        <v>3273.6</v>
      </c>
      <c r="K46" s="1">
        <v>43858</v>
      </c>
      <c r="L46" s="1">
        <v>43858</v>
      </c>
      <c r="M46">
        <v>45</v>
      </c>
      <c r="N46">
        <v>6</v>
      </c>
      <c r="O46" t="s">
        <v>43</v>
      </c>
      <c r="P46" s="3">
        <v>0.06</v>
      </c>
      <c r="Q46" s="2">
        <v>196.416</v>
      </c>
      <c r="R46">
        <v>3</v>
      </c>
      <c r="S46" t="str">
        <f t="shared" si="0"/>
        <v>Janeiro</v>
      </c>
    </row>
    <row r="47" spans="1:19">
      <c r="A47">
        <v>46</v>
      </c>
      <c r="B47" s="1">
        <v>43855</v>
      </c>
      <c r="C47">
        <v>40</v>
      </c>
      <c r="D47" t="s">
        <v>49</v>
      </c>
      <c r="E47" t="s">
        <v>41</v>
      </c>
      <c r="F47">
        <v>37</v>
      </c>
      <c r="G47" s="2">
        <v>90</v>
      </c>
      <c r="H47" s="2">
        <v>3330</v>
      </c>
      <c r="I47" s="4">
        <v>0.15</v>
      </c>
      <c r="J47" s="2">
        <v>2830.5</v>
      </c>
      <c r="K47" s="1">
        <v>43876</v>
      </c>
      <c r="L47" s="1">
        <v>43876</v>
      </c>
      <c r="M47">
        <v>46</v>
      </c>
      <c r="N47">
        <v>1</v>
      </c>
      <c r="O47" t="s">
        <v>34</v>
      </c>
      <c r="P47" s="3">
        <v>0.1</v>
      </c>
      <c r="Q47" s="2">
        <v>283.05</v>
      </c>
      <c r="R47">
        <v>4</v>
      </c>
      <c r="S47" t="str">
        <f t="shared" si="0"/>
        <v>Janeiro</v>
      </c>
    </row>
    <row r="48" spans="1:19">
      <c r="A48">
        <v>47</v>
      </c>
      <c r="B48" s="1">
        <v>43855</v>
      </c>
      <c r="C48">
        <v>47</v>
      </c>
      <c r="D48" t="s">
        <v>40</v>
      </c>
      <c r="E48" t="s">
        <v>41</v>
      </c>
      <c r="F48">
        <v>45</v>
      </c>
      <c r="G48" s="2">
        <v>108</v>
      </c>
      <c r="H48" s="2">
        <v>4860</v>
      </c>
      <c r="I48" s="4">
        <v>0.11</v>
      </c>
      <c r="J48" s="2">
        <v>4325.3999999999996</v>
      </c>
      <c r="K48" s="1">
        <v>43860</v>
      </c>
      <c r="L48" s="1">
        <v>43860</v>
      </c>
      <c r="M48">
        <v>47</v>
      </c>
      <c r="N48">
        <v>6</v>
      </c>
      <c r="O48" t="s">
        <v>69</v>
      </c>
      <c r="P48" s="3">
        <v>0.1</v>
      </c>
      <c r="Q48" s="2">
        <v>432.53999999999996</v>
      </c>
      <c r="R48">
        <v>5</v>
      </c>
      <c r="S48" t="str">
        <f t="shared" si="0"/>
        <v>Janeiro</v>
      </c>
    </row>
    <row r="49" spans="1:19">
      <c r="A49">
        <v>48</v>
      </c>
      <c r="B49" s="1">
        <v>43857</v>
      </c>
      <c r="C49">
        <v>36</v>
      </c>
      <c r="D49" t="s">
        <v>70</v>
      </c>
      <c r="E49" t="s">
        <v>46</v>
      </c>
      <c r="F49">
        <v>26</v>
      </c>
      <c r="G49" s="2">
        <v>93</v>
      </c>
      <c r="H49" s="2">
        <v>2418</v>
      </c>
      <c r="I49" s="4">
        <v>0.05</v>
      </c>
      <c r="J49" s="2">
        <v>2297.1</v>
      </c>
      <c r="K49" s="1">
        <v>43878</v>
      </c>
      <c r="L49" s="1">
        <v>43878</v>
      </c>
      <c r="M49">
        <v>48</v>
      </c>
      <c r="N49">
        <v>7</v>
      </c>
      <c r="O49" t="s">
        <v>34</v>
      </c>
      <c r="P49" s="3">
        <v>0.09</v>
      </c>
      <c r="Q49" s="2">
        <v>206.73899999999998</v>
      </c>
      <c r="R49">
        <v>6</v>
      </c>
      <c r="S49" t="str">
        <f t="shared" si="0"/>
        <v>Janeiro</v>
      </c>
    </row>
    <row r="50" spans="1:19">
      <c r="A50">
        <v>49</v>
      </c>
      <c r="B50" s="1">
        <v>43859</v>
      </c>
      <c r="C50">
        <v>44</v>
      </c>
      <c r="D50" t="s">
        <v>71</v>
      </c>
      <c r="E50" t="s">
        <v>55</v>
      </c>
      <c r="F50">
        <v>44</v>
      </c>
      <c r="G50" s="2">
        <v>92</v>
      </c>
      <c r="H50" s="2">
        <v>4048</v>
      </c>
      <c r="I50" s="4">
        <v>0.04</v>
      </c>
      <c r="J50" s="2">
        <v>3886.08</v>
      </c>
      <c r="K50" s="1">
        <v>43889</v>
      </c>
      <c r="L50" s="1">
        <v>43889</v>
      </c>
      <c r="M50">
        <v>49</v>
      </c>
      <c r="N50">
        <v>5</v>
      </c>
      <c r="O50" t="s">
        <v>52</v>
      </c>
      <c r="P50" s="3">
        <v>0.1</v>
      </c>
      <c r="Q50" s="2">
        <v>388.608</v>
      </c>
      <c r="R50">
        <v>7</v>
      </c>
      <c r="S50" t="str">
        <f t="shared" si="0"/>
        <v>Janeiro</v>
      </c>
    </row>
    <row r="51" spans="1:19">
      <c r="A51">
        <v>50</v>
      </c>
      <c r="B51" s="1">
        <v>43859</v>
      </c>
      <c r="C51">
        <v>58</v>
      </c>
      <c r="D51" t="s">
        <v>72</v>
      </c>
      <c r="E51" t="s">
        <v>46</v>
      </c>
      <c r="F51">
        <v>26</v>
      </c>
      <c r="G51" s="2">
        <v>116</v>
      </c>
      <c r="H51" s="2">
        <v>3016</v>
      </c>
      <c r="I51" s="4">
        <v>0</v>
      </c>
      <c r="J51" s="2">
        <v>3016</v>
      </c>
      <c r="K51" s="1">
        <v>43884</v>
      </c>
      <c r="L51" s="1">
        <v>43884</v>
      </c>
      <c r="M51">
        <v>50</v>
      </c>
      <c r="N51">
        <v>1</v>
      </c>
      <c r="O51" t="s">
        <v>25</v>
      </c>
      <c r="P51" s="3">
        <v>0.1</v>
      </c>
      <c r="Q51" s="2">
        <v>301.60000000000002</v>
      </c>
      <c r="R51">
        <v>1</v>
      </c>
      <c r="S51" t="str">
        <f t="shared" si="0"/>
        <v>Janeiro</v>
      </c>
    </row>
    <row r="52" spans="1:19">
      <c r="A52">
        <v>51</v>
      </c>
      <c r="B52" s="1">
        <v>43859</v>
      </c>
      <c r="C52">
        <v>38</v>
      </c>
      <c r="D52" t="s">
        <v>73</v>
      </c>
      <c r="E52" t="s">
        <v>31</v>
      </c>
      <c r="F52">
        <v>50</v>
      </c>
      <c r="G52" s="2">
        <v>91</v>
      </c>
      <c r="H52" s="2">
        <v>4550</v>
      </c>
      <c r="I52" s="4">
        <v>0.12</v>
      </c>
      <c r="J52" s="2">
        <v>4004</v>
      </c>
      <c r="K52" s="1">
        <v>43860</v>
      </c>
      <c r="L52" s="1">
        <v>43860</v>
      </c>
      <c r="M52">
        <v>51</v>
      </c>
      <c r="N52">
        <v>7</v>
      </c>
      <c r="O52" t="s">
        <v>22</v>
      </c>
      <c r="P52" s="3">
        <v>0.09</v>
      </c>
      <c r="Q52" s="2">
        <v>360.36</v>
      </c>
      <c r="R52">
        <v>2</v>
      </c>
      <c r="S52" t="str">
        <f t="shared" si="0"/>
        <v>Janeiro</v>
      </c>
    </row>
    <row r="53" spans="1:19">
      <c r="A53">
        <v>52</v>
      </c>
      <c r="B53" s="1">
        <v>43859</v>
      </c>
      <c r="C53">
        <v>94</v>
      </c>
      <c r="D53" t="s">
        <v>49</v>
      </c>
      <c r="E53" t="s">
        <v>50</v>
      </c>
      <c r="F53">
        <v>30</v>
      </c>
      <c r="G53" s="2">
        <v>103</v>
      </c>
      <c r="H53" s="2">
        <v>3090</v>
      </c>
      <c r="I53" s="4">
        <v>0.06</v>
      </c>
      <c r="J53" s="2">
        <v>2904.6</v>
      </c>
      <c r="K53" s="1">
        <v>43871</v>
      </c>
      <c r="L53" s="1">
        <v>43871</v>
      </c>
      <c r="M53">
        <v>52</v>
      </c>
      <c r="N53">
        <v>3</v>
      </c>
      <c r="O53" t="s">
        <v>69</v>
      </c>
      <c r="P53" s="3">
        <v>7.0000000000000007E-2</v>
      </c>
      <c r="Q53" s="2">
        <v>203.322</v>
      </c>
      <c r="R53">
        <v>3</v>
      </c>
      <c r="S53" t="str">
        <f t="shared" si="0"/>
        <v>Janeiro</v>
      </c>
    </row>
    <row r="54" spans="1:19">
      <c r="A54">
        <v>53</v>
      </c>
      <c r="B54" s="1">
        <v>43860</v>
      </c>
      <c r="C54">
        <v>24</v>
      </c>
      <c r="D54" t="s">
        <v>74</v>
      </c>
      <c r="E54" t="s">
        <v>31</v>
      </c>
      <c r="F54">
        <v>44</v>
      </c>
      <c r="G54" s="2">
        <v>94</v>
      </c>
      <c r="H54" s="2">
        <v>4136</v>
      </c>
      <c r="I54" s="4">
        <v>0.08</v>
      </c>
      <c r="J54" s="2">
        <v>3805.12</v>
      </c>
      <c r="K54" s="1">
        <v>43886</v>
      </c>
      <c r="L54" s="1">
        <v>43886</v>
      </c>
      <c r="M54">
        <v>53</v>
      </c>
      <c r="N54">
        <v>6</v>
      </c>
      <c r="O54" t="s">
        <v>37</v>
      </c>
      <c r="P54" s="3">
        <v>0.06</v>
      </c>
      <c r="Q54" s="2">
        <v>228.30719999999999</v>
      </c>
      <c r="R54">
        <v>4</v>
      </c>
      <c r="S54" t="str">
        <f t="shared" si="0"/>
        <v>Janeiro</v>
      </c>
    </row>
    <row r="55" spans="1:19">
      <c r="A55">
        <v>54</v>
      </c>
      <c r="B55" s="1">
        <v>43861</v>
      </c>
      <c r="C55">
        <v>93</v>
      </c>
      <c r="D55" t="s">
        <v>33</v>
      </c>
      <c r="E55" t="s">
        <v>46</v>
      </c>
      <c r="F55">
        <v>41</v>
      </c>
      <c r="G55" s="2">
        <v>103</v>
      </c>
      <c r="H55" s="2">
        <v>4223</v>
      </c>
      <c r="I55" s="4">
        <v>0.1</v>
      </c>
      <c r="J55" s="2">
        <v>3800.7</v>
      </c>
      <c r="K55" s="1">
        <v>43869</v>
      </c>
      <c r="L55" s="1">
        <v>43869</v>
      </c>
      <c r="M55">
        <v>54</v>
      </c>
      <c r="N55">
        <v>2</v>
      </c>
      <c r="O55" t="s">
        <v>22</v>
      </c>
      <c r="P55" s="3">
        <v>0.08</v>
      </c>
      <c r="Q55" s="2">
        <v>304.05599999999998</v>
      </c>
      <c r="R55">
        <v>5</v>
      </c>
      <c r="S55" t="str">
        <f t="shared" si="0"/>
        <v>Janeiro</v>
      </c>
    </row>
    <row r="56" spans="1:19">
      <c r="A56">
        <v>55</v>
      </c>
      <c r="B56" s="1">
        <v>43861</v>
      </c>
      <c r="C56">
        <v>95</v>
      </c>
      <c r="D56" t="s">
        <v>38</v>
      </c>
      <c r="E56" t="s">
        <v>41</v>
      </c>
      <c r="F56">
        <v>11</v>
      </c>
      <c r="G56" s="2">
        <v>105</v>
      </c>
      <c r="H56" s="2">
        <v>1155</v>
      </c>
      <c r="I56" s="4">
        <v>0.06</v>
      </c>
      <c r="J56" s="2">
        <v>1085.7</v>
      </c>
      <c r="K56" s="1">
        <v>43872</v>
      </c>
      <c r="L56" s="1">
        <v>43872</v>
      </c>
      <c r="M56">
        <v>55</v>
      </c>
      <c r="N56">
        <v>4</v>
      </c>
      <c r="O56" t="s">
        <v>29</v>
      </c>
      <c r="P56" s="3">
        <v>7.0000000000000007E-2</v>
      </c>
      <c r="Q56" s="2">
        <v>75.999000000000009</v>
      </c>
      <c r="R56">
        <v>6</v>
      </c>
      <c r="S56" t="str">
        <f t="shared" si="0"/>
        <v>Janeiro</v>
      </c>
    </row>
    <row r="57" spans="1:19">
      <c r="A57">
        <v>56</v>
      </c>
      <c r="B57" s="1">
        <v>43861</v>
      </c>
      <c r="C57">
        <v>13</v>
      </c>
      <c r="D57" t="s">
        <v>75</v>
      </c>
      <c r="E57" t="s">
        <v>24</v>
      </c>
      <c r="F57">
        <v>45</v>
      </c>
      <c r="G57" s="2">
        <v>106</v>
      </c>
      <c r="H57" s="2">
        <v>4770</v>
      </c>
      <c r="I57" s="4">
        <v>0.12</v>
      </c>
      <c r="J57" s="2">
        <v>4197.6000000000004</v>
      </c>
      <c r="K57" s="1">
        <v>43886</v>
      </c>
      <c r="L57" s="1">
        <v>43886</v>
      </c>
      <c r="M57">
        <v>56</v>
      </c>
      <c r="N57">
        <v>6</v>
      </c>
      <c r="O57" t="s">
        <v>25</v>
      </c>
      <c r="P57" s="3">
        <v>0.05</v>
      </c>
      <c r="Q57" s="2">
        <v>209.88000000000002</v>
      </c>
      <c r="R57">
        <v>7</v>
      </c>
      <c r="S57" t="str">
        <f t="shared" si="0"/>
        <v>Janeiro</v>
      </c>
    </row>
    <row r="58" spans="1:19">
      <c r="A58">
        <v>57</v>
      </c>
      <c r="B58" s="1">
        <v>43862</v>
      </c>
      <c r="C58">
        <v>33</v>
      </c>
      <c r="D58" t="s">
        <v>76</v>
      </c>
      <c r="E58" t="s">
        <v>50</v>
      </c>
      <c r="F58">
        <v>35</v>
      </c>
      <c r="G58" s="2">
        <v>101</v>
      </c>
      <c r="H58" s="2">
        <v>3535</v>
      </c>
      <c r="I58" s="4">
        <v>0.13</v>
      </c>
      <c r="J58" s="2">
        <v>3075.45</v>
      </c>
      <c r="K58" s="1">
        <v>43888</v>
      </c>
      <c r="L58" s="1">
        <v>43888</v>
      </c>
      <c r="M58">
        <v>57</v>
      </c>
      <c r="N58">
        <v>4</v>
      </c>
      <c r="O58" t="s">
        <v>32</v>
      </c>
      <c r="P58" s="3">
        <v>0.08</v>
      </c>
      <c r="Q58" s="2">
        <v>246.036</v>
      </c>
      <c r="R58">
        <v>1</v>
      </c>
      <c r="S58" t="str">
        <f t="shared" si="0"/>
        <v>Fevereiro</v>
      </c>
    </row>
    <row r="59" spans="1:19">
      <c r="A59">
        <v>58</v>
      </c>
      <c r="B59" s="1">
        <v>43862</v>
      </c>
      <c r="C59">
        <v>52</v>
      </c>
      <c r="D59" t="s">
        <v>23</v>
      </c>
      <c r="E59" t="s">
        <v>54</v>
      </c>
      <c r="F59">
        <v>15</v>
      </c>
      <c r="G59" s="2">
        <v>104</v>
      </c>
      <c r="H59" s="2">
        <v>1560</v>
      </c>
      <c r="I59" s="4">
        <v>0.12</v>
      </c>
      <c r="J59" s="2">
        <v>1372.8</v>
      </c>
      <c r="K59" s="1">
        <v>43882</v>
      </c>
      <c r="L59" s="1">
        <v>43882</v>
      </c>
      <c r="M59">
        <v>58</v>
      </c>
      <c r="N59">
        <v>4</v>
      </c>
      <c r="O59" t="s">
        <v>43</v>
      </c>
      <c r="P59" s="3">
        <v>0.08</v>
      </c>
      <c r="Q59" s="2">
        <v>109.824</v>
      </c>
      <c r="R59">
        <v>2</v>
      </c>
      <c r="S59" t="str">
        <f t="shared" si="0"/>
        <v>Fevereiro</v>
      </c>
    </row>
    <row r="60" spans="1:19">
      <c r="A60">
        <v>59</v>
      </c>
      <c r="B60" s="1">
        <v>43863</v>
      </c>
      <c r="C60">
        <v>15</v>
      </c>
      <c r="D60" t="s">
        <v>77</v>
      </c>
      <c r="E60" t="s">
        <v>24</v>
      </c>
      <c r="F60">
        <v>13</v>
      </c>
      <c r="G60" s="2">
        <v>116</v>
      </c>
      <c r="H60" s="2">
        <v>1508</v>
      </c>
      <c r="I60" s="4">
        <v>0.14000000000000001</v>
      </c>
      <c r="J60" s="2">
        <v>1296.8799999999999</v>
      </c>
      <c r="K60" s="1">
        <v>43891</v>
      </c>
      <c r="L60" s="1">
        <v>43891</v>
      </c>
      <c r="M60">
        <v>59</v>
      </c>
      <c r="N60">
        <v>3</v>
      </c>
      <c r="O60" t="s">
        <v>29</v>
      </c>
      <c r="P60" s="3">
        <v>7.0000000000000007E-2</v>
      </c>
      <c r="Q60" s="2">
        <v>90.781599999999997</v>
      </c>
      <c r="R60">
        <v>3</v>
      </c>
      <c r="S60" t="str">
        <f t="shared" si="0"/>
        <v>Fevereiro</v>
      </c>
    </row>
    <row r="61" spans="1:19">
      <c r="A61">
        <v>60</v>
      </c>
      <c r="B61" s="1">
        <v>43864</v>
      </c>
      <c r="C61">
        <v>13</v>
      </c>
      <c r="D61" t="s">
        <v>75</v>
      </c>
      <c r="E61" t="s">
        <v>31</v>
      </c>
      <c r="F61">
        <v>43</v>
      </c>
      <c r="G61" s="2">
        <v>98</v>
      </c>
      <c r="H61" s="2">
        <v>4214</v>
      </c>
      <c r="I61" s="4">
        <v>0.08</v>
      </c>
      <c r="J61" s="2">
        <v>3876.88</v>
      </c>
      <c r="K61" s="1">
        <v>43879</v>
      </c>
      <c r="L61" s="1">
        <v>43879</v>
      </c>
      <c r="M61">
        <v>60</v>
      </c>
      <c r="N61">
        <v>1</v>
      </c>
      <c r="O61" t="s">
        <v>34</v>
      </c>
      <c r="P61" s="3">
        <v>7.0000000000000007E-2</v>
      </c>
      <c r="Q61" s="2">
        <v>271.38160000000005</v>
      </c>
      <c r="R61">
        <v>4</v>
      </c>
      <c r="S61" t="str">
        <f t="shared" si="0"/>
        <v>Fevereiro</v>
      </c>
    </row>
    <row r="62" spans="1:19">
      <c r="A62">
        <v>61</v>
      </c>
      <c r="B62" s="1">
        <v>43864</v>
      </c>
      <c r="C62">
        <v>89</v>
      </c>
      <c r="D62" t="s">
        <v>49</v>
      </c>
      <c r="E62" t="s">
        <v>41</v>
      </c>
      <c r="F62">
        <v>28</v>
      </c>
      <c r="G62" s="2">
        <v>102</v>
      </c>
      <c r="H62" s="2">
        <v>2856</v>
      </c>
      <c r="I62" s="4">
        <v>0</v>
      </c>
      <c r="J62" s="2">
        <v>2856</v>
      </c>
      <c r="K62" s="1">
        <v>43890</v>
      </c>
      <c r="L62" s="1">
        <v>43890</v>
      </c>
      <c r="M62">
        <v>61</v>
      </c>
      <c r="N62">
        <v>2</v>
      </c>
      <c r="O62" t="s">
        <v>47</v>
      </c>
      <c r="P62" s="3">
        <v>0.09</v>
      </c>
      <c r="Q62" s="2">
        <v>257.03999999999996</v>
      </c>
      <c r="R62">
        <v>5</v>
      </c>
      <c r="S62" t="str">
        <f t="shared" si="0"/>
        <v>Fevereiro</v>
      </c>
    </row>
    <row r="63" spans="1:19">
      <c r="A63">
        <v>62</v>
      </c>
      <c r="B63" s="1">
        <v>43865</v>
      </c>
      <c r="C63">
        <v>64</v>
      </c>
      <c r="D63" t="s">
        <v>78</v>
      </c>
      <c r="E63" t="s">
        <v>50</v>
      </c>
      <c r="F63">
        <v>16</v>
      </c>
      <c r="G63" s="2">
        <v>112</v>
      </c>
      <c r="H63" s="2">
        <v>1792</v>
      </c>
      <c r="I63" s="4">
        <v>0.04</v>
      </c>
      <c r="J63" s="2">
        <v>1720.32</v>
      </c>
      <c r="K63" s="1">
        <v>43869</v>
      </c>
      <c r="L63" s="1">
        <v>43869</v>
      </c>
      <c r="M63">
        <v>62</v>
      </c>
      <c r="N63">
        <v>4</v>
      </c>
      <c r="O63" t="s">
        <v>52</v>
      </c>
      <c r="P63" s="3">
        <v>0.05</v>
      </c>
      <c r="Q63" s="2">
        <v>86.016000000000005</v>
      </c>
      <c r="R63">
        <v>6</v>
      </c>
      <c r="S63" t="str">
        <f t="shared" si="0"/>
        <v>Fevereiro</v>
      </c>
    </row>
    <row r="64" spans="1:19">
      <c r="A64">
        <v>63</v>
      </c>
      <c r="B64" s="1">
        <v>43865</v>
      </c>
      <c r="C64">
        <v>54</v>
      </c>
      <c r="D64" t="s">
        <v>79</v>
      </c>
      <c r="E64" t="s">
        <v>54</v>
      </c>
      <c r="F64">
        <v>42</v>
      </c>
      <c r="G64" s="2">
        <v>102</v>
      </c>
      <c r="H64" s="2">
        <v>4284</v>
      </c>
      <c r="I64" s="4">
        <v>0.05</v>
      </c>
      <c r="J64" s="2">
        <v>4069.8</v>
      </c>
      <c r="K64" s="1">
        <v>43885</v>
      </c>
      <c r="L64" s="1">
        <v>43885</v>
      </c>
      <c r="M64">
        <v>63</v>
      </c>
      <c r="N64">
        <v>2</v>
      </c>
      <c r="O64" t="s">
        <v>43</v>
      </c>
      <c r="P64" s="3">
        <v>0.05</v>
      </c>
      <c r="Q64" s="2">
        <v>203.49</v>
      </c>
      <c r="R64">
        <v>7</v>
      </c>
      <c r="S64" t="str">
        <f t="shared" si="0"/>
        <v>Fevereiro</v>
      </c>
    </row>
    <row r="65" spans="1:19">
      <c r="A65">
        <v>64</v>
      </c>
      <c r="B65" s="1">
        <v>43866</v>
      </c>
      <c r="C65">
        <v>41</v>
      </c>
      <c r="D65" t="s">
        <v>68</v>
      </c>
      <c r="E65" t="s">
        <v>28</v>
      </c>
      <c r="F65">
        <v>32</v>
      </c>
      <c r="G65" s="2">
        <v>110</v>
      </c>
      <c r="H65" s="2">
        <v>3520</v>
      </c>
      <c r="I65" s="4">
        <v>0</v>
      </c>
      <c r="J65" s="2">
        <v>3520</v>
      </c>
      <c r="K65" s="1">
        <v>43877</v>
      </c>
      <c r="L65" s="1">
        <v>43877</v>
      </c>
      <c r="M65">
        <v>64</v>
      </c>
      <c r="N65">
        <v>4</v>
      </c>
      <c r="O65" t="s">
        <v>43</v>
      </c>
      <c r="P65" s="3">
        <v>0.06</v>
      </c>
      <c r="Q65" s="2">
        <v>211.2</v>
      </c>
      <c r="R65">
        <v>1</v>
      </c>
      <c r="S65" t="str">
        <f t="shared" si="0"/>
        <v>Fevereiro</v>
      </c>
    </row>
    <row r="66" spans="1:19">
      <c r="A66">
        <v>65</v>
      </c>
      <c r="B66" s="1">
        <v>43866</v>
      </c>
      <c r="C66">
        <v>65</v>
      </c>
      <c r="D66" t="s">
        <v>64</v>
      </c>
      <c r="E66" t="s">
        <v>21</v>
      </c>
      <c r="F66">
        <v>17</v>
      </c>
      <c r="G66" s="2">
        <v>93</v>
      </c>
      <c r="H66" s="2">
        <v>1581</v>
      </c>
      <c r="I66" s="4">
        <v>0.02</v>
      </c>
      <c r="J66" s="2">
        <v>1549.38</v>
      </c>
      <c r="K66" s="1">
        <v>43871</v>
      </c>
      <c r="L66" s="1">
        <v>43871</v>
      </c>
      <c r="M66">
        <v>65</v>
      </c>
      <c r="N66">
        <v>5</v>
      </c>
      <c r="O66" t="s">
        <v>34</v>
      </c>
      <c r="P66" s="3">
        <v>0.05</v>
      </c>
      <c r="Q66" s="2">
        <v>77.469000000000008</v>
      </c>
      <c r="R66">
        <v>2</v>
      </c>
      <c r="S66" t="str">
        <f t="shared" si="0"/>
        <v>Fevereiro</v>
      </c>
    </row>
    <row r="67" spans="1:19">
      <c r="A67">
        <v>66</v>
      </c>
      <c r="B67" s="1">
        <v>43866</v>
      </c>
      <c r="C67">
        <v>94</v>
      </c>
      <c r="D67" t="s">
        <v>49</v>
      </c>
      <c r="E67" t="s">
        <v>31</v>
      </c>
      <c r="F67">
        <v>23</v>
      </c>
      <c r="G67" s="2">
        <v>107</v>
      </c>
      <c r="H67" s="2">
        <v>2461</v>
      </c>
      <c r="I67" s="4">
        <v>0.1</v>
      </c>
      <c r="J67" s="2">
        <v>2214.9</v>
      </c>
      <c r="K67" s="1">
        <v>43877</v>
      </c>
      <c r="L67" s="1">
        <v>43877</v>
      </c>
      <c r="M67">
        <v>66</v>
      </c>
      <c r="N67">
        <v>1</v>
      </c>
      <c r="O67" t="s">
        <v>25</v>
      </c>
      <c r="P67" s="3">
        <v>0.05</v>
      </c>
      <c r="Q67" s="2">
        <v>110.745</v>
      </c>
      <c r="R67">
        <v>3</v>
      </c>
      <c r="S67" t="str">
        <f t="shared" ref="S67:S130" si="1">PROPER(TEXT(B67,"mmmm"))</f>
        <v>Fevereiro</v>
      </c>
    </row>
    <row r="68" spans="1:19">
      <c r="A68">
        <v>67</v>
      </c>
      <c r="B68" s="1">
        <v>43866</v>
      </c>
      <c r="C68">
        <v>47</v>
      </c>
      <c r="D68" t="s">
        <v>40</v>
      </c>
      <c r="E68" t="s">
        <v>31</v>
      </c>
      <c r="F68">
        <v>35</v>
      </c>
      <c r="G68" s="2">
        <v>93</v>
      </c>
      <c r="H68" s="2">
        <v>3255</v>
      </c>
      <c r="I68" s="4">
        <v>0.14000000000000001</v>
      </c>
      <c r="J68" s="2">
        <v>2799.3</v>
      </c>
      <c r="K68" s="1">
        <v>43886</v>
      </c>
      <c r="L68" s="1">
        <v>43886</v>
      </c>
      <c r="M68">
        <v>67</v>
      </c>
      <c r="N68">
        <v>5</v>
      </c>
      <c r="O68" t="s">
        <v>52</v>
      </c>
      <c r="P68" s="3">
        <v>0.1</v>
      </c>
      <c r="Q68" s="2">
        <v>279.93</v>
      </c>
      <c r="R68">
        <v>4</v>
      </c>
      <c r="S68" t="str">
        <f t="shared" si="1"/>
        <v>Fevereiro</v>
      </c>
    </row>
    <row r="69" spans="1:19">
      <c r="A69">
        <v>68</v>
      </c>
      <c r="B69" s="1">
        <v>43866</v>
      </c>
      <c r="C69">
        <v>69</v>
      </c>
      <c r="D69" t="s">
        <v>67</v>
      </c>
      <c r="E69" t="s">
        <v>50</v>
      </c>
      <c r="F69">
        <v>45</v>
      </c>
      <c r="G69" s="2">
        <v>119</v>
      </c>
      <c r="H69" s="2">
        <v>5355</v>
      </c>
      <c r="I69" s="4">
        <v>0.05</v>
      </c>
      <c r="J69" s="2">
        <v>5087.25</v>
      </c>
      <c r="K69" s="1">
        <v>43885</v>
      </c>
      <c r="L69" s="1">
        <v>43885</v>
      </c>
      <c r="M69">
        <v>68</v>
      </c>
      <c r="N69">
        <v>1</v>
      </c>
      <c r="O69" t="s">
        <v>25</v>
      </c>
      <c r="P69" s="3">
        <v>0.05</v>
      </c>
      <c r="Q69" s="2">
        <v>254.36250000000001</v>
      </c>
      <c r="R69">
        <v>5</v>
      </c>
      <c r="S69" t="str">
        <f t="shared" si="1"/>
        <v>Fevereiro</v>
      </c>
    </row>
    <row r="70" spans="1:19">
      <c r="A70">
        <v>69</v>
      </c>
      <c r="B70" s="1">
        <v>43866</v>
      </c>
      <c r="C70">
        <v>39</v>
      </c>
      <c r="D70" t="s">
        <v>38</v>
      </c>
      <c r="E70" t="s">
        <v>54</v>
      </c>
      <c r="F70">
        <v>32</v>
      </c>
      <c r="G70" s="2">
        <v>117</v>
      </c>
      <c r="H70" s="2">
        <v>3744</v>
      </c>
      <c r="I70" s="4">
        <v>0.14000000000000001</v>
      </c>
      <c r="J70" s="2">
        <v>3219.84</v>
      </c>
      <c r="K70" s="1">
        <v>43884</v>
      </c>
      <c r="L70" s="1">
        <v>43884</v>
      </c>
      <c r="M70">
        <v>69</v>
      </c>
      <c r="N70">
        <v>1</v>
      </c>
      <c r="O70" t="s">
        <v>47</v>
      </c>
      <c r="P70" s="3">
        <v>0.09</v>
      </c>
      <c r="Q70" s="2">
        <v>289.78559999999999</v>
      </c>
      <c r="R70">
        <v>6</v>
      </c>
      <c r="S70" t="str">
        <f t="shared" si="1"/>
        <v>Fevereiro</v>
      </c>
    </row>
    <row r="71" spans="1:19">
      <c r="A71">
        <v>70</v>
      </c>
      <c r="B71" s="1">
        <v>43867</v>
      </c>
      <c r="C71">
        <v>94</v>
      </c>
      <c r="D71" t="s">
        <v>49</v>
      </c>
      <c r="E71" t="s">
        <v>31</v>
      </c>
      <c r="F71">
        <v>40</v>
      </c>
      <c r="G71" s="2">
        <v>99</v>
      </c>
      <c r="H71" s="2">
        <v>3960</v>
      </c>
      <c r="I71" s="4">
        <v>0.01</v>
      </c>
      <c r="J71" s="2">
        <v>3920.4</v>
      </c>
      <c r="K71" s="1">
        <v>43875</v>
      </c>
      <c r="L71" s="1">
        <v>43875</v>
      </c>
      <c r="M71">
        <v>70</v>
      </c>
      <c r="N71">
        <v>3</v>
      </c>
      <c r="O71" t="s">
        <v>34</v>
      </c>
      <c r="P71" s="3">
        <v>0.08</v>
      </c>
      <c r="Q71" s="2">
        <v>313.63200000000001</v>
      </c>
      <c r="R71">
        <v>7</v>
      </c>
      <c r="S71" t="str">
        <f t="shared" si="1"/>
        <v>Fevereiro</v>
      </c>
    </row>
    <row r="72" spans="1:19">
      <c r="A72">
        <v>71</v>
      </c>
      <c r="B72" s="1">
        <v>43867</v>
      </c>
      <c r="C72">
        <v>17</v>
      </c>
      <c r="D72" t="s">
        <v>67</v>
      </c>
      <c r="E72" t="s">
        <v>59</v>
      </c>
      <c r="F72">
        <v>43</v>
      </c>
      <c r="G72" s="2">
        <v>106</v>
      </c>
      <c r="H72" s="2">
        <v>4558</v>
      </c>
      <c r="I72" s="4">
        <v>0.08</v>
      </c>
      <c r="J72" s="2">
        <v>4193.3599999999997</v>
      </c>
      <c r="K72" s="1">
        <v>43880</v>
      </c>
      <c r="L72" s="1">
        <v>43880</v>
      </c>
      <c r="M72">
        <v>71</v>
      </c>
      <c r="N72">
        <v>7</v>
      </c>
      <c r="O72" t="s">
        <v>22</v>
      </c>
      <c r="P72" s="3">
        <v>0.09</v>
      </c>
      <c r="Q72" s="2">
        <v>377.40239999999994</v>
      </c>
      <c r="R72">
        <v>1</v>
      </c>
      <c r="S72" t="str">
        <f t="shared" si="1"/>
        <v>Fevereiro</v>
      </c>
    </row>
    <row r="73" spans="1:19">
      <c r="A73">
        <v>72</v>
      </c>
      <c r="B73" s="1">
        <v>43868</v>
      </c>
      <c r="C73">
        <v>73</v>
      </c>
      <c r="D73" t="s">
        <v>38</v>
      </c>
      <c r="E73" t="s">
        <v>41</v>
      </c>
      <c r="F73">
        <v>11</v>
      </c>
      <c r="G73" s="2">
        <v>120</v>
      </c>
      <c r="H73" s="2">
        <v>1320</v>
      </c>
      <c r="I73" s="4">
        <v>0.02</v>
      </c>
      <c r="J73" s="2">
        <v>1293.5999999999999</v>
      </c>
      <c r="K73" s="1">
        <v>43887</v>
      </c>
      <c r="L73" s="1">
        <v>43887</v>
      </c>
      <c r="M73">
        <v>72</v>
      </c>
      <c r="N73">
        <v>4</v>
      </c>
      <c r="O73" t="s">
        <v>29</v>
      </c>
      <c r="P73" s="3">
        <v>0.1</v>
      </c>
      <c r="Q73" s="2">
        <v>129.35999999999999</v>
      </c>
      <c r="R73">
        <v>2</v>
      </c>
      <c r="S73" t="str">
        <f t="shared" si="1"/>
        <v>Fevereiro</v>
      </c>
    </row>
    <row r="74" spans="1:19">
      <c r="A74">
        <v>73</v>
      </c>
      <c r="B74" s="1">
        <v>43868</v>
      </c>
      <c r="C74">
        <v>63</v>
      </c>
      <c r="D74" t="s">
        <v>80</v>
      </c>
      <c r="E74" t="s">
        <v>24</v>
      </c>
      <c r="F74">
        <v>30</v>
      </c>
      <c r="G74" s="2">
        <v>107</v>
      </c>
      <c r="H74" s="2">
        <v>3210</v>
      </c>
      <c r="I74" s="4">
        <v>0</v>
      </c>
      <c r="J74" s="2">
        <v>3210</v>
      </c>
      <c r="K74" s="1">
        <v>43879</v>
      </c>
      <c r="L74" s="1">
        <v>43879</v>
      </c>
      <c r="M74">
        <v>73</v>
      </c>
      <c r="N74">
        <v>1</v>
      </c>
      <c r="O74" t="s">
        <v>52</v>
      </c>
      <c r="P74" s="3">
        <v>7.0000000000000007E-2</v>
      </c>
      <c r="Q74" s="2">
        <v>224.70000000000002</v>
      </c>
      <c r="R74">
        <v>3</v>
      </c>
      <c r="S74" t="str">
        <f t="shared" si="1"/>
        <v>Fevereiro</v>
      </c>
    </row>
    <row r="75" spans="1:19">
      <c r="A75">
        <v>74</v>
      </c>
      <c r="B75" s="1">
        <v>43871</v>
      </c>
      <c r="C75">
        <v>69</v>
      </c>
      <c r="D75" t="s">
        <v>67</v>
      </c>
      <c r="E75" t="s">
        <v>28</v>
      </c>
      <c r="F75">
        <v>23</v>
      </c>
      <c r="G75" s="2">
        <v>94</v>
      </c>
      <c r="H75" s="2">
        <v>2162</v>
      </c>
      <c r="I75" s="4">
        <v>0.12</v>
      </c>
      <c r="J75" s="2">
        <v>1902.56</v>
      </c>
      <c r="K75" s="1">
        <v>43885</v>
      </c>
      <c r="L75" s="1">
        <v>43885</v>
      </c>
      <c r="M75">
        <v>74</v>
      </c>
      <c r="N75">
        <v>3</v>
      </c>
      <c r="O75" t="s">
        <v>29</v>
      </c>
      <c r="P75" s="3">
        <v>0.06</v>
      </c>
      <c r="Q75" s="2">
        <v>114.1536</v>
      </c>
      <c r="R75">
        <v>4</v>
      </c>
      <c r="S75" t="str">
        <f t="shared" si="1"/>
        <v>Fevereiro</v>
      </c>
    </row>
    <row r="76" spans="1:19">
      <c r="A76">
        <v>75</v>
      </c>
      <c r="B76" s="1">
        <v>43871</v>
      </c>
      <c r="C76">
        <v>19</v>
      </c>
      <c r="D76" t="s">
        <v>38</v>
      </c>
      <c r="E76" t="s">
        <v>21</v>
      </c>
      <c r="F76">
        <v>34</v>
      </c>
      <c r="G76" s="2">
        <v>104</v>
      </c>
      <c r="H76" s="2">
        <v>3536</v>
      </c>
      <c r="I76" s="4">
        <v>0.1</v>
      </c>
      <c r="J76" s="2">
        <v>3182.4</v>
      </c>
      <c r="K76" s="1">
        <v>43885</v>
      </c>
      <c r="L76" s="1">
        <v>43885</v>
      </c>
      <c r="M76">
        <v>75</v>
      </c>
      <c r="N76">
        <v>2</v>
      </c>
      <c r="O76" t="s">
        <v>47</v>
      </c>
      <c r="P76" s="3">
        <v>7.0000000000000007E-2</v>
      </c>
      <c r="Q76" s="2">
        <v>222.76800000000003</v>
      </c>
      <c r="R76">
        <v>5</v>
      </c>
      <c r="S76" t="str">
        <f t="shared" si="1"/>
        <v>Fevereiro</v>
      </c>
    </row>
    <row r="77" spans="1:19">
      <c r="A77">
        <v>76</v>
      </c>
      <c r="B77" s="1">
        <v>43872</v>
      </c>
      <c r="C77">
        <v>87</v>
      </c>
      <c r="D77" t="s">
        <v>40</v>
      </c>
      <c r="E77" t="s">
        <v>55</v>
      </c>
      <c r="F77">
        <v>42</v>
      </c>
      <c r="G77" s="2">
        <v>106</v>
      </c>
      <c r="H77" s="2">
        <v>4452</v>
      </c>
      <c r="I77" s="4">
        <v>0.06</v>
      </c>
      <c r="J77" s="2">
        <v>4184.88</v>
      </c>
      <c r="K77" s="1">
        <v>43902</v>
      </c>
      <c r="L77" s="1">
        <v>43902</v>
      </c>
      <c r="M77">
        <v>76</v>
      </c>
      <c r="N77">
        <v>3</v>
      </c>
      <c r="O77" t="s">
        <v>43</v>
      </c>
      <c r="P77" s="3">
        <v>7.0000000000000007E-2</v>
      </c>
      <c r="Q77" s="2">
        <v>292.94160000000005</v>
      </c>
      <c r="R77">
        <v>6</v>
      </c>
      <c r="S77" t="str">
        <f t="shared" si="1"/>
        <v>Fevereiro</v>
      </c>
    </row>
    <row r="78" spans="1:19">
      <c r="A78">
        <v>77</v>
      </c>
      <c r="B78" s="1">
        <v>43872</v>
      </c>
      <c r="C78">
        <v>33</v>
      </c>
      <c r="D78" t="s">
        <v>76</v>
      </c>
      <c r="E78" t="s">
        <v>24</v>
      </c>
      <c r="F78">
        <v>10</v>
      </c>
      <c r="G78" s="2">
        <v>91</v>
      </c>
      <c r="H78" s="2">
        <v>910</v>
      </c>
      <c r="I78" s="4">
        <v>0.1</v>
      </c>
      <c r="J78" s="2">
        <v>819</v>
      </c>
      <c r="K78" s="1">
        <v>43897</v>
      </c>
      <c r="L78" s="1">
        <v>43897</v>
      </c>
      <c r="M78">
        <v>77</v>
      </c>
      <c r="N78">
        <v>4</v>
      </c>
      <c r="O78" t="s">
        <v>52</v>
      </c>
      <c r="P78" s="3">
        <v>0.09</v>
      </c>
      <c r="Q78" s="2">
        <v>73.709999999999994</v>
      </c>
      <c r="R78">
        <v>7</v>
      </c>
      <c r="S78" t="str">
        <f t="shared" si="1"/>
        <v>Fevereiro</v>
      </c>
    </row>
    <row r="79" spans="1:19">
      <c r="A79">
        <v>78</v>
      </c>
      <c r="B79" s="1">
        <v>43875</v>
      </c>
      <c r="C79">
        <v>9</v>
      </c>
      <c r="D79" t="s">
        <v>36</v>
      </c>
      <c r="E79" t="s">
        <v>21</v>
      </c>
      <c r="F79">
        <v>34</v>
      </c>
      <c r="G79" s="2">
        <v>99</v>
      </c>
      <c r="H79" s="2">
        <v>3366</v>
      </c>
      <c r="I79" s="4">
        <v>0.14000000000000001</v>
      </c>
      <c r="J79" s="2">
        <v>2894.7599999999998</v>
      </c>
      <c r="K79" s="1">
        <v>43886</v>
      </c>
      <c r="L79" s="1">
        <v>43886</v>
      </c>
      <c r="M79">
        <v>78</v>
      </c>
      <c r="N79">
        <v>1</v>
      </c>
      <c r="O79" t="s">
        <v>32</v>
      </c>
      <c r="P79" s="3">
        <v>7.0000000000000007E-2</v>
      </c>
      <c r="Q79" s="2">
        <v>202.63320000000002</v>
      </c>
      <c r="R79">
        <v>1</v>
      </c>
      <c r="S79" t="str">
        <f t="shared" si="1"/>
        <v>Fevereiro</v>
      </c>
    </row>
    <row r="80" spans="1:19">
      <c r="A80">
        <v>79</v>
      </c>
      <c r="B80" s="1">
        <v>43876</v>
      </c>
      <c r="C80">
        <v>50</v>
      </c>
      <c r="D80" t="s">
        <v>81</v>
      </c>
      <c r="E80" t="s">
        <v>54</v>
      </c>
      <c r="F80">
        <v>13</v>
      </c>
      <c r="G80" s="2">
        <v>112</v>
      </c>
      <c r="H80" s="2">
        <v>1456</v>
      </c>
      <c r="I80" s="4">
        <v>0.05</v>
      </c>
      <c r="J80" s="2">
        <v>1383.2</v>
      </c>
      <c r="K80" s="1">
        <v>43892</v>
      </c>
      <c r="L80" s="1">
        <v>43892</v>
      </c>
      <c r="M80">
        <v>79</v>
      </c>
      <c r="N80">
        <v>2</v>
      </c>
      <c r="O80" t="s">
        <v>37</v>
      </c>
      <c r="P80" s="3">
        <v>0.06</v>
      </c>
      <c r="Q80" s="2">
        <v>82.992000000000004</v>
      </c>
      <c r="R80">
        <v>2</v>
      </c>
      <c r="S80" t="str">
        <f t="shared" si="1"/>
        <v>Fevereiro</v>
      </c>
    </row>
    <row r="81" spans="1:19">
      <c r="A81">
        <v>80</v>
      </c>
      <c r="B81" s="1">
        <v>43877</v>
      </c>
      <c r="C81">
        <v>75</v>
      </c>
      <c r="D81" t="s">
        <v>38</v>
      </c>
      <c r="E81" t="s">
        <v>59</v>
      </c>
      <c r="F81">
        <v>36</v>
      </c>
      <c r="G81" s="2">
        <v>105</v>
      </c>
      <c r="H81" s="2">
        <v>3780</v>
      </c>
      <c r="I81" s="4">
        <v>0.04</v>
      </c>
      <c r="J81" s="2">
        <v>3628.8</v>
      </c>
      <c r="K81" s="1">
        <v>43901</v>
      </c>
      <c r="L81" s="1">
        <v>43901</v>
      </c>
      <c r="M81">
        <v>80</v>
      </c>
      <c r="N81">
        <v>1</v>
      </c>
      <c r="O81" t="s">
        <v>47</v>
      </c>
      <c r="P81" s="3">
        <v>0.05</v>
      </c>
      <c r="Q81" s="2">
        <v>181.44000000000003</v>
      </c>
      <c r="R81">
        <v>3</v>
      </c>
      <c r="S81" t="str">
        <f t="shared" si="1"/>
        <v>Fevereiro</v>
      </c>
    </row>
    <row r="82" spans="1:19">
      <c r="A82">
        <v>81</v>
      </c>
      <c r="B82" s="1">
        <v>43877</v>
      </c>
      <c r="C82">
        <v>40</v>
      </c>
      <c r="D82" t="s">
        <v>49</v>
      </c>
      <c r="E82" t="s">
        <v>55</v>
      </c>
      <c r="F82">
        <v>17</v>
      </c>
      <c r="G82" s="2">
        <v>95</v>
      </c>
      <c r="H82" s="2">
        <v>1615</v>
      </c>
      <c r="I82" s="4">
        <v>0.1</v>
      </c>
      <c r="J82" s="2">
        <v>1453.5</v>
      </c>
      <c r="K82" s="1">
        <v>43884</v>
      </c>
      <c r="L82" s="1">
        <v>43884</v>
      </c>
      <c r="M82">
        <v>81</v>
      </c>
      <c r="N82">
        <v>1</v>
      </c>
      <c r="O82" t="s">
        <v>47</v>
      </c>
      <c r="P82" s="3">
        <v>0.08</v>
      </c>
      <c r="Q82" s="2">
        <v>116.28</v>
      </c>
      <c r="R82">
        <v>4</v>
      </c>
      <c r="S82" t="str">
        <f t="shared" si="1"/>
        <v>Fevereiro</v>
      </c>
    </row>
    <row r="83" spans="1:19">
      <c r="A83">
        <v>82</v>
      </c>
      <c r="B83" s="1">
        <v>43877</v>
      </c>
      <c r="C83">
        <v>60</v>
      </c>
      <c r="D83" t="s">
        <v>82</v>
      </c>
      <c r="E83" t="s">
        <v>21</v>
      </c>
      <c r="F83">
        <v>44</v>
      </c>
      <c r="G83" s="2">
        <v>97</v>
      </c>
      <c r="H83" s="2">
        <v>4268</v>
      </c>
      <c r="I83" s="4">
        <v>0.08</v>
      </c>
      <c r="J83" s="2">
        <v>3926.56</v>
      </c>
      <c r="K83" s="1">
        <v>43907</v>
      </c>
      <c r="L83" s="1">
        <v>43907</v>
      </c>
      <c r="M83">
        <v>82</v>
      </c>
      <c r="N83">
        <v>1</v>
      </c>
      <c r="O83" t="s">
        <v>37</v>
      </c>
      <c r="P83" s="3">
        <v>0.1</v>
      </c>
      <c r="Q83" s="2">
        <v>392.65600000000001</v>
      </c>
      <c r="R83">
        <v>5</v>
      </c>
      <c r="S83" t="str">
        <f t="shared" si="1"/>
        <v>Fevereiro</v>
      </c>
    </row>
    <row r="84" spans="1:19">
      <c r="A84">
        <v>83</v>
      </c>
      <c r="B84" s="1">
        <v>43879</v>
      </c>
      <c r="C84">
        <v>95</v>
      </c>
      <c r="D84" t="s">
        <v>38</v>
      </c>
      <c r="E84" t="s">
        <v>41</v>
      </c>
      <c r="F84">
        <v>35</v>
      </c>
      <c r="G84" s="2">
        <v>99</v>
      </c>
      <c r="H84" s="2">
        <v>3465</v>
      </c>
      <c r="I84" s="4">
        <v>0.15</v>
      </c>
      <c r="J84" s="2">
        <v>2945.25</v>
      </c>
      <c r="K84" s="1">
        <v>43909</v>
      </c>
      <c r="L84" s="1">
        <v>43909</v>
      </c>
      <c r="M84">
        <v>83</v>
      </c>
      <c r="N84">
        <v>6</v>
      </c>
      <c r="O84" t="s">
        <v>52</v>
      </c>
      <c r="P84" s="3">
        <v>0.08</v>
      </c>
      <c r="Q84" s="2">
        <v>235.62</v>
      </c>
      <c r="R84">
        <v>6</v>
      </c>
      <c r="S84" t="str">
        <f t="shared" si="1"/>
        <v>Fevereiro</v>
      </c>
    </row>
    <row r="85" spans="1:19">
      <c r="A85">
        <v>84</v>
      </c>
      <c r="B85" s="1">
        <v>43879</v>
      </c>
      <c r="C85">
        <v>79</v>
      </c>
      <c r="D85" t="s">
        <v>33</v>
      </c>
      <c r="E85" t="s">
        <v>24</v>
      </c>
      <c r="F85">
        <v>11</v>
      </c>
      <c r="G85" s="2">
        <v>102</v>
      </c>
      <c r="H85" s="2">
        <v>1122</v>
      </c>
      <c r="I85" s="4">
        <v>0.13</v>
      </c>
      <c r="J85" s="2">
        <v>976.14</v>
      </c>
      <c r="K85" s="1">
        <v>43907</v>
      </c>
      <c r="L85" s="1">
        <v>43907</v>
      </c>
      <c r="M85">
        <v>84</v>
      </c>
      <c r="N85">
        <v>5</v>
      </c>
      <c r="O85" t="s">
        <v>32</v>
      </c>
      <c r="P85" s="3">
        <v>0.1</v>
      </c>
      <c r="Q85" s="2">
        <v>97.614000000000004</v>
      </c>
      <c r="R85">
        <v>7</v>
      </c>
      <c r="S85" t="str">
        <f t="shared" si="1"/>
        <v>Fevereiro</v>
      </c>
    </row>
    <row r="86" spans="1:19">
      <c r="A86">
        <v>85</v>
      </c>
      <c r="B86" s="1">
        <v>43879</v>
      </c>
      <c r="C86">
        <v>60</v>
      </c>
      <c r="D86" t="s">
        <v>82</v>
      </c>
      <c r="E86" t="s">
        <v>31</v>
      </c>
      <c r="F86">
        <v>27</v>
      </c>
      <c r="G86" s="2">
        <v>103</v>
      </c>
      <c r="H86" s="2">
        <v>2781</v>
      </c>
      <c r="I86" s="4">
        <v>0.08</v>
      </c>
      <c r="J86" s="2">
        <v>2558.52</v>
      </c>
      <c r="K86" s="1">
        <v>43885</v>
      </c>
      <c r="L86" s="1">
        <v>43885</v>
      </c>
      <c r="M86">
        <v>85</v>
      </c>
      <c r="N86">
        <v>4</v>
      </c>
      <c r="O86" t="s">
        <v>34</v>
      </c>
      <c r="P86" s="3">
        <v>0.09</v>
      </c>
      <c r="Q86" s="2">
        <v>230.26679999999999</v>
      </c>
      <c r="R86">
        <v>1</v>
      </c>
      <c r="S86" t="str">
        <f t="shared" si="1"/>
        <v>Fevereiro</v>
      </c>
    </row>
    <row r="87" spans="1:19">
      <c r="A87">
        <v>86</v>
      </c>
      <c r="B87" s="1">
        <v>43879</v>
      </c>
      <c r="C87">
        <v>47</v>
      </c>
      <c r="D87" t="s">
        <v>40</v>
      </c>
      <c r="E87" t="s">
        <v>59</v>
      </c>
      <c r="F87">
        <v>14</v>
      </c>
      <c r="G87" s="2">
        <v>94</v>
      </c>
      <c r="H87" s="2">
        <v>1316</v>
      </c>
      <c r="I87" s="4">
        <v>0.08</v>
      </c>
      <c r="J87" s="2">
        <v>1210.72</v>
      </c>
      <c r="K87" s="1">
        <v>43905</v>
      </c>
      <c r="L87" s="1">
        <v>43905</v>
      </c>
      <c r="M87">
        <v>86</v>
      </c>
      <c r="N87">
        <v>3</v>
      </c>
      <c r="O87" t="s">
        <v>25</v>
      </c>
      <c r="P87" s="3">
        <v>0.1</v>
      </c>
      <c r="Q87" s="2">
        <v>121.072</v>
      </c>
      <c r="R87">
        <v>2</v>
      </c>
      <c r="S87" t="str">
        <f t="shared" si="1"/>
        <v>Fevereiro</v>
      </c>
    </row>
    <row r="88" spans="1:19">
      <c r="A88">
        <v>87</v>
      </c>
      <c r="B88" s="1">
        <v>43880</v>
      </c>
      <c r="C88">
        <v>38</v>
      </c>
      <c r="D88" t="s">
        <v>73</v>
      </c>
      <c r="E88" t="s">
        <v>59</v>
      </c>
      <c r="F88">
        <v>44</v>
      </c>
      <c r="G88" s="2">
        <v>118</v>
      </c>
      <c r="H88" s="2">
        <v>5192</v>
      </c>
      <c r="I88" s="4">
        <v>0.15</v>
      </c>
      <c r="J88" s="2">
        <v>4413.2</v>
      </c>
      <c r="K88" s="1">
        <v>43910</v>
      </c>
      <c r="L88" s="1">
        <v>43910</v>
      </c>
      <c r="M88">
        <v>87</v>
      </c>
      <c r="N88">
        <v>2</v>
      </c>
      <c r="O88" t="s">
        <v>29</v>
      </c>
      <c r="P88" s="3">
        <v>0.06</v>
      </c>
      <c r="Q88" s="2">
        <v>264.79199999999997</v>
      </c>
      <c r="R88">
        <v>3</v>
      </c>
      <c r="S88" t="str">
        <f t="shared" si="1"/>
        <v>Fevereiro</v>
      </c>
    </row>
    <row r="89" spans="1:19">
      <c r="A89">
        <v>88</v>
      </c>
      <c r="B89" s="1">
        <v>43880</v>
      </c>
      <c r="C89">
        <v>47</v>
      </c>
      <c r="D89" t="s">
        <v>40</v>
      </c>
      <c r="E89" t="s">
        <v>50</v>
      </c>
      <c r="F89">
        <v>44</v>
      </c>
      <c r="G89" s="2">
        <v>111</v>
      </c>
      <c r="H89" s="2">
        <v>4884</v>
      </c>
      <c r="I89" s="4">
        <v>0.03</v>
      </c>
      <c r="J89" s="2">
        <v>4737.4799999999996</v>
      </c>
      <c r="K89" s="1">
        <v>43908</v>
      </c>
      <c r="L89" s="1">
        <v>43908</v>
      </c>
      <c r="M89">
        <v>88</v>
      </c>
      <c r="N89">
        <v>6</v>
      </c>
      <c r="O89" t="s">
        <v>52</v>
      </c>
      <c r="P89" s="3">
        <v>0.06</v>
      </c>
      <c r="Q89" s="2">
        <v>284.24879999999996</v>
      </c>
      <c r="R89">
        <v>4</v>
      </c>
      <c r="S89" t="str">
        <f t="shared" si="1"/>
        <v>Fevereiro</v>
      </c>
    </row>
    <row r="90" spans="1:19">
      <c r="A90">
        <v>89</v>
      </c>
      <c r="B90" s="1">
        <v>43880</v>
      </c>
      <c r="C90">
        <v>18</v>
      </c>
      <c r="D90" t="s">
        <v>83</v>
      </c>
      <c r="E90" t="s">
        <v>46</v>
      </c>
      <c r="F90">
        <v>24</v>
      </c>
      <c r="G90" s="2">
        <v>116</v>
      </c>
      <c r="H90" s="2">
        <v>2784</v>
      </c>
      <c r="I90" s="4">
        <v>0.13</v>
      </c>
      <c r="J90" s="2">
        <v>2422.08</v>
      </c>
      <c r="K90" s="1">
        <v>43899</v>
      </c>
      <c r="L90" s="1">
        <v>43899</v>
      </c>
      <c r="M90">
        <v>89</v>
      </c>
      <c r="N90">
        <v>4</v>
      </c>
      <c r="O90" t="s">
        <v>34</v>
      </c>
      <c r="P90" s="3">
        <v>0.06</v>
      </c>
      <c r="Q90" s="2">
        <v>145.32479999999998</v>
      </c>
      <c r="R90">
        <v>5</v>
      </c>
      <c r="S90" t="str">
        <f t="shared" si="1"/>
        <v>Fevereiro</v>
      </c>
    </row>
    <row r="91" spans="1:19">
      <c r="A91">
        <v>90</v>
      </c>
      <c r="B91" s="1">
        <v>43880</v>
      </c>
      <c r="C91">
        <v>99</v>
      </c>
      <c r="D91" t="s">
        <v>84</v>
      </c>
      <c r="E91" t="s">
        <v>41</v>
      </c>
      <c r="F91">
        <v>47</v>
      </c>
      <c r="G91" s="2">
        <v>105</v>
      </c>
      <c r="H91" s="2">
        <v>4935</v>
      </c>
      <c r="I91" s="4">
        <v>0.02</v>
      </c>
      <c r="J91" s="2">
        <v>4836.3</v>
      </c>
      <c r="K91" s="1">
        <v>43880</v>
      </c>
      <c r="L91" s="1">
        <v>43880</v>
      </c>
      <c r="M91">
        <v>90</v>
      </c>
      <c r="N91">
        <v>1</v>
      </c>
      <c r="O91" t="s">
        <v>69</v>
      </c>
      <c r="P91" s="3">
        <v>7.0000000000000007E-2</v>
      </c>
      <c r="Q91" s="2">
        <v>338.54100000000005</v>
      </c>
      <c r="R91">
        <v>6</v>
      </c>
      <c r="S91" t="str">
        <f t="shared" si="1"/>
        <v>Fevereiro</v>
      </c>
    </row>
    <row r="92" spans="1:19">
      <c r="A92">
        <v>91</v>
      </c>
      <c r="B92" s="1">
        <v>43881</v>
      </c>
      <c r="C92">
        <v>31</v>
      </c>
      <c r="D92" t="s">
        <v>85</v>
      </c>
      <c r="E92" t="s">
        <v>24</v>
      </c>
      <c r="F92">
        <v>18</v>
      </c>
      <c r="G92" s="2">
        <v>100</v>
      </c>
      <c r="H92" s="2">
        <v>1800</v>
      </c>
      <c r="I92" s="4">
        <v>0.02</v>
      </c>
      <c r="J92" s="2">
        <v>1764</v>
      </c>
      <c r="K92" s="1">
        <v>43884</v>
      </c>
      <c r="L92" s="1">
        <v>43884</v>
      </c>
      <c r="M92">
        <v>91</v>
      </c>
      <c r="N92">
        <v>2</v>
      </c>
      <c r="O92" t="s">
        <v>22</v>
      </c>
      <c r="P92" s="3">
        <v>7.0000000000000007E-2</v>
      </c>
      <c r="Q92" s="2">
        <v>123.48000000000002</v>
      </c>
      <c r="R92">
        <v>7</v>
      </c>
      <c r="S92" t="str">
        <f t="shared" si="1"/>
        <v>Fevereiro</v>
      </c>
    </row>
    <row r="93" spans="1:19">
      <c r="A93">
        <v>92</v>
      </c>
      <c r="B93" s="1">
        <v>43882</v>
      </c>
      <c r="C93">
        <v>61</v>
      </c>
      <c r="D93" t="s">
        <v>56</v>
      </c>
      <c r="E93" t="s">
        <v>59</v>
      </c>
      <c r="F93">
        <v>37</v>
      </c>
      <c r="G93" s="2">
        <v>96</v>
      </c>
      <c r="H93" s="2">
        <v>3552</v>
      </c>
      <c r="I93" s="4">
        <v>0.15</v>
      </c>
      <c r="J93" s="2">
        <v>3019.2</v>
      </c>
      <c r="K93" s="1">
        <v>43882</v>
      </c>
      <c r="L93" s="1">
        <v>43882</v>
      </c>
      <c r="M93">
        <v>92</v>
      </c>
      <c r="N93">
        <v>4</v>
      </c>
      <c r="O93" t="s">
        <v>22</v>
      </c>
      <c r="P93" s="3">
        <v>7.0000000000000007E-2</v>
      </c>
      <c r="Q93" s="2">
        <v>211.34399999999999</v>
      </c>
      <c r="R93">
        <v>1</v>
      </c>
      <c r="S93" t="str">
        <f t="shared" si="1"/>
        <v>Fevereiro</v>
      </c>
    </row>
    <row r="94" spans="1:19">
      <c r="A94">
        <v>93</v>
      </c>
      <c r="B94" s="1">
        <v>43883</v>
      </c>
      <c r="C94">
        <v>52</v>
      </c>
      <c r="D94" t="s">
        <v>23</v>
      </c>
      <c r="E94" t="s">
        <v>31</v>
      </c>
      <c r="F94">
        <v>34</v>
      </c>
      <c r="G94" s="2">
        <v>112</v>
      </c>
      <c r="H94" s="2">
        <v>3808</v>
      </c>
      <c r="I94" s="4">
        <v>0.08</v>
      </c>
      <c r="J94" s="2">
        <v>3503.36</v>
      </c>
      <c r="K94" s="1">
        <v>43904</v>
      </c>
      <c r="L94" s="1">
        <v>43904</v>
      </c>
      <c r="M94">
        <v>93</v>
      </c>
      <c r="N94">
        <v>3</v>
      </c>
      <c r="O94" t="s">
        <v>52</v>
      </c>
      <c r="P94" s="3">
        <v>0.06</v>
      </c>
      <c r="Q94" s="2">
        <v>210.20160000000001</v>
      </c>
      <c r="R94">
        <v>2</v>
      </c>
      <c r="S94" t="str">
        <f t="shared" si="1"/>
        <v>Fevereiro</v>
      </c>
    </row>
    <row r="95" spans="1:19">
      <c r="A95">
        <v>94</v>
      </c>
      <c r="B95" s="1">
        <v>43883</v>
      </c>
      <c r="C95">
        <v>41</v>
      </c>
      <c r="D95" t="s">
        <v>68</v>
      </c>
      <c r="E95" t="s">
        <v>21</v>
      </c>
      <c r="F95">
        <v>41</v>
      </c>
      <c r="G95" s="2">
        <v>107</v>
      </c>
      <c r="H95" s="2">
        <v>4387</v>
      </c>
      <c r="I95" s="4">
        <v>7.0000000000000007E-2</v>
      </c>
      <c r="J95" s="2">
        <v>4079.91</v>
      </c>
      <c r="K95" s="1">
        <v>43890</v>
      </c>
      <c r="L95" s="1">
        <v>43890</v>
      </c>
      <c r="M95">
        <v>94</v>
      </c>
      <c r="N95">
        <v>5</v>
      </c>
      <c r="O95" t="s">
        <v>47</v>
      </c>
      <c r="P95" s="3">
        <v>0.05</v>
      </c>
      <c r="Q95" s="2">
        <v>203.99549999999999</v>
      </c>
      <c r="R95">
        <v>3</v>
      </c>
      <c r="S95" t="str">
        <f t="shared" si="1"/>
        <v>Fevereiro</v>
      </c>
    </row>
    <row r="96" spans="1:19">
      <c r="A96">
        <v>95</v>
      </c>
      <c r="B96" s="1">
        <v>43883</v>
      </c>
      <c r="C96">
        <v>35</v>
      </c>
      <c r="D96" t="s">
        <v>38</v>
      </c>
      <c r="E96" t="s">
        <v>31</v>
      </c>
      <c r="F96">
        <v>32</v>
      </c>
      <c r="G96" s="2">
        <v>118</v>
      </c>
      <c r="H96" s="2">
        <v>3776</v>
      </c>
      <c r="I96" s="4">
        <v>0.01</v>
      </c>
      <c r="J96" s="2">
        <v>3738.24</v>
      </c>
      <c r="K96" s="1">
        <v>43895</v>
      </c>
      <c r="L96" s="1">
        <v>43895</v>
      </c>
      <c r="M96">
        <v>95</v>
      </c>
      <c r="N96">
        <v>6</v>
      </c>
      <c r="O96" t="s">
        <v>25</v>
      </c>
      <c r="P96" s="3">
        <v>0.1</v>
      </c>
      <c r="Q96" s="2">
        <v>373.82400000000001</v>
      </c>
      <c r="R96">
        <v>4</v>
      </c>
      <c r="S96" t="str">
        <f t="shared" si="1"/>
        <v>Fevereiro</v>
      </c>
    </row>
    <row r="97" spans="1:19">
      <c r="A97">
        <v>96</v>
      </c>
      <c r="B97" s="1">
        <v>43884</v>
      </c>
      <c r="C97">
        <v>89</v>
      </c>
      <c r="D97" t="s">
        <v>49</v>
      </c>
      <c r="E97" t="s">
        <v>31</v>
      </c>
      <c r="F97">
        <v>44</v>
      </c>
      <c r="G97" s="2">
        <v>96</v>
      </c>
      <c r="H97" s="2">
        <v>4224</v>
      </c>
      <c r="I97" s="4">
        <v>0.13</v>
      </c>
      <c r="J97" s="2">
        <v>3674.88</v>
      </c>
      <c r="K97" s="1">
        <v>43885</v>
      </c>
      <c r="L97" s="1">
        <v>43885</v>
      </c>
      <c r="M97">
        <v>96</v>
      </c>
      <c r="N97">
        <v>6</v>
      </c>
      <c r="O97" t="s">
        <v>52</v>
      </c>
      <c r="P97" s="3">
        <v>0.06</v>
      </c>
      <c r="Q97" s="2">
        <v>220.49279999999999</v>
      </c>
      <c r="R97">
        <v>5</v>
      </c>
      <c r="S97" t="str">
        <f t="shared" si="1"/>
        <v>Fevereiro</v>
      </c>
    </row>
    <row r="98" spans="1:19">
      <c r="A98">
        <v>97</v>
      </c>
      <c r="B98" s="1">
        <v>43884</v>
      </c>
      <c r="C98">
        <v>8</v>
      </c>
      <c r="D98" t="s">
        <v>38</v>
      </c>
      <c r="E98" t="s">
        <v>28</v>
      </c>
      <c r="F98">
        <v>35</v>
      </c>
      <c r="G98" s="2">
        <v>90</v>
      </c>
      <c r="H98" s="2">
        <v>3150</v>
      </c>
      <c r="I98" s="4">
        <v>0.02</v>
      </c>
      <c r="J98" s="2">
        <v>3087</v>
      </c>
      <c r="K98" s="1">
        <v>43914</v>
      </c>
      <c r="L98" s="1">
        <v>43914</v>
      </c>
      <c r="M98">
        <v>97</v>
      </c>
      <c r="N98">
        <v>6</v>
      </c>
      <c r="O98" t="s">
        <v>22</v>
      </c>
      <c r="P98" s="3">
        <v>0.05</v>
      </c>
      <c r="Q98" s="2">
        <v>154.35000000000002</v>
      </c>
      <c r="R98">
        <v>6</v>
      </c>
      <c r="S98" t="str">
        <f t="shared" si="1"/>
        <v>Fevereiro</v>
      </c>
    </row>
    <row r="99" spans="1:19">
      <c r="A99">
        <v>98</v>
      </c>
      <c r="B99" s="1">
        <v>43884</v>
      </c>
      <c r="C99">
        <v>28</v>
      </c>
      <c r="D99" t="s">
        <v>86</v>
      </c>
      <c r="E99" t="s">
        <v>31</v>
      </c>
      <c r="F99">
        <v>14</v>
      </c>
      <c r="G99" s="2">
        <v>112</v>
      </c>
      <c r="H99" s="2">
        <v>1568</v>
      </c>
      <c r="I99" s="4">
        <v>0.14000000000000001</v>
      </c>
      <c r="J99" s="2">
        <v>1348.48</v>
      </c>
      <c r="K99" s="1">
        <v>43888</v>
      </c>
      <c r="L99" s="1">
        <v>43888</v>
      </c>
      <c r="M99">
        <v>98</v>
      </c>
      <c r="N99">
        <v>6</v>
      </c>
      <c r="O99" t="s">
        <v>47</v>
      </c>
      <c r="P99" s="3">
        <v>0.05</v>
      </c>
      <c r="Q99" s="2">
        <v>67.424000000000007</v>
      </c>
      <c r="R99">
        <v>7</v>
      </c>
      <c r="S99" t="str">
        <f t="shared" si="1"/>
        <v>Fevereiro</v>
      </c>
    </row>
    <row r="100" spans="1:19">
      <c r="A100">
        <v>99</v>
      </c>
      <c r="B100" s="1">
        <v>43884</v>
      </c>
      <c r="C100">
        <v>31</v>
      </c>
      <c r="D100" t="s">
        <v>85</v>
      </c>
      <c r="E100" t="s">
        <v>59</v>
      </c>
      <c r="F100">
        <v>13</v>
      </c>
      <c r="G100" s="2">
        <v>111</v>
      </c>
      <c r="H100" s="2">
        <v>1443</v>
      </c>
      <c r="I100" s="4">
        <v>0.02</v>
      </c>
      <c r="J100" s="2">
        <v>1414.14</v>
      </c>
      <c r="K100" s="1">
        <v>43886</v>
      </c>
      <c r="L100" s="1">
        <v>43886</v>
      </c>
      <c r="M100">
        <v>99</v>
      </c>
      <c r="N100">
        <v>1</v>
      </c>
      <c r="O100" t="s">
        <v>43</v>
      </c>
      <c r="P100" s="3">
        <v>0.06</v>
      </c>
      <c r="Q100" s="2">
        <v>84.848399999999998</v>
      </c>
      <c r="R100">
        <v>1</v>
      </c>
      <c r="S100" t="str">
        <f t="shared" si="1"/>
        <v>Fevereiro</v>
      </c>
    </row>
    <row r="101" spans="1:19">
      <c r="A101">
        <v>100</v>
      </c>
      <c r="B101" s="1">
        <v>43885</v>
      </c>
      <c r="C101">
        <v>25</v>
      </c>
      <c r="D101" t="s">
        <v>63</v>
      </c>
      <c r="E101" t="s">
        <v>50</v>
      </c>
      <c r="F101">
        <v>20</v>
      </c>
      <c r="G101" s="2">
        <v>116</v>
      </c>
      <c r="H101" s="2">
        <v>2320</v>
      </c>
      <c r="I101" s="4">
        <v>0.1</v>
      </c>
      <c r="J101" s="2">
        <v>2088</v>
      </c>
      <c r="K101" s="1">
        <v>43886</v>
      </c>
      <c r="L101" s="1">
        <v>43886</v>
      </c>
      <c r="M101">
        <v>100</v>
      </c>
      <c r="N101">
        <v>2</v>
      </c>
      <c r="O101" t="s">
        <v>52</v>
      </c>
      <c r="P101" s="3">
        <v>0.1</v>
      </c>
      <c r="Q101" s="2">
        <v>208.8</v>
      </c>
      <c r="R101">
        <v>2</v>
      </c>
      <c r="S101" t="str">
        <f t="shared" si="1"/>
        <v>Fevereiro</v>
      </c>
    </row>
    <row r="102" spans="1:19">
      <c r="A102">
        <v>101</v>
      </c>
      <c r="B102" s="1">
        <v>43886</v>
      </c>
      <c r="C102">
        <v>85</v>
      </c>
      <c r="D102" t="s">
        <v>57</v>
      </c>
      <c r="E102" t="s">
        <v>55</v>
      </c>
      <c r="F102">
        <v>27</v>
      </c>
      <c r="G102" s="2">
        <v>119</v>
      </c>
      <c r="H102" s="2">
        <v>3213</v>
      </c>
      <c r="I102" s="4">
        <v>0.1</v>
      </c>
      <c r="J102" s="2">
        <v>2891.7</v>
      </c>
      <c r="K102" s="1">
        <v>43916</v>
      </c>
      <c r="L102" s="1">
        <v>43916</v>
      </c>
      <c r="M102">
        <v>101</v>
      </c>
      <c r="N102">
        <v>4</v>
      </c>
      <c r="O102" t="s">
        <v>25</v>
      </c>
      <c r="P102" s="3">
        <v>0.06</v>
      </c>
      <c r="Q102" s="2">
        <v>173.50199999999998</v>
      </c>
      <c r="R102">
        <v>3</v>
      </c>
      <c r="S102" t="str">
        <f t="shared" si="1"/>
        <v>Fevereiro</v>
      </c>
    </row>
    <row r="103" spans="1:19">
      <c r="A103">
        <v>102</v>
      </c>
      <c r="B103" s="1">
        <v>43886</v>
      </c>
      <c r="C103">
        <v>8</v>
      </c>
      <c r="D103" t="s">
        <v>38</v>
      </c>
      <c r="E103" t="s">
        <v>28</v>
      </c>
      <c r="F103">
        <v>10</v>
      </c>
      <c r="G103" s="2">
        <v>111</v>
      </c>
      <c r="H103" s="2">
        <v>1110</v>
      </c>
      <c r="I103" s="4">
        <v>0.11</v>
      </c>
      <c r="J103" s="2">
        <v>987.9</v>
      </c>
      <c r="K103" s="1">
        <v>43906</v>
      </c>
      <c r="L103" s="1">
        <v>43906</v>
      </c>
      <c r="M103">
        <v>102</v>
      </c>
      <c r="N103">
        <v>1</v>
      </c>
      <c r="O103" t="s">
        <v>43</v>
      </c>
      <c r="P103" s="3">
        <v>0.08</v>
      </c>
      <c r="Q103" s="2">
        <v>79.031999999999996</v>
      </c>
      <c r="R103">
        <v>4</v>
      </c>
      <c r="S103" t="str">
        <f t="shared" si="1"/>
        <v>Fevereiro</v>
      </c>
    </row>
    <row r="104" spans="1:19">
      <c r="A104">
        <v>103</v>
      </c>
      <c r="B104" s="1">
        <v>43887</v>
      </c>
      <c r="C104">
        <v>21</v>
      </c>
      <c r="D104" t="s">
        <v>87</v>
      </c>
      <c r="E104" t="s">
        <v>50</v>
      </c>
      <c r="F104">
        <v>13</v>
      </c>
      <c r="G104" s="2">
        <v>112</v>
      </c>
      <c r="H104" s="2">
        <v>1456</v>
      </c>
      <c r="I104" s="4">
        <v>0.15</v>
      </c>
      <c r="J104" s="2">
        <v>1237.5999999999999</v>
      </c>
      <c r="K104" s="1">
        <v>43906</v>
      </c>
      <c r="L104" s="1">
        <v>43906</v>
      </c>
      <c r="M104">
        <v>103</v>
      </c>
      <c r="N104">
        <v>3</v>
      </c>
      <c r="O104" t="s">
        <v>43</v>
      </c>
      <c r="P104" s="3">
        <v>0.08</v>
      </c>
      <c r="Q104" s="2">
        <v>99.007999999999996</v>
      </c>
      <c r="R104">
        <v>5</v>
      </c>
      <c r="S104" t="str">
        <f t="shared" si="1"/>
        <v>Fevereiro</v>
      </c>
    </row>
    <row r="105" spans="1:19">
      <c r="A105">
        <v>104</v>
      </c>
      <c r="B105" s="1">
        <v>43888</v>
      </c>
      <c r="C105">
        <v>34</v>
      </c>
      <c r="D105" t="s">
        <v>58</v>
      </c>
      <c r="E105" t="s">
        <v>46</v>
      </c>
      <c r="F105">
        <v>17</v>
      </c>
      <c r="G105" s="2">
        <v>96</v>
      </c>
      <c r="H105" s="2">
        <v>1632</v>
      </c>
      <c r="I105" s="4">
        <v>7.0000000000000007E-2</v>
      </c>
      <c r="J105" s="2">
        <v>1517.76</v>
      </c>
      <c r="K105" s="1">
        <v>43891</v>
      </c>
      <c r="L105" s="1">
        <v>43891</v>
      </c>
      <c r="M105">
        <v>104</v>
      </c>
      <c r="N105">
        <v>4</v>
      </c>
      <c r="O105" t="s">
        <v>25</v>
      </c>
      <c r="P105" s="3">
        <v>7.0000000000000007E-2</v>
      </c>
      <c r="Q105" s="2">
        <v>106.24320000000002</v>
      </c>
      <c r="R105">
        <v>6</v>
      </c>
      <c r="S105" t="str">
        <f t="shared" si="1"/>
        <v>Fevereiro</v>
      </c>
    </row>
    <row r="106" spans="1:19">
      <c r="A106">
        <v>105</v>
      </c>
      <c r="B106" s="1">
        <v>43888</v>
      </c>
      <c r="C106">
        <v>53</v>
      </c>
      <c r="D106" t="s">
        <v>88</v>
      </c>
      <c r="E106" t="s">
        <v>41</v>
      </c>
      <c r="F106">
        <v>29</v>
      </c>
      <c r="G106" s="2">
        <v>102</v>
      </c>
      <c r="H106" s="2">
        <v>2958</v>
      </c>
      <c r="I106" s="4">
        <v>0.13</v>
      </c>
      <c r="J106" s="2">
        <v>2573.46</v>
      </c>
      <c r="K106" s="1">
        <v>43911</v>
      </c>
      <c r="L106" s="1">
        <v>43911</v>
      </c>
      <c r="M106">
        <v>105</v>
      </c>
      <c r="N106">
        <v>7</v>
      </c>
      <c r="O106" t="s">
        <v>47</v>
      </c>
      <c r="P106" s="3">
        <v>0.05</v>
      </c>
      <c r="Q106" s="2">
        <v>128.673</v>
      </c>
      <c r="R106">
        <v>7</v>
      </c>
      <c r="S106" t="str">
        <f t="shared" si="1"/>
        <v>Fevereiro</v>
      </c>
    </row>
    <row r="107" spans="1:19">
      <c r="A107">
        <v>106</v>
      </c>
      <c r="B107" s="1">
        <v>43891</v>
      </c>
      <c r="C107">
        <v>10</v>
      </c>
      <c r="D107" t="s">
        <v>89</v>
      </c>
      <c r="E107" t="s">
        <v>55</v>
      </c>
      <c r="F107">
        <v>10</v>
      </c>
      <c r="G107" s="2">
        <v>98</v>
      </c>
      <c r="H107" s="2">
        <v>980</v>
      </c>
      <c r="I107" s="4">
        <v>7.0000000000000007E-2</v>
      </c>
      <c r="J107" s="2">
        <v>911.4</v>
      </c>
      <c r="K107" s="1">
        <v>43899</v>
      </c>
      <c r="L107" s="1">
        <v>43899</v>
      </c>
      <c r="M107">
        <v>106</v>
      </c>
      <c r="N107">
        <v>1</v>
      </c>
      <c r="O107" t="s">
        <v>22</v>
      </c>
      <c r="P107" s="3">
        <v>0.1</v>
      </c>
      <c r="Q107" s="2">
        <v>91.14</v>
      </c>
      <c r="R107">
        <v>1</v>
      </c>
      <c r="S107" t="str">
        <f t="shared" si="1"/>
        <v>Março</v>
      </c>
    </row>
    <row r="108" spans="1:19">
      <c r="A108">
        <v>107</v>
      </c>
      <c r="B108" s="1">
        <v>43892</v>
      </c>
      <c r="C108">
        <v>70</v>
      </c>
      <c r="D108" t="s">
        <v>67</v>
      </c>
      <c r="E108" t="s">
        <v>28</v>
      </c>
      <c r="F108">
        <v>20</v>
      </c>
      <c r="G108" s="2">
        <v>119</v>
      </c>
      <c r="H108" s="2">
        <v>2380</v>
      </c>
      <c r="I108" s="4">
        <v>0.05</v>
      </c>
      <c r="J108" s="2">
        <v>2261</v>
      </c>
      <c r="K108" s="1">
        <v>43914</v>
      </c>
      <c r="L108" s="1">
        <v>43914</v>
      </c>
      <c r="M108">
        <v>107</v>
      </c>
      <c r="N108">
        <v>3</v>
      </c>
      <c r="O108" t="s">
        <v>69</v>
      </c>
      <c r="P108" s="3">
        <v>0.09</v>
      </c>
      <c r="Q108" s="2">
        <v>203.48999999999998</v>
      </c>
      <c r="R108">
        <v>2</v>
      </c>
      <c r="S108" t="str">
        <f t="shared" si="1"/>
        <v>Março</v>
      </c>
    </row>
    <row r="109" spans="1:19">
      <c r="A109">
        <v>108</v>
      </c>
      <c r="B109" s="1">
        <v>43893</v>
      </c>
      <c r="C109">
        <v>95</v>
      </c>
      <c r="D109" t="s">
        <v>38</v>
      </c>
      <c r="E109" t="s">
        <v>21</v>
      </c>
      <c r="F109">
        <v>31</v>
      </c>
      <c r="G109" s="2">
        <v>115</v>
      </c>
      <c r="H109" s="2">
        <v>3565</v>
      </c>
      <c r="I109" s="4">
        <v>0.09</v>
      </c>
      <c r="J109" s="2">
        <v>3244.15</v>
      </c>
      <c r="K109" s="1">
        <v>43909</v>
      </c>
      <c r="L109" s="1">
        <v>43909</v>
      </c>
      <c r="M109">
        <v>108</v>
      </c>
      <c r="N109">
        <v>4</v>
      </c>
      <c r="O109" t="s">
        <v>43</v>
      </c>
      <c r="P109" s="3">
        <v>0.06</v>
      </c>
      <c r="Q109" s="2">
        <v>194.649</v>
      </c>
      <c r="R109">
        <v>3</v>
      </c>
      <c r="S109" t="str">
        <f t="shared" si="1"/>
        <v>Março</v>
      </c>
    </row>
    <row r="110" spans="1:19">
      <c r="A110">
        <v>109</v>
      </c>
      <c r="B110" s="1">
        <v>43894</v>
      </c>
      <c r="C110">
        <v>69</v>
      </c>
      <c r="D110" t="s">
        <v>67</v>
      </c>
      <c r="E110" t="s">
        <v>21</v>
      </c>
      <c r="F110">
        <v>35</v>
      </c>
      <c r="G110" s="2">
        <v>116</v>
      </c>
      <c r="H110" s="2">
        <v>4060</v>
      </c>
      <c r="I110" s="4">
        <v>0.14000000000000001</v>
      </c>
      <c r="J110" s="2">
        <v>3491.6</v>
      </c>
      <c r="K110" s="1">
        <v>43917</v>
      </c>
      <c r="L110" s="1">
        <v>43917</v>
      </c>
      <c r="M110">
        <v>109</v>
      </c>
      <c r="N110">
        <v>1</v>
      </c>
      <c r="O110" t="s">
        <v>25</v>
      </c>
      <c r="P110" s="3">
        <v>0.06</v>
      </c>
      <c r="Q110" s="2">
        <v>209.49599999999998</v>
      </c>
      <c r="R110">
        <v>4</v>
      </c>
      <c r="S110" t="str">
        <f t="shared" si="1"/>
        <v>Março</v>
      </c>
    </row>
    <row r="111" spans="1:19">
      <c r="A111">
        <v>110</v>
      </c>
      <c r="B111" s="1">
        <v>43894</v>
      </c>
      <c r="C111">
        <v>18</v>
      </c>
      <c r="D111" t="s">
        <v>83</v>
      </c>
      <c r="E111" t="s">
        <v>46</v>
      </c>
      <c r="F111">
        <v>33</v>
      </c>
      <c r="G111" s="2">
        <v>105</v>
      </c>
      <c r="H111" s="2">
        <v>3465</v>
      </c>
      <c r="I111" s="4">
        <v>0.03</v>
      </c>
      <c r="J111" s="2">
        <v>3361.05</v>
      </c>
      <c r="K111" s="1">
        <v>43924</v>
      </c>
      <c r="L111" s="1">
        <v>43924</v>
      </c>
      <c r="M111">
        <v>110</v>
      </c>
      <c r="N111">
        <v>3</v>
      </c>
      <c r="O111" t="s">
        <v>43</v>
      </c>
      <c r="P111" s="3">
        <v>0.09</v>
      </c>
      <c r="Q111" s="2">
        <v>302.49450000000002</v>
      </c>
      <c r="R111">
        <v>5</v>
      </c>
      <c r="S111" t="str">
        <f t="shared" si="1"/>
        <v>Março</v>
      </c>
    </row>
    <row r="112" spans="1:19">
      <c r="A112">
        <v>111</v>
      </c>
      <c r="B112" s="1">
        <v>43894</v>
      </c>
      <c r="C112">
        <v>86</v>
      </c>
      <c r="D112" t="s">
        <v>90</v>
      </c>
      <c r="E112" t="s">
        <v>31</v>
      </c>
      <c r="F112">
        <v>50</v>
      </c>
      <c r="G112" s="2">
        <v>103</v>
      </c>
      <c r="H112" s="2">
        <v>5150</v>
      </c>
      <c r="I112" s="4">
        <v>0.11</v>
      </c>
      <c r="J112" s="2">
        <v>4583.5</v>
      </c>
      <c r="K112" s="1">
        <v>43915</v>
      </c>
      <c r="L112" s="1">
        <v>43915</v>
      </c>
      <c r="M112">
        <v>111</v>
      </c>
      <c r="N112">
        <v>2</v>
      </c>
      <c r="O112" t="s">
        <v>47</v>
      </c>
      <c r="P112" s="3">
        <v>0.1</v>
      </c>
      <c r="Q112" s="2">
        <v>458.35</v>
      </c>
      <c r="R112">
        <v>6</v>
      </c>
      <c r="S112" t="str">
        <f t="shared" si="1"/>
        <v>Março</v>
      </c>
    </row>
    <row r="113" spans="1:19">
      <c r="A113">
        <v>112</v>
      </c>
      <c r="B113" s="1">
        <v>43895</v>
      </c>
      <c r="C113">
        <v>18</v>
      </c>
      <c r="D113" t="s">
        <v>83</v>
      </c>
      <c r="E113" t="s">
        <v>24</v>
      </c>
      <c r="F113">
        <v>42</v>
      </c>
      <c r="G113" s="2">
        <v>98</v>
      </c>
      <c r="H113" s="2">
        <v>4116</v>
      </c>
      <c r="I113" s="4">
        <v>0.11</v>
      </c>
      <c r="J113" s="2">
        <v>3663.24</v>
      </c>
      <c r="K113" s="1">
        <v>43900</v>
      </c>
      <c r="L113" s="1">
        <v>43900</v>
      </c>
      <c r="M113">
        <v>112</v>
      </c>
      <c r="N113">
        <v>5</v>
      </c>
      <c r="O113" t="s">
        <v>25</v>
      </c>
      <c r="P113" s="3">
        <v>0.09</v>
      </c>
      <c r="Q113" s="2">
        <v>329.69159999999999</v>
      </c>
      <c r="R113">
        <v>7</v>
      </c>
      <c r="S113" t="str">
        <f t="shared" si="1"/>
        <v>Março</v>
      </c>
    </row>
    <row r="114" spans="1:19">
      <c r="A114">
        <v>113</v>
      </c>
      <c r="B114" s="1">
        <v>43895</v>
      </c>
      <c r="C114">
        <v>41</v>
      </c>
      <c r="D114" t="s">
        <v>68</v>
      </c>
      <c r="E114" t="s">
        <v>54</v>
      </c>
      <c r="F114">
        <v>49</v>
      </c>
      <c r="G114" s="2">
        <v>102</v>
      </c>
      <c r="H114" s="2">
        <v>4998</v>
      </c>
      <c r="I114" s="4">
        <v>0.09</v>
      </c>
      <c r="J114" s="2">
        <v>4548.18</v>
      </c>
      <c r="K114" s="1">
        <v>43905</v>
      </c>
      <c r="L114" s="1">
        <v>43905</v>
      </c>
      <c r="M114">
        <v>113</v>
      </c>
      <c r="N114">
        <v>4</v>
      </c>
      <c r="O114" t="s">
        <v>37</v>
      </c>
      <c r="P114" s="3">
        <v>0.06</v>
      </c>
      <c r="Q114" s="2">
        <v>272.89080000000001</v>
      </c>
      <c r="R114">
        <v>1</v>
      </c>
      <c r="S114" t="str">
        <f t="shared" si="1"/>
        <v>Março</v>
      </c>
    </row>
    <row r="115" spans="1:19">
      <c r="A115">
        <v>114</v>
      </c>
      <c r="B115" s="1">
        <v>43895</v>
      </c>
      <c r="C115">
        <v>3</v>
      </c>
      <c r="D115" t="s">
        <v>91</v>
      </c>
      <c r="E115" t="s">
        <v>24</v>
      </c>
      <c r="F115">
        <v>11</v>
      </c>
      <c r="G115" s="2">
        <v>109</v>
      </c>
      <c r="H115" s="2">
        <v>1199</v>
      </c>
      <c r="I115" s="4">
        <v>0.02</v>
      </c>
      <c r="J115" s="2">
        <v>1175.02</v>
      </c>
      <c r="K115" s="1">
        <v>43907</v>
      </c>
      <c r="L115" s="1">
        <v>43907</v>
      </c>
      <c r="M115">
        <v>114</v>
      </c>
      <c r="N115">
        <v>5</v>
      </c>
      <c r="O115" t="s">
        <v>29</v>
      </c>
      <c r="P115" s="3">
        <v>7.0000000000000007E-2</v>
      </c>
      <c r="Q115" s="2">
        <v>82.251400000000004</v>
      </c>
      <c r="R115">
        <v>2</v>
      </c>
      <c r="S115" t="str">
        <f t="shared" si="1"/>
        <v>Março</v>
      </c>
    </row>
    <row r="116" spans="1:19">
      <c r="A116">
        <v>115</v>
      </c>
      <c r="B116" s="1">
        <v>43896</v>
      </c>
      <c r="C116">
        <v>56</v>
      </c>
      <c r="D116" t="s">
        <v>67</v>
      </c>
      <c r="E116" t="s">
        <v>21</v>
      </c>
      <c r="F116">
        <v>50</v>
      </c>
      <c r="G116" s="2">
        <v>98</v>
      </c>
      <c r="H116" s="2">
        <v>4900</v>
      </c>
      <c r="I116" s="4">
        <v>0.04</v>
      </c>
      <c r="J116" s="2">
        <v>4704</v>
      </c>
      <c r="K116" s="1">
        <v>43916</v>
      </c>
      <c r="L116" s="1">
        <v>43916</v>
      </c>
      <c r="M116">
        <v>115</v>
      </c>
      <c r="N116">
        <v>2</v>
      </c>
      <c r="O116" t="s">
        <v>43</v>
      </c>
      <c r="P116" s="3">
        <v>0.08</v>
      </c>
      <c r="Q116" s="2">
        <v>376.32</v>
      </c>
      <c r="R116">
        <v>3</v>
      </c>
      <c r="S116" t="str">
        <f t="shared" si="1"/>
        <v>Março</v>
      </c>
    </row>
    <row r="117" spans="1:19">
      <c r="A117">
        <v>116</v>
      </c>
      <c r="B117" s="1">
        <v>43896</v>
      </c>
      <c r="C117">
        <v>42</v>
      </c>
      <c r="D117" t="s">
        <v>92</v>
      </c>
      <c r="E117" t="s">
        <v>21</v>
      </c>
      <c r="F117">
        <v>50</v>
      </c>
      <c r="G117" s="2">
        <v>99</v>
      </c>
      <c r="H117" s="2">
        <v>4950</v>
      </c>
      <c r="I117" s="4">
        <v>0.08</v>
      </c>
      <c r="J117" s="2">
        <v>4554</v>
      </c>
      <c r="K117" s="1">
        <v>43918</v>
      </c>
      <c r="L117" s="1">
        <v>43918</v>
      </c>
      <c r="M117">
        <v>116</v>
      </c>
      <c r="N117">
        <v>4</v>
      </c>
      <c r="O117" t="s">
        <v>25</v>
      </c>
      <c r="P117" s="3">
        <v>0.09</v>
      </c>
      <c r="Q117" s="2">
        <v>409.85999999999996</v>
      </c>
      <c r="R117">
        <v>4</v>
      </c>
      <c r="S117" t="str">
        <f t="shared" si="1"/>
        <v>Março</v>
      </c>
    </row>
    <row r="118" spans="1:19">
      <c r="A118">
        <v>117</v>
      </c>
      <c r="B118" s="1">
        <v>43897</v>
      </c>
      <c r="C118">
        <v>32</v>
      </c>
      <c r="D118" t="s">
        <v>77</v>
      </c>
      <c r="E118" t="s">
        <v>31</v>
      </c>
      <c r="F118">
        <v>31</v>
      </c>
      <c r="G118" s="2">
        <v>117</v>
      </c>
      <c r="H118" s="2">
        <v>3627</v>
      </c>
      <c r="I118" s="4">
        <v>0.14000000000000001</v>
      </c>
      <c r="J118" s="2">
        <v>3119.22</v>
      </c>
      <c r="K118" s="1">
        <v>43905</v>
      </c>
      <c r="L118" s="1">
        <v>43905</v>
      </c>
      <c r="M118">
        <v>117</v>
      </c>
      <c r="N118">
        <v>4</v>
      </c>
      <c r="O118" t="s">
        <v>25</v>
      </c>
      <c r="P118" s="3">
        <v>0.05</v>
      </c>
      <c r="Q118" s="2">
        <v>155.96100000000001</v>
      </c>
      <c r="R118">
        <v>5</v>
      </c>
      <c r="S118" t="str">
        <f t="shared" si="1"/>
        <v>Março</v>
      </c>
    </row>
    <row r="119" spans="1:19">
      <c r="A119">
        <v>118</v>
      </c>
      <c r="B119" s="1">
        <v>43897</v>
      </c>
      <c r="C119">
        <v>36</v>
      </c>
      <c r="D119" t="s">
        <v>70</v>
      </c>
      <c r="E119" t="s">
        <v>24</v>
      </c>
      <c r="F119">
        <v>30</v>
      </c>
      <c r="G119" s="2">
        <v>99</v>
      </c>
      <c r="H119" s="2">
        <v>2970</v>
      </c>
      <c r="I119" s="4">
        <v>7.0000000000000007E-2</v>
      </c>
      <c r="J119" s="2">
        <v>2762.1</v>
      </c>
      <c r="K119" s="1">
        <v>43898</v>
      </c>
      <c r="L119" s="1">
        <v>43898</v>
      </c>
      <c r="M119">
        <v>118</v>
      </c>
      <c r="N119">
        <v>5</v>
      </c>
      <c r="O119" t="s">
        <v>37</v>
      </c>
      <c r="P119" s="3">
        <v>0.05</v>
      </c>
      <c r="Q119" s="2">
        <v>138.10499999999999</v>
      </c>
      <c r="R119">
        <v>6</v>
      </c>
      <c r="S119" t="str">
        <f t="shared" si="1"/>
        <v>Março</v>
      </c>
    </row>
    <row r="120" spans="1:19">
      <c r="A120">
        <v>119</v>
      </c>
      <c r="B120" s="1">
        <v>43897</v>
      </c>
      <c r="C120">
        <v>78</v>
      </c>
      <c r="D120" t="s">
        <v>36</v>
      </c>
      <c r="E120" t="s">
        <v>28</v>
      </c>
      <c r="F120">
        <v>23</v>
      </c>
      <c r="G120" s="2">
        <v>92</v>
      </c>
      <c r="H120" s="2">
        <v>2116</v>
      </c>
      <c r="I120" s="4">
        <v>0.02</v>
      </c>
      <c r="J120" s="2">
        <v>2073.6799999999998</v>
      </c>
      <c r="K120" s="1">
        <v>43926</v>
      </c>
      <c r="L120" s="1">
        <v>43926</v>
      </c>
      <c r="M120">
        <v>119</v>
      </c>
      <c r="N120">
        <v>3</v>
      </c>
      <c r="O120" t="s">
        <v>34</v>
      </c>
      <c r="P120" s="3">
        <v>0.08</v>
      </c>
      <c r="Q120" s="2">
        <v>165.89439999999999</v>
      </c>
      <c r="R120">
        <v>7</v>
      </c>
      <c r="S120" t="str">
        <f t="shared" si="1"/>
        <v>Março</v>
      </c>
    </row>
    <row r="121" spans="1:19">
      <c r="A121">
        <v>120</v>
      </c>
      <c r="B121" s="1">
        <v>43897</v>
      </c>
      <c r="C121">
        <v>13</v>
      </c>
      <c r="D121" t="s">
        <v>75</v>
      </c>
      <c r="E121" t="s">
        <v>46</v>
      </c>
      <c r="F121">
        <v>32</v>
      </c>
      <c r="G121" s="2">
        <v>99</v>
      </c>
      <c r="H121" s="2">
        <v>3168</v>
      </c>
      <c r="I121" s="4">
        <v>0.11</v>
      </c>
      <c r="J121" s="2">
        <v>2819.52</v>
      </c>
      <c r="K121" s="1">
        <v>43902</v>
      </c>
      <c r="L121" s="1">
        <v>43902</v>
      </c>
      <c r="M121">
        <v>120</v>
      </c>
      <c r="N121">
        <v>6</v>
      </c>
      <c r="O121" t="s">
        <v>47</v>
      </c>
      <c r="P121" s="3">
        <v>0.09</v>
      </c>
      <c r="Q121" s="2">
        <v>253.7568</v>
      </c>
      <c r="R121">
        <v>1</v>
      </c>
      <c r="S121" t="str">
        <f t="shared" si="1"/>
        <v>Março</v>
      </c>
    </row>
    <row r="122" spans="1:19">
      <c r="A122">
        <v>121</v>
      </c>
      <c r="B122" s="1">
        <v>43898</v>
      </c>
      <c r="C122">
        <v>49</v>
      </c>
      <c r="D122" t="s">
        <v>38</v>
      </c>
      <c r="E122" t="s">
        <v>50</v>
      </c>
      <c r="F122">
        <v>31</v>
      </c>
      <c r="G122" s="2">
        <v>103</v>
      </c>
      <c r="H122" s="2">
        <v>3193</v>
      </c>
      <c r="I122" s="4">
        <v>0.09</v>
      </c>
      <c r="J122" s="2">
        <v>2905.63</v>
      </c>
      <c r="K122" s="1">
        <v>43902</v>
      </c>
      <c r="L122" s="1">
        <v>43902</v>
      </c>
      <c r="M122">
        <v>121</v>
      </c>
      <c r="N122">
        <v>5</v>
      </c>
      <c r="O122" t="s">
        <v>37</v>
      </c>
      <c r="P122" s="3">
        <v>0.05</v>
      </c>
      <c r="Q122" s="2">
        <v>145.28150000000002</v>
      </c>
      <c r="R122">
        <v>2</v>
      </c>
      <c r="S122" t="str">
        <f t="shared" si="1"/>
        <v>Março</v>
      </c>
    </row>
    <row r="123" spans="1:19">
      <c r="A123">
        <v>122</v>
      </c>
      <c r="B123" s="1">
        <v>43898</v>
      </c>
      <c r="C123">
        <v>1</v>
      </c>
      <c r="D123" t="s">
        <v>93</v>
      </c>
      <c r="E123" t="s">
        <v>46</v>
      </c>
      <c r="F123">
        <v>26</v>
      </c>
      <c r="G123" s="2">
        <v>97</v>
      </c>
      <c r="H123" s="2">
        <v>2522</v>
      </c>
      <c r="I123" s="4">
        <v>0.14000000000000001</v>
      </c>
      <c r="J123" s="2">
        <v>2168.92</v>
      </c>
      <c r="K123" s="1">
        <v>43899</v>
      </c>
      <c r="L123" s="1">
        <v>43899</v>
      </c>
      <c r="M123">
        <v>122</v>
      </c>
      <c r="N123">
        <v>2</v>
      </c>
      <c r="O123" t="s">
        <v>47</v>
      </c>
      <c r="P123" s="3">
        <v>0.1</v>
      </c>
      <c r="Q123" s="2">
        <v>216.89200000000002</v>
      </c>
      <c r="R123">
        <v>3</v>
      </c>
      <c r="S123" t="str">
        <f t="shared" si="1"/>
        <v>Março</v>
      </c>
    </row>
    <row r="124" spans="1:19">
      <c r="A124">
        <v>123</v>
      </c>
      <c r="B124" s="1">
        <v>43898</v>
      </c>
      <c r="C124">
        <v>33</v>
      </c>
      <c r="D124" t="s">
        <v>76</v>
      </c>
      <c r="E124" t="s">
        <v>24</v>
      </c>
      <c r="F124">
        <v>13</v>
      </c>
      <c r="G124" s="2">
        <v>111</v>
      </c>
      <c r="H124" s="2">
        <v>1443</v>
      </c>
      <c r="I124" s="4">
        <v>0.01</v>
      </c>
      <c r="J124" s="2">
        <v>1428.57</v>
      </c>
      <c r="K124" s="1">
        <v>43901</v>
      </c>
      <c r="L124" s="1">
        <v>43901</v>
      </c>
      <c r="M124">
        <v>123</v>
      </c>
      <c r="N124">
        <v>4</v>
      </c>
      <c r="O124" t="s">
        <v>32</v>
      </c>
      <c r="P124" s="3">
        <v>0.05</v>
      </c>
      <c r="Q124" s="2">
        <v>71.4285</v>
      </c>
      <c r="R124">
        <v>4</v>
      </c>
      <c r="S124" t="str">
        <f t="shared" si="1"/>
        <v>Março</v>
      </c>
    </row>
    <row r="125" spans="1:19">
      <c r="A125">
        <v>124</v>
      </c>
      <c r="B125" s="1">
        <v>43898</v>
      </c>
      <c r="C125">
        <v>50</v>
      </c>
      <c r="D125" t="s">
        <v>81</v>
      </c>
      <c r="E125" t="s">
        <v>28</v>
      </c>
      <c r="F125">
        <v>35</v>
      </c>
      <c r="G125" s="2">
        <v>102</v>
      </c>
      <c r="H125" s="2">
        <v>3570</v>
      </c>
      <c r="I125" s="4">
        <v>0.09</v>
      </c>
      <c r="J125" s="2">
        <v>3248.7</v>
      </c>
      <c r="K125" s="1">
        <v>43913</v>
      </c>
      <c r="M125">
        <v>124</v>
      </c>
      <c r="N125">
        <v>7</v>
      </c>
      <c r="O125" t="s">
        <v>25</v>
      </c>
      <c r="P125" s="3">
        <v>0.09</v>
      </c>
      <c r="Q125" s="2">
        <v>292.38299999999998</v>
      </c>
      <c r="R125">
        <v>5</v>
      </c>
      <c r="S125" t="str">
        <f t="shared" si="1"/>
        <v>Março</v>
      </c>
    </row>
    <row r="126" spans="1:19">
      <c r="A126">
        <v>125</v>
      </c>
      <c r="B126" s="1">
        <v>43899</v>
      </c>
      <c r="C126">
        <v>46</v>
      </c>
      <c r="D126" t="s">
        <v>94</v>
      </c>
      <c r="E126" t="s">
        <v>54</v>
      </c>
      <c r="F126">
        <v>19</v>
      </c>
      <c r="G126" s="2">
        <v>104</v>
      </c>
      <c r="H126" s="2">
        <v>1976</v>
      </c>
      <c r="I126" s="4">
        <v>0.09</v>
      </c>
      <c r="J126" s="2">
        <v>1798.16</v>
      </c>
      <c r="K126" s="1">
        <v>43928</v>
      </c>
      <c r="L126" s="1">
        <v>43928</v>
      </c>
      <c r="M126">
        <v>125</v>
      </c>
      <c r="N126">
        <v>5</v>
      </c>
      <c r="O126" t="s">
        <v>52</v>
      </c>
      <c r="P126" s="3">
        <v>0.09</v>
      </c>
      <c r="Q126" s="2">
        <v>161.83439999999999</v>
      </c>
      <c r="R126">
        <v>6</v>
      </c>
      <c r="S126" t="str">
        <f t="shared" si="1"/>
        <v>Março</v>
      </c>
    </row>
    <row r="127" spans="1:19">
      <c r="A127">
        <v>126</v>
      </c>
      <c r="B127" s="1">
        <v>43899</v>
      </c>
      <c r="C127">
        <v>26</v>
      </c>
      <c r="D127" t="s">
        <v>95</v>
      </c>
      <c r="E127" t="s">
        <v>28</v>
      </c>
      <c r="F127">
        <v>15</v>
      </c>
      <c r="G127" s="2">
        <v>119</v>
      </c>
      <c r="H127" s="2">
        <v>1785</v>
      </c>
      <c r="I127" s="4">
        <v>0.15</v>
      </c>
      <c r="J127" s="2">
        <v>1517.25</v>
      </c>
      <c r="K127" s="1">
        <v>43912</v>
      </c>
      <c r="L127" s="1">
        <v>43912</v>
      </c>
      <c r="M127">
        <v>126</v>
      </c>
      <c r="N127">
        <v>7</v>
      </c>
      <c r="O127" t="s">
        <v>37</v>
      </c>
      <c r="P127" s="3">
        <v>0.05</v>
      </c>
      <c r="Q127" s="2">
        <v>75.862499999999997</v>
      </c>
      <c r="R127">
        <v>7</v>
      </c>
      <c r="S127" t="str">
        <f t="shared" si="1"/>
        <v>Março</v>
      </c>
    </row>
    <row r="128" spans="1:19">
      <c r="A128">
        <v>127</v>
      </c>
      <c r="B128" s="1">
        <v>43901</v>
      </c>
      <c r="C128">
        <v>48</v>
      </c>
      <c r="D128" t="s">
        <v>61</v>
      </c>
      <c r="E128" t="s">
        <v>31</v>
      </c>
      <c r="F128">
        <v>13</v>
      </c>
      <c r="G128" s="2">
        <v>99</v>
      </c>
      <c r="H128" s="2">
        <v>1287</v>
      </c>
      <c r="I128" s="4">
        <v>0.15</v>
      </c>
      <c r="J128" s="2">
        <v>1093.95</v>
      </c>
      <c r="K128" s="1">
        <v>43929</v>
      </c>
      <c r="L128" s="1">
        <v>43929</v>
      </c>
      <c r="M128">
        <v>127</v>
      </c>
      <c r="N128">
        <v>6</v>
      </c>
      <c r="O128" t="s">
        <v>37</v>
      </c>
      <c r="P128" s="3">
        <v>0.08</v>
      </c>
      <c r="Q128" s="2">
        <v>87.516000000000005</v>
      </c>
      <c r="R128">
        <v>1</v>
      </c>
      <c r="S128" t="str">
        <f t="shared" si="1"/>
        <v>Março</v>
      </c>
    </row>
    <row r="129" spans="1:19">
      <c r="A129">
        <v>128</v>
      </c>
      <c r="B129" s="1">
        <v>43901</v>
      </c>
      <c r="C129">
        <v>22</v>
      </c>
      <c r="D129" t="s">
        <v>51</v>
      </c>
      <c r="E129" t="s">
        <v>31</v>
      </c>
      <c r="F129">
        <v>31</v>
      </c>
      <c r="G129" s="2">
        <v>104</v>
      </c>
      <c r="H129" s="2">
        <v>3224</v>
      </c>
      <c r="I129" s="4">
        <v>0.13</v>
      </c>
      <c r="J129" s="2">
        <v>2804.88</v>
      </c>
      <c r="K129" s="1">
        <v>43919</v>
      </c>
      <c r="L129" s="1">
        <v>43919</v>
      </c>
      <c r="M129">
        <v>128</v>
      </c>
      <c r="N129">
        <v>6</v>
      </c>
      <c r="O129" t="s">
        <v>69</v>
      </c>
      <c r="P129" s="3">
        <v>0.06</v>
      </c>
      <c r="Q129" s="2">
        <v>168.2928</v>
      </c>
      <c r="R129">
        <v>2</v>
      </c>
      <c r="S129" t="str">
        <f t="shared" si="1"/>
        <v>Março</v>
      </c>
    </row>
    <row r="130" spans="1:19">
      <c r="A130">
        <v>129</v>
      </c>
      <c r="B130" s="1">
        <v>43902</v>
      </c>
      <c r="C130">
        <v>30</v>
      </c>
      <c r="D130" t="s">
        <v>96</v>
      </c>
      <c r="E130" t="s">
        <v>46</v>
      </c>
      <c r="F130">
        <v>36</v>
      </c>
      <c r="G130" s="2">
        <v>109</v>
      </c>
      <c r="H130" s="2">
        <v>3924</v>
      </c>
      <c r="I130" s="4">
        <v>7.0000000000000007E-2</v>
      </c>
      <c r="J130" s="2">
        <v>3649.32</v>
      </c>
      <c r="K130" s="1">
        <v>43904</v>
      </c>
      <c r="L130" s="1">
        <v>43904</v>
      </c>
      <c r="M130">
        <v>129</v>
      </c>
      <c r="N130">
        <v>3</v>
      </c>
      <c r="O130" t="s">
        <v>34</v>
      </c>
      <c r="P130" s="3">
        <v>0.08</v>
      </c>
      <c r="Q130" s="2">
        <v>291.94560000000001</v>
      </c>
      <c r="R130">
        <v>3</v>
      </c>
      <c r="S130" t="str">
        <f t="shared" si="1"/>
        <v>Março</v>
      </c>
    </row>
    <row r="131" spans="1:19">
      <c r="A131">
        <v>130</v>
      </c>
      <c r="B131" s="1">
        <v>43902</v>
      </c>
      <c r="C131">
        <v>97</v>
      </c>
      <c r="D131" t="s">
        <v>66</v>
      </c>
      <c r="E131" t="s">
        <v>59</v>
      </c>
      <c r="F131">
        <v>24</v>
      </c>
      <c r="G131" s="2">
        <v>105</v>
      </c>
      <c r="H131" s="2">
        <v>2520</v>
      </c>
      <c r="I131" s="4">
        <v>0.03</v>
      </c>
      <c r="J131" s="2">
        <v>2444.4</v>
      </c>
      <c r="K131" s="1">
        <v>43906</v>
      </c>
      <c r="L131" s="1">
        <v>43906</v>
      </c>
      <c r="M131">
        <v>130</v>
      </c>
      <c r="N131">
        <v>1</v>
      </c>
      <c r="O131" t="s">
        <v>43</v>
      </c>
      <c r="P131" s="3">
        <v>0.09</v>
      </c>
      <c r="Q131" s="2">
        <v>219.99600000000001</v>
      </c>
      <c r="R131">
        <v>4</v>
      </c>
      <c r="S131" t="str">
        <f t="shared" ref="S131:S194" si="2">PROPER(TEXT(B131,"mmmm"))</f>
        <v>Março</v>
      </c>
    </row>
    <row r="132" spans="1:19">
      <c r="A132">
        <v>131</v>
      </c>
      <c r="B132" s="1">
        <v>43902</v>
      </c>
      <c r="C132">
        <v>64</v>
      </c>
      <c r="D132" t="s">
        <v>78</v>
      </c>
      <c r="E132" t="s">
        <v>28</v>
      </c>
      <c r="F132">
        <v>24</v>
      </c>
      <c r="G132" s="2">
        <v>118</v>
      </c>
      <c r="H132" s="2">
        <v>2832</v>
      </c>
      <c r="I132" s="4">
        <v>0.13</v>
      </c>
      <c r="J132" s="2">
        <v>2463.84</v>
      </c>
      <c r="K132" s="1">
        <v>43930</v>
      </c>
      <c r="L132" s="1">
        <v>43930</v>
      </c>
      <c r="M132">
        <v>131</v>
      </c>
      <c r="N132">
        <v>5</v>
      </c>
      <c r="O132" t="s">
        <v>52</v>
      </c>
      <c r="P132" s="3">
        <v>7.0000000000000007E-2</v>
      </c>
      <c r="Q132" s="2">
        <v>172.46880000000002</v>
      </c>
      <c r="R132">
        <v>5</v>
      </c>
      <c r="S132" t="str">
        <f t="shared" si="2"/>
        <v>Março</v>
      </c>
    </row>
    <row r="133" spans="1:19">
      <c r="A133">
        <v>132</v>
      </c>
      <c r="B133" s="1">
        <v>43903</v>
      </c>
      <c r="C133">
        <v>98</v>
      </c>
      <c r="D133" t="s">
        <v>26</v>
      </c>
      <c r="E133" t="s">
        <v>28</v>
      </c>
      <c r="F133">
        <v>48</v>
      </c>
      <c r="G133" s="2">
        <v>119</v>
      </c>
      <c r="H133" s="2">
        <v>5712</v>
      </c>
      <c r="I133" s="4">
        <v>0</v>
      </c>
      <c r="J133" s="2">
        <v>5712</v>
      </c>
      <c r="K133" s="1">
        <v>43931</v>
      </c>
      <c r="L133" s="1">
        <v>43931</v>
      </c>
      <c r="M133">
        <v>132</v>
      </c>
      <c r="N133">
        <v>1</v>
      </c>
      <c r="O133" t="s">
        <v>47</v>
      </c>
      <c r="P133" s="3">
        <v>0.08</v>
      </c>
      <c r="Q133" s="2">
        <v>456.96000000000004</v>
      </c>
      <c r="R133">
        <v>6</v>
      </c>
      <c r="S133" t="str">
        <f t="shared" si="2"/>
        <v>Março</v>
      </c>
    </row>
    <row r="134" spans="1:19">
      <c r="A134">
        <v>133</v>
      </c>
      <c r="B134" s="1">
        <v>43903</v>
      </c>
      <c r="C134">
        <v>37</v>
      </c>
      <c r="D134" t="s">
        <v>48</v>
      </c>
      <c r="E134" t="s">
        <v>28</v>
      </c>
      <c r="F134">
        <v>13</v>
      </c>
      <c r="G134" s="2">
        <v>120</v>
      </c>
      <c r="H134" s="2">
        <v>1560</v>
      </c>
      <c r="I134" s="4">
        <v>0.14000000000000001</v>
      </c>
      <c r="J134" s="2">
        <v>1341.6</v>
      </c>
      <c r="K134" s="1">
        <v>43927</v>
      </c>
      <c r="L134" s="1">
        <v>43927</v>
      </c>
      <c r="M134">
        <v>133</v>
      </c>
      <c r="N134">
        <v>4</v>
      </c>
      <c r="O134" t="s">
        <v>22</v>
      </c>
      <c r="P134" s="3">
        <v>0.06</v>
      </c>
      <c r="Q134" s="2">
        <v>80.495999999999995</v>
      </c>
      <c r="R134">
        <v>7</v>
      </c>
      <c r="S134" t="str">
        <f t="shared" si="2"/>
        <v>Março</v>
      </c>
    </row>
    <row r="135" spans="1:19">
      <c r="A135">
        <v>134</v>
      </c>
      <c r="B135" s="1">
        <v>43903</v>
      </c>
      <c r="C135">
        <v>15</v>
      </c>
      <c r="D135" t="s">
        <v>77</v>
      </c>
      <c r="E135" t="s">
        <v>28</v>
      </c>
      <c r="F135">
        <v>11</v>
      </c>
      <c r="G135" s="2">
        <v>113</v>
      </c>
      <c r="H135" s="2">
        <v>1243</v>
      </c>
      <c r="I135" s="4">
        <v>0.12</v>
      </c>
      <c r="J135" s="2">
        <v>1093.8399999999999</v>
      </c>
      <c r="K135" s="1">
        <v>43924</v>
      </c>
      <c r="L135" s="1">
        <v>43924</v>
      </c>
      <c r="M135">
        <v>134</v>
      </c>
      <c r="N135">
        <v>7</v>
      </c>
      <c r="O135" t="s">
        <v>43</v>
      </c>
      <c r="P135" s="3">
        <v>0.1</v>
      </c>
      <c r="Q135" s="2">
        <v>109.384</v>
      </c>
      <c r="R135">
        <v>1</v>
      </c>
      <c r="S135" t="str">
        <f t="shared" si="2"/>
        <v>Março</v>
      </c>
    </row>
    <row r="136" spans="1:19">
      <c r="A136">
        <v>135</v>
      </c>
      <c r="B136" s="1">
        <v>43905</v>
      </c>
      <c r="C136">
        <v>6</v>
      </c>
      <c r="D136" t="s">
        <v>88</v>
      </c>
      <c r="E136" t="s">
        <v>46</v>
      </c>
      <c r="F136">
        <v>18</v>
      </c>
      <c r="G136" s="2">
        <v>104</v>
      </c>
      <c r="H136" s="2">
        <v>1872</v>
      </c>
      <c r="I136" s="4">
        <v>0.01</v>
      </c>
      <c r="J136" s="2">
        <v>1853.28</v>
      </c>
      <c r="K136" s="1">
        <v>43928</v>
      </c>
      <c r="L136" s="1">
        <v>43928</v>
      </c>
      <c r="M136">
        <v>135</v>
      </c>
      <c r="N136">
        <v>1</v>
      </c>
      <c r="O136" t="s">
        <v>47</v>
      </c>
      <c r="P136" s="3">
        <v>0.1</v>
      </c>
      <c r="Q136" s="2">
        <v>185.328</v>
      </c>
      <c r="R136">
        <v>2</v>
      </c>
      <c r="S136" t="str">
        <f t="shared" si="2"/>
        <v>Março</v>
      </c>
    </row>
    <row r="137" spans="1:19">
      <c r="A137">
        <v>136</v>
      </c>
      <c r="B137" s="1">
        <v>43906</v>
      </c>
      <c r="C137">
        <v>94</v>
      </c>
      <c r="D137" t="s">
        <v>49</v>
      </c>
      <c r="E137" t="s">
        <v>21</v>
      </c>
      <c r="F137">
        <v>25</v>
      </c>
      <c r="G137" s="2">
        <v>115</v>
      </c>
      <c r="H137" s="2">
        <v>2875</v>
      </c>
      <c r="I137" s="4">
        <v>7.0000000000000007E-2</v>
      </c>
      <c r="J137" s="2">
        <v>2673.75</v>
      </c>
      <c r="K137" s="1">
        <v>43930</v>
      </c>
      <c r="L137" s="1">
        <v>43930</v>
      </c>
      <c r="M137">
        <v>136</v>
      </c>
      <c r="N137">
        <v>1</v>
      </c>
      <c r="O137" t="s">
        <v>43</v>
      </c>
      <c r="P137" s="3">
        <v>7.0000000000000007E-2</v>
      </c>
      <c r="Q137" s="2">
        <v>187.16250000000002</v>
      </c>
      <c r="R137">
        <v>3</v>
      </c>
      <c r="S137" t="str">
        <f t="shared" si="2"/>
        <v>Março</v>
      </c>
    </row>
    <row r="138" spans="1:19">
      <c r="A138">
        <v>137</v>
      </c>
      <c r="B138" s="1">
        <v>43907</v>
      </c>
      <c r="C138">
        <v>80</v>
      </c>
      <c r="D138" t="s">
        <v>38</v>
      </c>
      <c r="E138" t="s">
        <v>46</v>
      </c>
      <c r="F138">
        <v>49</v>
      </c>
      <c r="G138" s="2">
        <v>107</v>
      </c>
      <c r="H138" s="2">
        <v>5243</v>
      </c>
      <c r="I138" s="4">
        <v>0.04</v>
      </c>
      <c r="J138" s="2">
        <v>5033.28</v>
      </c>
      <c r="K138" s="1">
        <v>43930</v>
      </c>
      <c r="L138" s="1">
        <v>43930</v>
      </c>
      <c r="M138">
        <v>137</v>
      </c>
      <c r="N138">
        <v>3</v>
      </c>
      <c r="O138" t="s">
        <v>32</v>
      </c>
      <c r="P138" s="3">
        <v>0.06</v>
      </c>
      <c r="Q138" s="2">
        <v>301.99679999999995</v>
      </c>
      <c r="R138">
        <v>4</v>
      </c>
      <c r="S138" t="str">
        <f t="shared" si="2"/>
        <v>Março</v>
      </c>
    </row>
    <row r="139" spans="1:19">
      <c r="A139">
        <v>138</v>
      </c>
      <c r="B139" s="1">
        <v>43907</v>
      </c>
      <c r="C139">
        <v>94</v>
      </c>
      <c r="D139" t="s">
        <v>49</v>
      </c>
      <c r="E139" t="s">
        <v>50</v>
      </c>
      <c r="F139">
        <v>16</v>
      </c>
      <c r="G139" s="2">
        <v>106</v>
      </c>
      <c r="H139" s="2">
        <v>1696</v>
      </c>
      <c r="I139" s="4">
        <v>0.11</v>
      </c>
      <c r="J139" s="2">
        <v>1509.44</v>
      </c>
      <c r="K139" s="1">
        <v>43924</v>
      </c>
      <c r="L139" s="1">
        <v>43924</v>
      </c>
      <c r="M139">
        <v>138</v>
      </c>
      <c r="N139">
        <v>7</v>
      </c>
      <c r="O139" t="s">
        <v>69</v>
      </c>
      <c r="P139" s="3">
        <v>0.05</v>
      </c>
      <c r="Q139" s="2">
        <v>75.472000000000008</v>
      </c>
      <c r="R139">
        <v>5</v>
      </c>
      <c r="S139" t="str">
        <f t="shared" si="2"/>
        <v>Março</v>
      </c>
    </row>
    <row r="140" spans="1:19">
      <c r="A140">
        <v>139</v>
      </c>
      <c r="B140" s="1">
        <v>43908</v>
      </c>
      <c r="C140">
        <v>80</v>
      </c>
      <c r="D140" t="s">
        <v>38</v>
      </c>
      <c r="E140" t="s">
        <v>59</v>
      </c>
      <c r="F140">
        <v>50</v>
      </c>
      <c r="G140" s="2">
        <v>119</v>
      </c>
      <c r="H140" s="2">
        <v>5950</v>
      </c>
      <c r="I140" s="4">
        <v>0.1</v>
      </c>
      <c r="J140" s="2">
        <v>5355</v>
      </c>
      <c r="K140" s="1">
        <v>43911</v>
      </c>
      <c r="L140" s="1">
        <v>43911</v>
      </c>
      <c r="M140">
        <v>139</v>
      </c>
      <c r="N140">
        <v>3</v>
      </c>
      <c r="O140" t="s">
        <v>37</v>
      </c>
      <c r="P140" s="3">
        <v>0.1</v>
      </c>
      <c r="Q140" s="2">
        <v>535.5</v>
      </c>
      <c r="R140">
        <v>6</v>
      </c>
      <c r="S140" t="str">
        <f t="shared" si="2"/>
        <v>Março</v>
      </c>
    </row>
    <row r="141" spans="1:19">
      <c r="A141">
        <v>140</v>
      </c>
      <c r="B141" s="1">
        <v>43909</v>
      </c>
      <c r="C141">
        <v>73</v>
      </c>
      <c r="D141" t="s">
        <v>38</v>
      </c>
      <c r="E141" t="s">
        <v>41</v>
      </c>
      <c r="F141">
        <v>36</v>
      </c>
      <c r="G141" s="2">
        <v>111</v>
      </c>
      <c r="H141" s="2">
        <v>3996</v>
      </c>
      <c r="I141" s="4">
        <v>0.08</v>
      </c>
      <c r="J141" s="2">
        <v>3676.32</v>
      </c>
      <c r="K141" s="1">
        <v>43931</v>
      </c>
      <c r="L141" s="1">
        <v>43931</v>
      </c>
      <c r="M141">
        <v>140</v>
      </c>
      <c r="N141">
        <v>1</v>
      </c>
      <c r="O141" t="s">
        <v>37</v>
      </c>
      <c r="P141" s="3">
        <v>0.1</v>
      </c>
      <c r="Q141" s="2">
        <v>367.63200000000006</v>
      </c>
      <c r="R141">
        <v>7</v>
      </c>
      <c r="S141" t="str">
        <f t="shared" si="2"/>
        <v>Março</v>
      </c>
    </row>
    <row r="142" spans="1:19">
      <c r="A142">
        <v>141</v>
      </c>
      <c r="B142" s="1">
        <v>43909</v>
      </c>
      <c r="C142">
        <v>17</v>
      </c>
      <c r="D142" t="s">
        <v>67</v>
      </c>
      <c r="E142" t="s">
        <v>59</v>
      </c>
      <c r="F142">
        <v>10</v>
      </c>
      <c r="G142" s="2">
        <v>96</v>
      </c>
      <c r="H142" s="2">
        <v>960</v>
      </c>
      <c r="I142" s="4">
        <v>0.1</v>
      </c>
      <c r="J142" s="2">
        <v>864</v>
      </c>
      <c r="K142" s="1">
        <v>43922</v>
      </c>
      <c r="L142" s="1">
        <v>43922</v>
      </c>
      <c r="M142">
        <v>141</v>
      </c>
      <c r="N142">
        <v>2</v>
      </c>
      <c r="O142" t="s">
        <v>32</v>
      </c>
      <c r="P142" s="3">
        <v>0.05</v>
      </c>
      <c r="Q142" s="2">
        <v>43.2</v>
      </c>
      <c r="R142">
        <v>1</v>
      </c>
      <c r="S142" t="str">
        <f t="shared" si="2"/>
        <v>Março</v>
      </c>
    </row>
    <row r="143" spans="1:19">
      <c r="A143">
        <v>142</v>
      </c>
      <c r="B143" s="1">
        <v>43911</v>
      </c>
      <c r="C143">
        <v>14</v>
      </c>
      <c r="D143" t="s">
        <v>27</v>
      </c>
      <c r="E143" t="s">
        <v>50</v>
      </c>
      <c r="F143">
        <v>20</v>
      </c>
      <c r="G143" s="2">
        <v>113</v>
      </c>
      <c r="H143" s="2">
        <v>2260</v>
      </c>
      <c r="I143" s="4">
        <v>0.09</v>
      </c>
      <c r="J143" s="2">
        <v>2056.6</v>
      </c>
      <c r="K143" s="1">
        <v>43913</v>
      </c>
      <c r="L143" s="1">
        <v>43913</v>
      </c>
      <c r="M143">
        <v>142</v>
      </c>
      <c r="N143">
        <v>6</v>
      </c>
      <c r="O143" t="s">
        <v>25</v>
      </c>
      <c r="P143" s="3">
        <v>7.0000000000000007E-2</v>
      </c>
      <c r="Q143" s="2">
        <v>143.96200000000002</v>
      </c>
      <c r="R143">
        <v>2</v>
      </c>
      <c r="S143" t="str">
        <f t="shared" si="2"/>
        <v>Março</v>
      </c>
    </row>
    <row r="144" spans="1:19">
      <c r="A144">
        <v>143</v>
      </c>
      <c r="B144" s="1">
        <v>43911</v>
      </c>
      <c r="C144">
        <v>16</v>
      </c>
      <c r="D144" t="s">
        <v>27</v>
      </c>
      <c r="E144" t="s">
        <v>46</v>
      </c>
      <c r="F144">
        <v>46</v>
      </c>
      <c r="G144" s="2">
        <v>98</v>
      </c>
      <c r="H144" s="2">
        <v>4508</v>
      </c>
      <c r="I144" s="4">
        <v>0</v>
      </c>
      <c r="J144" s="2">
        <v>4508</v>
      </c>
      <c r="K144" s="1">
        <v>43932</v>
      </c>
      <c r="L144" s="1">
        <v>43932</v>
      </c>
      <c r="M144">
        <v>143</v>
      </c>
      <c r="N144">
        <v>1</v>
      </c>
      <c r="O144" t="s">
        <v>34</v>
      </c>
      <c r="P144" s="3">
        <v>0.06</v>
      </c>
      <c r="Q144" s="2">
        <v>270.48</v>
      </c>
      <c r="R144">
        <v>3</v>
      </c>
      <c r="S144" t="str">
        <f t="shared" si="2"/>
        <v>Março</v>
      </c>
    </row>
    <row r="145" spans="1:19">
      <c r="A145">
        <v>144</v>
      </c>
      <c r="B145" s="1">
        <v>43911</v>
      </c>
      <c r="C145">
        <v>41</v>
      </c>
      <c r="D145" t="s">
        <v>68</v>
      </c>
      <c r="E145" t="s">
        <v>41</v>
      </c>
      <c r="F145">
        <v>14</v>
      </c>
      <c r="G145" s="2">
        <v>92</v>
      </c>
      <c r="H145" s="2">
        <v>1288</v>
      </c>
      <c r="I145" s="4">
        <v>7.0000000000000007E-2</v>
      </c>
      <c r="J145" s="2">
        <v>1197.8399999999999</v>
      </c>
      <c r="K145" s="1">
        <v>43927</v>
      </c>
      <c r="L145" s="1">
        <v>43927</v>
      </c>
      <c r="M145">
        <v>144</v>
      </c>
      <c r="N145">
        <v>7</v>
      </c>
      <c r="O145" t="s">
        <v>34</v>
      </c>
      <c r="P145" s="3">
        <v>7.0000000000000007E-2</v>
      </c>
      <c r="Q145" s="2">
        <v>83.848799999999997</v>
      </c>
      <c r="R145">
        <v>4</v>
      </c>
      <c r="S145" t="str">
        <f t="shared" si="2"/>
        <v>Março</v>
      </c>
    </row>
    <row r="146" spans="1:19">
      <c r="A146">
        <v>145</v>
      </c>
      <c r="B146" s="1">
        <v>43912</v>
      </c>
      <c r="C146">
        <v>34</v>
      </c>
      <c r="D146" t="s">
        <v>58</v>
      </c>
      <c r="E146" t="s">
        <v>50</v>
      </c>
      <c r="F146">
        <v>42</v>
      </c>
      <c r="G146" s="2">
        <v>91</v>
      </c>
      <c r="H146" s="2">
        <v>3822</v>
      </c>
      <c r="I146" s="4">
        <v>0.14000000000000001</v>
      </c>
      <c r="J146" s="2">
        <v>3286.92</v>
      </c>
      <c r="K146" s="1">
        <v>43921</v>
      </c>
      <c r="L146" s="1">
        <v>43921</v>
      </c>
      <c r="M146">
        <v>145</v>
      </c>
      <c r="N146">
        <v>1</v>
      </c>
      <c r="O146" t="s">
        <v>47</v>
      </c>
      <c r="P146" s="3">
        <v>0.06</v>
      </c>
      <c r="Q146" s="2">
        <v>197.21520000000001</v>
      </c>
      <c r="R146">
        <v>5</v>
      </c>
      <c r="S146" t="str">
        <f t="shared" si="2"/>
        <v>Março</v>
      </c>
    </row>
    <row r="147" spans="1:19">
      <c r="A147">
        <v>146</v>
      </c>
      <c r="B147" s="1">
        <v>43912</v>
      </c>
      <c r="C147">
        <v>88</v>
      </c>
      <c r="D147" t="s">
        <v>38</v>
      </c>
      <c r="E147" t="s">
        <v>31</v>
      </c>
      <c r="F147">
        <v>49</v>
      </c>
      <c r="G147" s="2">
        <v>113</v>
      </c>
      <c r="H147" s="2">
        <v>5537</v>
      </c>
      <c r="I147" s="4">
        <v>0.02</v>
      </c>
      <c r="J147" s="2">
        <v>5426.26</v>
      </c>
      <c r="K147" s="1">
        <v>43931</v>
      </c>
      <c r="L147" s="1">
        <v>43931</v>
      </c>
      <c r="M147">
        <v>146</v>
      </c>
      <c r="N147">
        <v>7</v>
      </c>
      <c r="O147" t="s">
        <v>52</v>
      </c>
      <c r="P147" s="3">
        <v>0.08</v>
      </c>
      <c r="Q147" s="2">
        <v>434.10080000000005</v>
      </c>
      <c r="R147">
        <v>6</v>
      </c>
      <c r="S147" t="str">
        <f t="shared" si="2"/>
        <v>Março</v>
      </c>
    </row>
    <row r="148" spans="1:19">
      <c r="A148">
        <v>147</v>
      </c>
      <c r="B148" s="1">
        <v>43912</v>
      </c>
      <c r="C148">
        <v>59</v>
      </c>
      <c r="D148" t="s">
        <v>97</v>
      </c>
      <c r="E148" t="s">
        <v>50</v>
      </c>
      <c r="F148">
        <v>50</v>
      </c>
      <c r="G148" s="2">
        <v>103</v>
      </c>
      <c r="H148" s="2">
        <v>5150</v>
      </c>
      <c r="I148" s="4">
        <v>0.02</v>
      </c>
      <c r="J148" s="2">
        <v>5047</v>
      </c>
      <c r="K148" s="1">
        <v>43914</v>
      </c>
      <c r="L148" s="1">
        <v>43914</v>
      </c>
      <c r="M148">
        <v>147</v>
      </c>
      <c r="N148">
        <v>3</v>
      </c>
      <c r="O148" t="s">
        <v>37</v>
      </c>
      <c r="P148" s="3">
        <v>0.06</v>
      </c>
      <c r="Q148" s="2">
        <v>302.82</v>
      </c>
      <c r="R148">
        <v>7</v>
      </c>
      <c r="S148" t="str">
        <f t="shared" si="2"/>
        <v>Março</v>
      </c>
    </row>
    <row r="149" spans="1:19">
      <c r="A149">
        <v>148</v>
      </c>
      <c r="B149" s="1">
        <v>43912</v>
      </c>
      <c r="C149">
        <v>91</v>
      </c>
      <c r="D149" t="s">
        <v>62</v>
      </c>
      <c r="E149" t="s">
        <v>28</v>
      </c>
      <c r="F149">
        <v>34</v>
      </c>
      <c r="G149" s="2">
        <v>117</v>
      </c>
      <c r="H149" s="2">
        <v>3978</v>
      </c>
      <c r="I149" s="4">
        <v>0.14000000000000001</v>
      </c>
      <c r="J149" s="2">
        <v>3421.08</v>
      </c>
      <c r="K149" s="1">
        <v>43913</v>
      </c>
      <c r="L149" s="1">
        <v>43913</v>
      </c>
      <c r="M149">
        <v>148</v>
      </c>
      <c r="N149">
        <v>6</v>
      </c>
      <c r="O149" t="s">
        <v>69</v>
      </c>
      <c r="P149" s="3">
        <v>0.06</v>
      </c>
      <c r="Q149" s="2">
        <v>205.26479999999998</v>
      </c>
      <c r="R149">
        <v>1</v>
      </c>
      <c r="S149" t="str">
        <f t="shared" si="2"/>
        <v>Março</v>
      </c>
    </row>
    <row r="150" spans="1:19">
      <c r="A150">
        <v>149</v>
      </c>
      <c r="B150" s="1">
        <v>43912</v>
      </c>
      <c r="C150">
        <v>54</v>
      </c>
      <c r="D150" t="s">
        <v>79</v>
      </c>
      <c r="E150" t="s">
        <v>28</v>
      </c>
      <c r="F150">
        <v>35</v>
      </c>
      <c r="G150" s="2">
        <v>93</v>
      </c>
      <c r="H150" s="2">
        <v>3255</v>
      </c>
      <c r="I150" s="4">
        <v>0.02</v>
      </c>
      <c r="J150" s="2">
        <v>3189.9</v>
      </c>
      <c r="K150" s="1">
        <v>43934</v>
      </c>
      <c r="L150" s="1">
        <v>43934</v>
      </c>
      <c r="M150">
        <v>149</v>
      </c>
      <c r="N150">
        <v>6</v>
      </c>
      <c r="O150" t="s">
        <v>22</v>
      </c>
      <c r="P150" s="3">
        <v>0.05</v>
      </c>
      <c r="Q150" s="2">
        <v>159.495</v>
      </c>
      <c r="R150">
        <v>2</v>
      </c>
      <c r="S150" t="str">
        <f t="shared" si="2"/>
        <v>Março</v>
      </c>
    </row>
    <row r="151" spans="1:19">
      <c r="A151">
        <v>150</v>
      </c>
      <c r="B151" s="1">
        <v>43913</v>
      </c>
      <c r="C151">
        <v>71</v>
      </c>
      <c r="D151" t="s">
        <v>20</v>
      </c>
      <c r="E151" t="s">
        <v>28</v>
      </c>
      <c r="F151">
        <v>40</v>
      </c>
      <c r="G151" s="2">
        <v>113</v>
      </c>
      <c r="H151" s="2">
        <v>4520</v>
      </c>
      <c r="I151" s="4">
        <v>0</v>
      </c>
      <c r="J151" s="2">
        <v>4520</v>
      </c>
      <c r="K151" s="1">
        <v>43942</v>
      </c>
      <c r="L151" s="1">
        <v>43942</v>
      </c>
      <c r="M151">
        <v>150</v>
      </c>
      <c r="N151">
        <v>6</v>
      </c>
      <c r="O151" t="s">
        <v>69</v>
      </c>
      <c r="P151" s="3">
        <v>0.08</v>
      </c>
      <c r="Q151" s="2">
        <v>361.6</v>
      </c>
      <c r="R151">
        <v>3</v>
      </c>
      <c r="S151" t="str">
        <f t="shared" si="2"/>
        <v>Março</v>
      </c>
    </row>
    <row r="152" spans="1:19">
      <c r="A152">
        <v>151</v>
      </c>
      <c r="B152" s="1">
        <v>43915</v>
      </c>
      <c r="C152">
        <v>29</v>
      </c>
      <c r="D152" t="s">
        <v>98</v>
      </c>
      <c r="E152" t="s">
        <v>54</v>
      </c>
      <c r="F152">
        <v>14</v>
      </c>
      <c r="G152" s="2">
        <v>119</v>
      </c>
      <c r="H152" s="2">
        <v>1666</v>
      </c>
      <c r="I152" s="4">
        <v>7.0000000000000007E-2</v>
      </c>
      <c r="J152" s="2">
        <v>1549.38</v>
      </c>
      <c r="K152" s="1">
        <v>43933</v>
      </c>
      <c r="L152" s="1">
        <v>43933</v>
      </c>
      <c r="M152">
        <v>151</v>
      </c>
      <c r="N152">
        <v>3</v>
      </c>
      <c r="O152" t="s">
        <v>29</v>
      </c>
      <c r="P152" s="3">
        <v>0.05</v>
      </c>
      <c r="Q152" s="2">
        <v>77.469000000000008</v>
      </c>
      <c r="R152">
        <v>4</v>
      </c>
      <c r="S152" t="str">
        <f t="shared" si="2"/>
        <v>Março</v>
      </c>
    </row>
    <row r="153" spans="1:19">
      <c r="A153">
        <v>152</v>
      </c>
      <c r="B153" s="1">
        <v>43915</v>
      </c>
      <c r="C153">
        <v>91</v>
      </c>
      <c r="D153" t="s">
        <v>62</v>
      </c>
      <c r="E153" t="s">
        <v>59</v>
      </c>
      <c r="F153">
        <v>11</v>
      </c>
      <c r="G153" s="2">
        <v>109</v>
      </c>
      <c r="H153" s="2">
        <v>1199</v>
      </c>
      <c r="I153" s="4">
        <v>0.06</v>
      </c>
      <c r="J153" s="2">
        <v>1127.06</v>
      </c>
      <c r="K153" s="1">
        <v>43922</v>
      </c>
      <c r="L153" s="1">
        <v>43922</v>
      </c>
      <c r="M153">
        <v>152</v>
      </c>
      <c r="N153">
        <v>1</v>
      </c>
      <c r="O153" t="s">
        <v>47</v>
      </c>
      <c r="P153" s="3">
        <v>0.08</v>
      </c>
      <c r="Q153" s="2">
        <v>90.1648</v>
      </c>
      <c r="R153">
        <v>5</v>
      </c>
      <c r="S153" t="str">
        <f t="shared" si="2"/>
        <v>Março</v>
      </c>
    </row>
    <row r="154" spans="1:19">
      <c r="A154">
        <v>153</v>
      </c>
      <c r="B154" s="1">
        <v>43915</v>
      </c>
      <c r="C154">
        <v>36</v>
      </c>
      <c r="D154" t="s">
        <v>70</v>
      </c>
      <c r="E154" t="s">
        <v>46</v>
      </c>
      <c r="F154">
        <v>34</v>
      </c>
      <c r="G154" s="2">
        <v>112</v>
      </c>
      <c r="H154" s="2">
        <v>3808</v>
      </c>
      <c r="I154" s="4">
        <v>0.12</v>
      </c>
      <c r="J154" s="2">
        <v>3351.04</v>
      </c>
      <c r="K154" s="1">
        <v>43929</v>
      </c>
      <c r="L154" s="1">
        <v>43929</v>
      </c>
      <c r="M154">
        <v>153</v>
      </c>
      <c r="N154">
        <v>1</v>
      </c>
      <c r="O154" t="s">
        <v>34</v>
      </c>
      <c r="P154" s="3">
        <v>0.05</v>
      </c>
      <c r="Q154" s="2">
        <v>167.55200000000002</v>
      </c>
      <c r="R154">
        <v>6</v>
      </c>
      <c r="S154" t="str">
        <f t="shared" si="2"/>
        <v>Março</v>
      </c>
    </row>
    <row r="155" spans="1:19">
      <c r="A155">
        <v>154</v>
      </c>
      <c r="B155" s="1">
        <v>43915</v>
      </c>
      <c r="C155">
        <v>71</v>
      </c>
      <c r="D155" t="s">
        <v>20</v>
      </c>
      <c r="E155" t="s">
        <v>50</v>
      </c>
      <c r="F155">
        <v>23</v>
      </c>
      <c r="G155" s="2">
        <v>117</v>
      </c>
      <c r="H155" s="2">
        <v>2691</v>
      </c>
      <c r="I155" s="4">
        <v>0.03</v>
      </c>
      <c r="J155" s="2">
        <v>2610.27</v>
      </c>
      <c r="K155" s="1">
        <v>43945</v>
      </c>
      <c r="L155" s="1">
        <v>43945</v>
      </c>
      <c r="M155">
        <v>154</v>
      </c>
      <c r="N155">
        <v>4</v>
      </c>
      <c r="O155" t="s">
        <v>29</v>
      </c>
      <c r="P155" s="3">
        <v>0.08</v>
      </c>
      <c r="Q155" s="2">
        <v>208.82159999999999</v>
      </c>
      <c r="R155">
        <v>7</v>
      </c>
      <c r="S155" t="str">
        <f t="shared" si="2"/>
        <v>Março</v>
      </c>
    </row>
    <row r="156" spans="1:19">
      <c r="A156">
        <v>155</v>
      </c>
      <c r="B156" s="1">
        <v>43915</v>
      </c>
      <c r="C156">
        <v>4</v>
      </c>
      <c r="D156" t="s">
        <v>86</v>
      </c>
      <c r="E156" t="s">
        <v>41</v>
      </c>
      <c r="F156">
        <v>31</v>
      </c>
      <c r="G156" s="2">
        <v>94</v>
      </c>
      <c r="H156" s="2">
        <v>2914</v>
      </c>
      <c r="I156" s="4">
        <v>0.11</v>
      </c>
      <c r="J156" s="2">
        <v>2593.46</v>
      </c>
      <c r="K156" s="1">
        <v>43926</v>
      </c>
      <c r="L156" s="1">
        <v>43926</v>
      </c>
      <c r="M156">
        <v>155</v>
      </c>
      <c r="N156">
        <v>3</v>
      </c>
      <c r="O156" t="s">
        <v>22</v>
      </c>
      <c r="P156" s="3">
        <v>0.1</v>
      </c>
      <c r="Q156" s="2">
        <v>259.346</v>
      </c>
      <c r="R156">
        <v>1</v>
      </c>
      <c r="S156" t="str">
        <f t="shared" si="2"/>
        <v>Março</v>
      </c>
    </row>
    <row r="157" spans="1:19">
      <c r="A157">
        <v>156</v>
      </c>
      <c r="B157" s="1">
        <v>43915</v>
      </c>
      <c r="C157">
        <v>75</v>
      </c>
      <c r="D157" t="s">
        <v>38</v>
      </c>
      <c r="E157" t="s">
        <v>59</v>
      </c>
      <c r="F157">
        <v>42</v>
      </c>
      <c r="G157" s="2">
        <v>98</v>
      </c>
      <c r="H157" s="2">
        <v>4116</v>
      </c>
      <c r="I157" s="4">
        <v>0.15</v>
      </c>
      <c r="J157" s="2">
        <v>3498.6</v>
      </c>
      <c r="K157" s="1">
        <v>43917</v>
      </c>
      <c r="L157" s="1">
        <v>43917</v>
      </c>
      <c r="M157">
        <v>156</v>
      </c>
      <c r="N157">
        <v>6</v>
      </c>
      <c r="O157" t="s">
        <v>34</v>
      </c>
      <c r="P157" s="3">
        <v>0.08</v>
      </c>
      <c r="Q157" s="2">
        <v>279.88799999999998</v>
      </c>
      <c r="R157">
        <v>2</v>
      </c>
      <c r="S157" t="str">
        <f t="shared" si="2"/>
        <v>Março</v>
      </c>
    </row>
    <row r="158" spans="1:19">
      <c r="A158">
        <v>157</v>
      </c>
      <c r="B158" s="1">
        <v>43917</v>
      </c>
      <c r="C158">
        <v>12</v>
      </c>
      <c r="D158" t="s">
        <v>45</v>
      </c>
      <c r="E158" t="s">
        <v>46</v>
      </c>
      <c r="F158">
        <v>48</v>
      </c>
      <c r="G158" s="2">
        <v>109</v>
      </c>
      <c r="H158" s="2">
        <v>5232</v>
      </c>
      <c r="I158" s="4">
        <v>0.04</v>
      </c>
      <c r="J158" s="2">
        <v>5022.72</v>
      </c>
      <c r="K158" s="1">
        <v>43945</v>
      </c>
      <c r="L158" s="1">
        <v>43945</v>
      </c>
      <c r="M158">
        <v>157</v>
      </c>
      <c r="N158">
        <v>1</v>
      </c>
      <c r="O158" t="s">
        <v>22</v>
      </c>
      <c r="P158" s="3">
        <v>0.08</v>
      </c>
      <c r="Q158" s="2">
        <v>401.81760000000003</v>
      </c>
      <c r="R158">
        <v>3</v>
      </c>
      <c r="S158" t="str">
        <f t="shared" si="2"/>
        <v>Março</v>
      </c>
    </row>
    <row r="159" spans="1:19">
      <c r="A159">
        <v>158</v>
      </c>
      <c r="B159" s="1">
        <v>43918</v>
      </c>
      <c r="C159">
        <v>97</v>
      </c>
      <c r="D159" t="s">
        <v>66</v>
      </c>
      <c r="E159" t="s">
        <v>28</v>
      </c>
      <c r="F159">
        <v>16</v>
      </c>
      <c r="G159" s="2">
        <v>97</v>
      </c>
      <c r="H159" s="2">
        <v>1552</v>
      </c>
      <c r="I159" s="4">
        <v>0.09</v>
      </c>
      <c r="J159" s="2">
        <v>1412.32</v>
      </c>
      <c r="K159" s="1">
        <v>43942</v>
      </c>
      <c r="L159" s="1">
        <v>43942</v>
      </c>
      <c r="M159">
        <v>158</v>
      </c>
      <c r="N159">
        <v>6</v>
      </c>
      <c r="O159" t="s">
        <v>22</v>
      </c>
      <c r="P159" s="3">
        <v>0.06</v>
      </c>
      <c r="Q159" s="2">
        <v>84.739199999999997</v>
      </c>
      <c r="R159">
        <v>4</v>
      </c>
      <c r="S159" t="str">
        <f t="shared" si="2"/>
        <v>Março</v>
      </c>
    </row>
    <row r="160" spans="1:19">
      <c r="A160">
        <v>159</v>
      </c>
      <c r="B160" s="1">
        <v>43918</v>
      </c>
      <c r="C160">
        <v>38</v>
      </c>
      <c r="D160" t="s">
        <v>73</v>
      </c>
      <c r="E160" t="s">
        <v>50</v>
      </c>
      <c r="F160">
        <v>50</v>
      </c>
      <c r="G160" s="2">
        <v>111</v>
      </c>
      <c r="H160" s="2">
        <v>5550</v>
      </c>
      <c r="I160" s="4">
        <v>0.1</v>
      </c>
      <c r="J160" s="2">
        <v>4995</v>
      </c>
      <c r="K160" s="1">
        <v>43946</v>
      </c>
      <c r="L160" s="1">
        <v>43946</v>
      </c>
      <c r="M160">
        <v>159</v>
      </c>
      <c r="N160">
        <v>1</v>
      </c>
      <c r="O160" t="s">
        <v>25</v>
      </c>
      <c r="P160" s="3">
        <v>0.05</v>
      </c>
      <c r="Q160" s="2">
        <v>249.75</v>
      </c>
      <c r="R160">
        <v>5</v>
      </c>
      <c r="S160" t="str">
        <f t="shared" si="2"/>
        <v>Março</v>
      </c>
    </row>
    <row r="161" spans="1:19">
      <c r="A161">
        <v>160</v>
      </c>
      <c r="B161" s="1">
        <v>43918</v>
      </c>
      <c r="C161">
        <v>16</v>
      </c>
      <c r="D161" t="s">
        <v>27</v>
      </c>
      <c r="E161" t="s">
        <v>50</v>
      </c>
      <c r="F161">
        <v>45</v>
      </c>
      <c r="G161" s="2">
        <v>90</v>
      </c>
      <c r="H161" s="2">
        <v>4050</v>
      </c>
      <c r="I161" s="4">
        <v>0.04</v>
      </c>
      <c r="J161" s="2">
        <v>3888</v>
      </c>
      <c r="K161" s="1">
        <v>43927</v>
      </c>
      <c r="L161" s="1">
        <v>43927</v>
      </c>
      <c r="M161">
        <v>160</v>
      </c>
      <c r="N161">
        <v>6</v>
      </c>
      <c r="O161" t="s">
        <v>32</v>
      </c>
      <c r="P161" s="3">
        <v>7.0000000000000007E-2</v>
      </c>
      <c r="Q161" s="2">
        <v>272.16000000000003</v>
      </c>
      <c r="R161">
        <v>6</v>
      </c>
      <c r="S161" t="str">
        <f t="shared" si="2"/>
        <v>Março</v>
      </c>
    </row>
    <row r="162" spans="1:19">
      <c r="A162">
        <v>161</v>
      </c>
      <c r="B162" s="1">
        <v>43918</v>
      </c>
      <c r="C162">
        <v>90</v>
      </c>
      <c r="D162" t="s">
        <v>60</v>
      </c>
      <c r="E162" t="s">
        <v>50</v>
      </c>
      <c r="F162">
        <v>28</v>
      </c>
      <c r="G162" s="2">
        <v>91</v>
      </c>
      <c r="H162" s="2">
        <v>2548</v>
      </c>
      <c r="I162" s="4">
        <v>0.13</v>
      </c>
      <c r="J162" s="2">
        <v>2216.7600000000002</v>
      </c>
      <c r="K162" s="1">
        <v>43924</v>
      </c>
      <c r="L162" s="1">
        <v>43924</v>
      </c>
      <c r="M162">
        <v>161</v>
      </c>
      <c r="N162">
        <v>7</v>
      </c>
      <c r="O162" t="s">
        <v>25</v>
      </c>
      <c r="P162" s="3">
        <v>7.0000000000000007E-2</v>
      </c>
      <c r="Q162" s="2">
        <v>155.17320000000004</v>
      </c>
      <c r="R162">
        <v>7</v>
      </c>
      <c r="S162" t="str">
        <f t="shared" si="2"/>
        <v>Março</v>
      </c>
    </row>
    <row r="163" spans="1:19">
      <c r="A163">
        <v>162</v>
      </c>
      <c r="B163" s="1">
        <v>43919</v>
      </c>
      <c r="C163">
        <v>73</v>
      </c>
      <c r="D163" t="s">
        <v>38</v>
      </c>
      <c r="E163" t="s">
        <v>24</v>
      </c>
      <c r="F163">
        <v>25</v>
      </c>
      <c r="G163" s="2">
        <v>115</v>
      </c>
      <c r="H163" s="2">
        <v>2875</v>
      </c>
      <c r="I163" s="4">
        <v>0.13</v>
      </c>
      <c r="J163" s="2">
        <v>2501.25</v>
      </c>
      <c r="K163" s="1">
        <v>43940</v>
      </c>
      <c r="L163" s="1">
        <v>43940</v>
      </c>
      <c r="M163">
        <v>162</v>
      </c>
      <c r="N163">
        <v>4</v>
      </c>
      <c r="O163" t="s">
        <v>32</v>
      </c>
      <c r="P163" s="3">
        <v>0.09</v>
      </c>
      <c r="Q163" s="2">
        <v>225.11249999999998</v>
      </c>
      <c r="R163">
        <v>1</v>
      </c>
      <c r="S163" t="str">
        <f t="shared" si="2"/>
        <v>Março</v>
      </c>
    </row>
    <row r="164" spans="1:19">
      <c r="A164">
        <v>163</v>
      </c>
      <c r="B164" s="1">
        <v>43920</v>
      </c>
      <c r="C164">
        <v>34</v>
      </c>
      <c r="D164" t="s">
        <v>58</v>
      </c>
      <c r="E164" t="s">
        <v>31</v>
      </c>
      <c r="F164">
        <v>39</v>
      </c>
      <c r="G164" s="2">
        <v>106</v>
      </c>
      <c r="H164" s="2">
        <v>4134</v>
      </c>
      <c r="I164" s="4">
        <v>0.05</v>
      </c>
      <c r="J164" s="2">
        <v>3927.3</v>
      </c>
      <c r="K164" s="1">
        <v>43944</v>
      </c>
      <c r="L164" s="1">
        <v>43944</v>
      </c>
      <c r="M164">
        <v>163</v>
      </c>
      <c r="N164">
        <v>3</v>
      </c>
      <c r="O164" t="s">
        <v>52</v>
      </c>
      <c r="P164" s="3">
        <v>0.1</v>
      </c>
      <c r="Q164" s="2">
        <v>392.73</v>
      </c>
      <c r="R164">
        <v>2</v>
      </c>
      <c r="S164" t="str">
        <f t="shared" si="2"/>
        <v>Março</v>
      </c>
    </row>
    <row r="165" spans="1:19">
      <c r="A165">
        <v>164</v>
      </c>
      <c r="B165" s="1">
        <v>43920</v>
      </c>
      <c r="C165">
        <v>79</v>
      </c>
      <c r="D165" t="s">
        <v>33</v>
      </c>
      <c r="E165" t="s">
        <v>59</v>
      </c>
      <c r="F165">
        <v>15</v>
      </c>
      <c r="G165" s="2">
        <v>100</v>
      </c>
      <c r="H165" s="2">
        <v>1500</v>
      </c>
      <c r="I165" s="4">
        <v>7.0000000000000007E-2</v>
      </c>
      <c r="J165" s="2">
        <v>1395</v>
      </c>
      <c r="K165" s="1">
        <v>43946</v>
      </c>
      <c r="L165" s="1">
        <v>43946</v>
      </c>
      <c r="M165">
        <v>164</v>
      </c>
      <c r="N165">
        <v>4</v>
      </c>
      <c r="O165" t="s">
        <v>47</v>
      </c>
      <c r="P165" s="3">
        <v>0.09</v>
      </c>
      <c r="Q165" s="2">
        <v>125.55</v>
      </c>
      <c r="R165">
        <v>3</v>
      </c>
      <c r="S165" t="str">
        <f t="shared" si="2"/>
        <v>Março</v>
      </c>
    </row>
    <row r="166" spans="1:19">
      <c r="A166">
        <v>165</v>
      </c>
      <c r="B166" s="1">
        <v>43921</v>
      </c>
      <c r="C166">
        <v>78</v>
      </c>
      <c r="D166" t="s">
        <v>36</v>
      </c>
      <c r="E166" t="s">
        <v>28</v>
      </c>
      <c r="F166">
        <v>21</v>
      </c>
      <c r="G166" s="2">
        <v>119</v>
      </c>
      <c r="H166" s="2">
        <v>2499</v>
      </c>
      <c r="I166" s="4">
        <v>0.02</v>
      </c>
      <c r="J166" s="2">
        <v>2449.02</v>
      </c>
      <c r="K166" s="1">
        <v>43942</v>
      </c>
      <c r="L166" s="1">
        <v>43942</v>
      </c>
      <c r="M166">
        <v>165</v>
      </c>
      <c r="N166">
        <v>4</v>
      </c>
      <c r="O166" t="s">
        <v>69</v>
      </c>
      <c r="P166" s="3">
        <v>0.06</v>
      </c>
      <c r="Q166" s="2">
        <v>146.94119999999998</v>
      </c>
      <c r="R166">
        <v>4</v>
      </c>
      <c r="S166" t="str">
        <f t="shared" si="2"/>
        <v>Março</v>
      </c>
    </row>
    <row r="167" spans="1:19">
      <c r="A167">
        <v>166</v>
      </c>
      <c r="B167" s="1">
        <v>43921</v>
      </c>
      <c r="C167">
        <v>19</v>
      </c>
      <c r="D167" t="s">
        <v>38</v>
      </c>
      <c r="E167" t="s">
        <v>31</v>
      </c>
      <c r="F167">
        <v>14</v>
      </c>
      <c r="G167" s="2">
        <v>116</v>
      </c>
      <c r="H167" s="2">
        <v>1624</v>
      </c>
      <c r="I167" s="4">
        <v>7.0000000000000007E-2</v>
      </c>
      <c r="J167" s="2">
        <v>1510.32</v>
      </c>
      <c r="K167" s="1">
        <v>43929</v>
      </c>
      <c r="L167" s="1">
        <v>43929</v>
      </c>
      <c r="M167">
        <v>166</v>
      </c>
      <c r="N167">
        <v>3</v>
      </c>
      <c r="O167" t="s">
        <v>47</v>
      </c>
      <c r="P167" s="3">
        <v>7.0000000000000007E-2</v>
      </c>
      <c r="Q167" s="2">
        <v>105.72240000000001</v>
      </c>
      <c r="R167">
        <v>5</v>
      </c>
      <c r="S167" t="str">
        <f t="shared" si="2"/>
        <v>Março</v>
      </c>
    </row>
    <row r="168" spans="1:19">
      <c r="A168">
        <v>167</v>
      </c>
      <c r="B168" s="1">
        <v>43921</v>
      </c>
      <c r="C168">
        <v>72</v>
      </c>
      <c r="D168" t="s">
        <v>38</v>
      </c>
      <c r="E168" t="s">
        <v>41</v>
      </c>
      <c r="F168">
        <v>24</v>
      </c>
      <c r="G168" s="2">
        <v>98</v>
      </c>
      <c r="H168" s="2">
        <v>2352</v>
      </c>
      <c r="I168" s="4">
        <v>0.1</v>
      </c>
      <c r="J168" s="2">
        <v>2116.8000000000002</v>
      </c>
      <c r="K168" s="1">
        <v>43931</v>
      </c>
      <c r="L168" s="1">
        <v>43931</v>
      </c>
      <c r="M168">
        <v>167</v>
      </c>
      <c r="N168">
        <v>6</v>
      </c>
      <c r="O168" t="s">
        <v>32</v>
      </c>
      <c r="P168" s="3">
        <v>0.09</v>
      </c>
      <c r="Q168" s="2">
        <v>190.512</v>
      </c>
      <c r="R168">
        <v>6</v>
      </c>
      <c r="S168" t="str">
        <f t="shared" si="2"/>
        <v>Março</v>
      </c>
    </row>
    <row r="169" spans="1:19">
      <c r="A169">
        <v>168</v>
      </c>
      <c r="B169" s="1">
        <v>43921</v>
      </c>
      <c r="C169">
        <v>63</v>
      </c>
      <c r="D169" t="s">
        <v>80</v>
      </c>
      <c r="E169" t="s">
        <v>31</v>
      </c>
      <c r="F169">
        <v>27</v>
      </c>
      <c r="G169" s="2">
        <v>116</v>
      </c>
      <c r="H169" s="2">
        <v>3132</v>
      </c>
      <c r="I169" s="4">
        <v>0</v>
      </c>
      <c r="J169" s="2">
        <v>3132</v>
      </c>
      <c r="K169" s="1">
        <v>43937</v>
      </c>
      <c r="L169" s="1">
        <v>43937</v>
      </c>
      <c r="M169">
        <v>168</v>
      </c>
      <c r="N169">
        <v>6</v>
      </c>
      <c r="O169" t="s">
        <v>22</v>
      </c>
      <c r="P169" s="3">
        <v>0.05</v>
      </c>
      <c r="Q169" s="2">
        <v>156.60000000000002</v>
      </c>
      <c r="R169">
        <v>7</v>
      </c>
      <c r="S169" t="str">
        <f t="shared" si="2"/>
        <v>Março</v>
      </c>
    </row>
    <row r="170" spans="1:19">
      <c r="A170">
        <v>169</v>
      </c>
      <c r="B170" s="1">
        <v>43922</v>
      </c>
      <c r="C170">
        <v>90</v>
      </c>
      <c r="D170" t="s">
        <v>60</v>
      </c>
      <c r="E170" t="s">
        <v>28</v>
      </c>
      <c r="F170">
        <v>31</v>
      </c>
      <c r="G170" s="2">
        <v>103</v>
      </c>
      <c r="H170" s="2">
        <v>3193</v>
      </c>
      <c r="I170" s="4">
        <v>0.11</v>
      </c>
      <c r="J170" s="2">
        <v>2841.77</v>
      </c>
      <c r="K170" s="1">
        <v>43922</v>
      </c>
      <c r="L170" s="1">
        <v>43922</v>
      </c>
      <c r="M170">
        <v>169</v>
      </c>
      <c r="N170">
        <v>5</v>
      </c>
      <c r="O170" t="s">
        <v>29</v>
      </c>
      <c r="P170" s="3">
        <v>0.1</v>
      </c>
      <c r="Q170" s="2">
        <v>284.17700000000002</v>
      </c>
      <c r="R170">
        <v>1</v>
      </c>
      <c r="S170" t="str">
        <f t="shared" si="2"/>
        <v>Abril</v>
      </c>
    </row>
    <row r="171" spans="1:19">
      <c r="A171">
        <v>170</v>
      </c>
      <c r="B171" s="1">
        <v>43922</v>
      </c>
      <c r="C171">
        <v>26</v>
      </c>
      <c r="D171" t="s">
        <v>95</v>
      </c>
      <c r="E171" t="s">
        <v>50</v>
      </c>
      <c r="F171">
        <v>44</v>
      </c>
      <c r="G171" s="2">
        <v>114</v>
      </c>
      <c r="H171" s="2">
        <v>5016</v>
      </c>
      <c r="I171" s="4">
        <v>0.01</v>
      </c>
      <c r="J171" s="2">
        <v>4965.84</v>
      </c>
      <c r="K171" s="1">
        <v>43944</v>
      </c>
      <c r="L171" s="1">
        <v>43944</v>
      </c>
      <c r="M171">
        <v>170</v>
      </c>
      <c r="N171">
        <v>4</v>
      </c>
      <c r="O171" t="s">
        <v>37</v>
      </c>
      <c r="P171" s="3">
        <v>0.05</v>
      </c>
      <c r="Q171" s="2">
        <v>248.29200000000003</v>
      </c>
      <c r="R171">
        <v>2</v>
      </c>
      <c r="S171" t="str">
        <f t="shared" si="2"/>
        <v>Abril</v>
      </c>
    </row>
    <row r="172" spans="1:19">
      <c r="A172">
        <v>171</v>
      </c>
      <c r="B172" s="1">
        <v>43922</v>
      </c>
      <c r="C172">
        <v>86</v>
      </c>
      <c r="D172" t="s">
        <v>90</v>
      </c>
      <c r="E172" t="s">
        <v>55</v>
      </c>
      <c r="F172">
        <v>10</v>
      </c>
      <c r="G172" s="2">
        <v>93</v>
      </c>
      <c r="H172" s="2">
        <v>930</v>
      </c>
      <c r="I172" s="4">
        <v>0.1</v>
      </c>
      <c r="J172" s="2">
        <v>837</v>
      </c>
      <c r="K172" s="1">
        <v>43927</v>
      </c>
      <c r="L172" s="1">
        <v>43927</v>
      </c>
      <c r="M172">
        <v>171</v>
      </c>
      <c r="N172">
        <v>7</v>
      </c>
      <c r="O172" t="s">
        <v>29</v>
      </c>
      <c r="P172" s="3">
        <v>7.0000000000000007E-2</v>
      </c>
      <c r="Q172" s="2">
        <v>58.59</v>
      </c>
      <c r="R172">
        <v>3</v>
      </c>
      <c r="S172" t="str">
        <f t="shared" si="2"/>
        <v>Abril</v>
      </c>
    </row>
    <row r="173" spans="1:19">
      <c r="A173">
        <v>172</v>
      </c>
      <c r="B173" s="1">
        <v>43922</v>
      </c>
      <c r="C173">
        <v>4</v>
      </c>
      <c r="D173" t="s">
        <v>86</v>
      </c>
      <c r="E173" t="s">
        <v>55</v>
      </c>
      <c r="F173">
        <v>22</v>
      </c>
      <c r="G173" s="2">
        <v>116</v>
      </c>
      <c r="H173" s="2">
        <v>2552</v>
      </c>
      <c r="I173" s="4">
        <v>0.03</v>
      </c>
      <c r="J173" s="2">
        <v>2475.44</v>
      </c>
      <c r="K173" s="1">
        <v>43938</v>
      </c>
      <c r="L173" s="1">
        <v>43938</v>
      </c>
      <c r="M173">
        <v>172</v>
      </c>
      <c r="N173">
        <v>3</v>
      </c>
      <c r="O173" t="s">
        <v>32</v>
      </c>
      <c r="P173" s="3">
        <v>0.06</v>
      </c>
      <c r="Q173" s="2">
        <v>148.5264</v>
      </c>
      <c r="R173">
        <v>4</v>
      </c>
      <c r="S173" t="str">
        <f t="shared" si="2"/>
        <v>Abril</v>
      </c>
    </row>
    <row r="174" spans="1:19">
      <c r="A174">
        <v>173</v>
      </c>
      <c r="B174" s="1">
        <v>43922</v>
      </c>
      <c r="C174">
        <v>88</v>
      </c>
      <c r="D174" t="s">
        <v>38</v>
      </c>
      <c r="E174" t="s">
        <v>28</v>
      </c>
      <c r="F174">
        <v>49</v>
      </c>
      <c r="G174" s="2">
        <v>109</v>
      </c>
      <c r="H174" s="2">
        <v>5341</v>
      </c>
      <c r="I174" s="4">
        <v>0.01</v>
      </c>
      <c r="J174" s="2">
        <v>5287.59</v>
      </c>
      <c r="K174" s="1">
        <v>43922</v>
      </c>
      <c r="L174" s="1">
        <v>43922</v>
      </c>
      <c r="M174">
        <v>173</v>
      </c>
      <c r="N174">
        <v>3</v>
      </c>
      <c r="O174" t="s">
        <v>25</v>
      </c>
      <c r="P174" s="3">
        <v>0.09</v>
      </c>
      <c r="Q174" s="2">
        <v>475.88310000000001</v>
      </c>
      <c r="R174">
        <v>5</v>
      </c>
      <c r="S174" t="str">
        <f t="shared" si="2"/>
        <v>Abril</v>
      </c>
    </row>
    <row r="175" spans="1:19">
      <c r="A175">
        <v>174</v>
      </c>
      <c r="B175" s="1">
        <v>43923</v>
      </c>
      <c r="C175">
        <v>64</v>
      </c>
      <c r="D175" t="s">
        <v>78</v>
      </c>
      <c r="E175" t="s">
        <v>54</v>
      </c>
      <c r="F175">
        <v>47</v>
      </c>
      <c r="G175" s="2">
        <v>107</v>
      </c>
      <c r="H175" s="2">
        <v>5029</v>
      </c>
      <c r="I175" s="4">
        <v>0.09</v>
      </c>
      <c r="J175" s="2">
        <v>4576.3900000000003</v>
      </c>
      <c r="K175" s="1">
        <v>43951</v>
      </c>
      <c r="L175" s="1">
        <v>43951</v>
      </c>
      <c r="M175">
        <v>174</v>
      </c>
      <c r="N175">
        <v>6</v>
      </c>
      <c r="O175" t="s">
        <v>47</v>
      </c>
      <c r="P175" s="3">
        <v>0.06</v>
      </c>
      <c r="Q175" s="2">
        <v>274.58339999999998</v>
      </c>
      <c r="R175">
        <v>6</v>
      </c>
      <c r="S175" t="str">
        <f t="shared" si="2"/>
        <v>Abril</v>
      </c>
    </row>
    <row r="176" spans="1:19">
      <c r="A176">
        <v>175</v>
      </c>
      <c r="B176" s="1">
        <v>43924</v>
      </c>
      <c r="C176">
        <v>52</v>
      </c>
      <c r="D176" t="s">
        <v>23</v>
      </c>
      <c r="E176" t="s">
        <v>46</v>
      </c>
      <c r="F176">
        <v>44</v>
      </c>
      <c r="G176" s="2">
        <v>104</v>
      </c>
      <c r="H176" s="2">
        <v>4576</v>
      </c>
      <c r="I176" s="4">
        <v>0</v>
      </c>
      <c r="J176" s="2">
        <v>4576</v>
      </c>
      <c r="K176" s="1">
        <v>43942</v>
      </c>
      <c r="L176" s="1">
        <v>43942</v>
      </c>
      <c r="M176">
        <v>175</v>
      </c>
      <c r="N176">
        <v>5</v>
      </c>
      <c r="O176" t="s">
        <v>34</v>
      </c>
      <c r="P176" s="3">
        <v>0.06</v>
      </c>
      <c r="Q176" s="2">
        <v>274.56</v>
      </c>
      <c r="R176">
        <v>7</v>
      </c>
      <c r="S176" t="str">
        <f t="shared" si="2"/>
        <v>Abril</v>
      </c>
    </row>
    <row r="177" spans="1:19">
      <c r="A177">
        <v>176</v>
      </c>
      <c r="B177" s="1">
        <v>43926</v>
      </c>
      <c r="C177">
        <v>70</v>
      </c>
      <c r="D177" t="s">
        <v>67</v>
      </c>
      <c r="E177" t="s">
        <v>46</v>
      </c>
      <c r="F177">
        <v>15</v>
      </c>
      <c r="G177" s="2">
        <v>101</v>
      </c>
      <c r="H177" s="2">
        <v>1515</v>
      </c>
      <c r="I177" s="4">
        <v>0.1</v>
      </c>
      <c r="J177" s="2">
        <v>1363.5</v>
      </c>
      <c r="K177" s="1">
        <v>43937</v>
      </c>
      <c r="L177" s="1">
        <v>43937</v>
      </c>
      <c r="M177">
        <v>176</v>
      </c>
      <c r="N177">
        <v>6</v>
      </c>
      <c r="O177" t="s">
        <v>52</v>
      </c>
      <c r="P177" s="3">
        <v>7.0000000000000007E-2</v>
      </c>
      <c r="Q177" s="2">
        <v>95.445000000000007</v>
      </c>
      <c r="R177">
        <v>1</v>
      </c>
      <c r="S177" t="str">
        <f t="shared" si="2"/>
        <v>Abril</v>
      </c>
    </row>
    <row r="178" spans="1:19">
      <c r="A178">
        <v>177</v>
      </c>
      <c r="B178" s="1">
        <v>43927</v>
      </c>
      <c r="C178">
        <v>74</v>
      </c>
      <c r="D178" t="s">
        <v>38</v>
      </c>
      <c r="E178" t="s">
        <v>28</v>
      </c>
      <c r="F178">
        <v>28</v>
      </c>
      <c r="G178" s="2">
        <v>98</v>
      </c>
      <c r="H178" s="2">
        <v>2744</v>
      </c>
      <c r="I178" s="4">
        <v>0.08</v>
      </c>
      <c r="J178" s="2">
        <v>2524.48</v>
      </c>
      <c r="K178" s="1">
        <v>43942</v>
      </c>
      <c r="L178" s="1">
        <v>43942</v>
      </c>
      <c r="M178">
        <v>177</v>
      </c>
      <c r="N178">
        <v>4</v>
      </c>
      <c r="O178" t="s">
        <v>37</v>
      </c>
      <c r="P178" s="3">
        <v>0.1</v>
      </c>
      <c r="Q178" s="2">
        <v>252.44800000000001</v>
      </c>
      <c r="R178">
        <v>2</v>
      </c>
      <c r="S178" t="str">
        <f t="shared" si="2"/>
        <v>Abril</v>
      </c>
    </row>
    <row r="179" spans="1:19">
      <c r="A179">
        <v>178</v>
      </c>
      <c r="B179" s="1">
        <v>43928</v>
      </c>
      <c r="C179">
        <v>1</v>
      </c>
      <c r="D179" t="s">
        <v>93</v>
      </c>
      <c r="E179" t="s">
        <v>41</v>
      </c>
      <c r="F179">
        <v>34</v>
      </c>
      <c r="G179" s="2">
        <v>92</v>
      </c>
      <c r="H179" s="2">
        <v>3128</v>
      </c>
      <c r="I179" s="4">
        <v>0.03</v>
      </c>
      <c r="J179" s="2">
        <v>3034.16</v>
      </c>
      <c r="K179" s="1">
        <v>43943</v>
      </c>
      <c r="L179" s="1">
        <v>43943</v>
      </c>
      <c r="M179">
        <v>178</v>
      </c>
      <c r="N179">
        <v>1</v>
      </c>
      <c r="O179" t="s">
        <v>32</v>
      </c>
      <c r="P179" s="3">
        <v>0.06</v>
      </c>
      <c r="Q179" s="2">
        <v>182.0496</v>
      </c>
      <c r="R179">
        <v>3</v>
      </c>
      <c r="S179" t="str">
        <f t="shared" si="2"/>
        <v>Abril</v>
      </c>
    </row>
    <row r="180" spans="1:19">
      <c r="A180">
        <v>179</v>
      </c>
      <c r="B180" s="1">
        <v>43930</v>
      </c>
      <c r="C180">
        <v>87</v>
      </c>
      <c r="D180" t="s">
        <v>40</v>
      </c>
      <c r="E180" t="s">
        <v>24</v>
      </c>
      <c r="F180">
        <v>44</v>
      </c>
      <c r="G180" s="2">
        <v>97</v>
      </c>
      <c r="H180" s="2">
        <v>4268</v>
      </c>
      <c r="I180" s="4">
        <v>0.06</v>
      </c>
      <c r="J180" s="2">
        <v>4011.92</v>
      </c>
      <c r="K180" s="1">
        <v>43943</v>
      </c>
      <c r="L180" s="1">
        <v>43943</v>
      </c>
      <c r="M180">
        <v>179</v>
      </c>
      <c r="N180">
        <v>5</v>
      </c>
      <c r="O180" t="s">
        <v>52</v>
      </c>
      <c r="P180" s="3">
        <v>0.09</v>
      </c>
      <c r="Q180" s="2">
        <v>361.07279999999997</v>
      </c>
      <c r="R180">
        <v>4</v>
      </c>
      <c r="S180" t="str">
        <f t="shared" si="2"/>
        <v>Abril</v>
      </c>
    </row>
    <row r="181" spans="1:19">
      <c r="A181">
        <v>180</v>
      </c>
      <c r="B181" s="1">
        <v>43930</v>
      </c>
      <c r="C181">
        <v>2</v>
      </c>
      <c r="D181" t="s">
        <v>35</v>
      </c>
      <c r="E181" t="s">
        <v>59</v>
      </c>
      <c r="F181">
        <v>30</v>
      </c>
      <c r="G181" s="2">
        <v>96</v>
      </c>
      <c r="H181" s="2">
        <v>2880</v>
      </c>
      <c r="I181" s="4">
        <v>0.15</v>
      </c>
      <c r="J181" s="2">
        <v>2448</v>
      </c>
      <c r="K181" s="1">
        <v>43947</v>
      </c>
      <c r="L181" s="1">
        <v>43947</v>
      </c>
      <c r="M181">
        <v>180</v>
      </c>
      <c r="N181">
        <v>3</v>
      </c>
      <c r="O181" t="s">
        <v>37</v>
      </c>
      <c r="P181" s="3">
        <v>0.06</v>
      </c>
      <c r="Q181" s="2">
        <v>146.88</v>
      </c>
      <c r="R181">
        <v>5</v>
      </c>
      <c r="S181" t="str">
        <f t="shared" si="2"/>
        <v>Abril</v>
      </c>
    </row>
    <row r="182" spans="1:19">
      <c r="A182">
        <v>181</v>
      </c>
      <c r="B182" s="1">
        <v>43931</v>
      </c>
      <c r="C182">
        <v>11</v>
      </c>
      <c r="D182" t="s">
        <v>60</v>
      </c>
      <c r="E182" t="s">
        <v>55</v>
      </c>
      <c r="F182">
        <v>35</v>
      </c>
      <c r="G182" s="2">
        <v>93</v>
      </c>
      <c r="H182" s="2">
        <v>3255</v>
      </c>
      <c r="I182" s="4">
        <v>0.06</v>
      </c>
      <c r="J182" s="2">
        <v>3059.7</v>
      </c>
      <c r="K182" s="1">
        <v>43955</v>
      </c>
      <c r="L182" s="1">
        <v>43955</v>
      </c>
      <c r="M182">
        <v>181</v>
      </c>
      <c r="N182">
        <v>3</v>
      </c>
      <c r="O182" t="s">
        <v>69</v>
      </c>
      <c r="P182" s="3">
        <v>7.0000000000000007E-2</v>
      </c>
      <c r="Q182" s="2">
        <v>214.179</v>
      </c>
      <c r="R182">
        <v>6</v>
      </c>
      <c r="S182" t="str">
        <f t="shared" si="2"/>
        <v>Abril</v>
      </c>
    </row>
    <row r="183" spans="1:19">
      <c r="A183">
        <v>182</v>
      </c>
      <c r="B183" s="1">
        <v>43931</v>
      </c>
      <c r="C183">
        <v>22</v>
      </c>
      <c r="D183" t="s">
        <v>51</v>
      </c>
      <c r="E183" t="s">
        <v>31</v>
      </c>
      <c r="F183">
        <v>12</v>
      </c>
      <c r="G183" s="2">
        <v>98</v>
      </c>
      <c r="H183" s="2">
        <v>1176</v>
      </c>
      <c r="I183" s="4">
        <v>0.02</v>
      </c>
      <c r="J183" s="2">
        <v>1152.48</v>
      </c>
      <c r="K183" s="1">
        <v>43960</v>
      </c>
      <c r="L183" s="1">
        <v>43960</v>
      </c>
      <c r="M183">
        <v>182</v>
      </c>
      <c r="N183">
        <v>7</v>
      </c>
      <c r="O183" t="s">
        <v>52</v>
      </c>
      <c r="P183" s="3">
        <v>0.09</v>
      </c>
      <c r="Q183" s="2">
        <v>103.72319999999999</v>
      </c>
      <c r="R183">
        <v>7</v>
      </c>
      <c r="S183" t="str">
        <f t="shared" si="2"/>
        <v>Abril</v>
      </c>
    </row>
    <row r="184" spans="1:19">
      <c r="A184">
        <v>183</v>
      </c>
      <c r="B184" s="1">
        <v>43931</v>
      </c>
      <c r="C184">
        <v>82</v>
      </c>
      <c r="D184" t="s">
        <v>67</v>
      </c>
      <c r="E184" t="s">
        <v>24</v>
      </c>
      <c r="F184">
        <v>27</v>
      </c>
      <c r="G184" s="2">
        <v>98</v>
      </c>
      <c r="H184" s="2">
        <v>2646</v>
      </c>
      <c r="I184" s="4">
        <v>0.04</v>
      </c>
      <c r="J184" s="2">
        <v>2540.16</v>
      </c>
      <c r="K184" s="1">
        <v>43957</v>
      </c>
      <c r="L184" s="1">
        <v>43957</v>
      </c>
      <c r="M184">
        <v>183</v>
      </c>
      <c r="N184">
        <v>3</v>
      </c>
      <c r="O184" t="s">
        <v>32</v>
      </c>
      <c r="P184" s="3">
        <v>0.06</v>
      </c>
      <c r="Q184" s="2">
        <v>152.40959999999998</v>
      </c>
      <c r="R184">
        <v>1</v>
      </c>
      <c r="S184" t="str">
        <f t="shared" si="2"/>
        <v>Abril</v>
      </c>
    </row>
    <row r="185" spans="1:19">
      <c r="A185">
        <v>184</v>
      </c>
      <c r="B185" s="1">
        <v>43932</v>
      </c>
      <c r="C185">
        <v>43</v>
      </c>
      <c r="D185" t="s">
        <v>99</v>
      </c>
      <c r="E185" t="s">
        <v>28</v>
      </c>
      <c r="F185">
        <v>26</v>
      </c>
      <c r="G185" s="2">
        <v>96</v>
      </c>
      <c r="H185" s="2">
        <v>2496</v>
      </c>
      <c r="I185" s="4">
        <v>0.05</v>
      </c>
      <c r="J185" s="2">
        <v>2371.1999999999998</v>
      </c>
      <c r="K185" s="1">
        <v>43941</v>
      </c>
      <c r="L185" s="1">
        <v>43941</v>
      </c>
      <c r="M185">
        <v>184</v>
      </c>
      <c r="N185">
        <v>5</v>
      </c>
      <c r="O185" t="s">
        <v>52</v>
      </c>
      <c r="P185" s="3">
        <v>0.09</v>
      </c>
      <c r="Q185" s="2">
        <v>213.40799999999999</v>
      </c>
      <c r="R185">
        <v>2</v>
      </c>
      <c r="S185" t="str">
        <f t="shared" si="2"/>
        <v>Abril</v>
      </c>
    </row>
    <row r="186" spans="1:19">
      <c r="A186">
        <v>185</v>
      </c>
      <c r="B186" s="1">
        <v>43932</v>
      </c>
      <c r="C186">
        <v>56</v>
      </c>
      <c r="D186" t="s">
        <v>67</v>
      </c>
      <c r="E186" t="s">
        <v>31</v>
      </c>
      <c r="F186">
        <v>21</v>
      </c>
      <c r="G186" s="2">
        <v>105</v>
      </c>
      <c r="H186" s="2">
        <v>2205</v>
      </c>
      <c r="I186" s="4">
        <v>0.04</v>
      </c>
      <c r="J186" s="2">
        <v>2116.8000000000002</v>
      </c>
      <c r="K186" s="1">
        <v>43960</v>
      </c>
      <c r="L186" s="1">
        <v>43960</v>
      </c>
      <c r="M186">
        <v>185</v>
      </c>
      <c r="N186">
        <v>2</v>
      </c>
      <c r="O186" t="s">
        <v>34</v>
      </c>
      <c r="P186" s="3">
        <v>0.09</v>
      </c>
      <c r="Q186" s="2">
        <v>190.512</v>
      </c>
      <c r="R186">
        <v>3</v>
      </c>
      <c r="S186" t="str">
        <f t="shared" si="2"/>
        <v>Abril</v>
      </c>
    </row>
    <row r="187" spans="1:19">
      <c r="A187">
        <v>186</v>
      </c>
      <c r="B187" s="1">
        <v>43933</v>
      </c>
      <c r="C187">
        <v>70</v>
      </c>
      <c r="D187" t="s">
        <v>67</v>
      </c>
      <c r="E187" t="s">
        <v>59</v>
      </c>
      <c r="F187">
        <v>28</v>
      </c>
      <c r="G187" s="2">
        <v>105</v>
      </c>
      <c r="H187" s="2">
        <v>2940</v>
      </c>
      <c r="I187" s="4">
        <v>0.05</v>
      </c>
      <c r="J187" s="2">
        <v>2793</v>
      </c>
      <c r="K187" s="1">
        <v>43960</v>
      </c>
      <c r="L187" s="1">
        <v>43960</v>
      </c>
      <c r="M187">
        <v>186</v>
      </c>
      <c r="N187">
        <v>1</v>
      </c>
      <c r="O187" t="s">
        <v>52</v>
      </c>
      <c r="P187" s="3">
        <v>7.0000000000000007E-2</v>
      </c>
      <c r="Q187" s="2">
        <v>195.51000000000002</v>
      </c>
      <c r="R187">
        <v>4</v>
      </c>
      <c r="S187" t="str">
        <f t="shared" si="2"/>
        <v>Abril</v>
      </c>
    </row>
    <row r="188" spans="1:19">
      <c r="A188">
        <v>187</v>
      </c>
      <c r="B188" s="1">
        <v>43934</v>
      </c>
      <c r="C188">
        <v>44</v>
      </c>
      <c r="D188" t="s">
        <v>71</v>
      </c>
      <c r="E188" t="s">
        <v>54</v>
      </c>
      <c r="F188">
        <v>29</v>
      </c>
      <c r="G188" s="2">
        <v>97</v>
      </c>
      <c r="H188" s="2">
        <v>2813</v>
      </c>
      <c r="I188" s="4">
        <v>0.02</v>
      </c>
      <c r="J188" s="2">
        <v>2756.74</v>
      </c>
      <c r="K188" s="1">
        <v>43963</v>
      </c>
      <c r="L188" s="1">
        <v>43963</v>
      </c>
      <c r="M188">
        <v>187</v>
      </c>
      <c r="N188">
        <v>5</v>
      </c>
      <c r="O188" t="s">
        <v>52</v>
      </c>
      <c r="P188" s="3">
        <v>0.09</v>
      </c>
      <c r="Q188" s="2">
        <v>248.10659999999996</v>
      </c>
      <c r="R188">
        <v>5</v>
      </c>
      <c r="S188" t="str">
        <f t="shared" si="2"/>
        <v>Abril</v>
      </c>
    </row>
    <row r="189" spans="1:19">
      <c r="A189">
        <v>188</v>
      </c>
      <c r="B189" s="1">
        <v>43934</v>
      </c>
      <c r="C189">
        <v>83</v>
      </c>
      <c r="D189" t="s">
        <v>100</v>
      </c>
      <c r="E189" t="s">
        <v>50</v>
      </c>
      <c r="F189">
        <v>16</v>
      </c>
      <c r="G189" s="2">
        <v>110</v>
      </c>
      <c r="H189" s="2">
        <v>1760</v>
      </c>
      <c r="I189" s="4">
        <v>0.05</v>
      </c>
      <c r="J189" s="2">
        <v>1672</v>
      </c>
      <c r="K189" s="1">
        <v>43955</v>
      </c>
      <c r="L189" s="1">
        <v>43955</v>
      </c>
      <c r="M189">
        <v>188</v>
      </c>
      <c r="N189">
        <v>4</v>
      </c>
      <c r="O189" t="s">
        <v>43</v>
      </c>
      <c r="P189" s="3">
        <v>0.06</v>
      </c>
      <c r="Q189" s="2">
        <v>100.32</v>
      </c>
      <c r="R189">
        <v>6</v>
      </c>
      <c r="S189" t="str">
        <f t="shared" si="2"/>
        <v>Abril</v>
      </c>
    </row>
    <row r="190" spans="1:19">
      <c r="A190">
        <v>189</v>
      </c>
      <c r="B190" s="1">
        <v>43935</v>
      </c>
      <c r="C190">
        <v>48</v>
      </c>
      <c r="D190" t="s">
        <v>61</v>
      </c>
      <c r="E190" t="s">
        <v>59</v>
      </c>
      <c r="F190">
        <v>47</v>
      </c>
      <c r="G190" s="2">
        <v>117</v>
      </c>
      <c r="H190" s="2">
        <v>5499</v>
      </c>
      <c r="I190" s="4">
        <v>0.11</v>
      </c>
      <c r="J190" s="2">
        <v>4894.1099999999997</v>
      </c>
      <c r="K190" s="1">
        <v>43956</v>
      </c>
      <c r="L190" s="1">
        <v>43956</v>
      </c>
      <c r="M190">
        <v>189</v>
      </c>
      <c r="N190">
        <v>2</v>
      </c>
      <c r="O190" t="s">
        <v>32</v>
      </c>
      <c r="P190" s="3">
        <v>0.09</v>
      </c>
      <c r="Q190" s="2">
        <v>440.46989999999994</v>
      </c>
      <c r="R190">
        <v>7</v>
      </c>
      <c r="S190" t="str">
        <f t="shared" si="2"/>
        <v>Abril</v>
      </c>
    </row>
    <row r="191" spans="1:19">
      <c r="A191">
        <v>190</v>
      </c>
      <c r="B191" s="1">
        <v>43935</v>
      </c>
      <c r="C191">
        <v>2</v>
      </c>
      <c r="D191" t="s">
        <v>35</v>
      </c>
      <c r="E191" t="s">
        <v>21</v>
      </c>
      <c r="F191">
        <v>40</v>
      </c>
      <c r="G191" s="2">
        <v>110</v>
      </c>
      <c r="H191" s="2">
        <v>4400</v>
      </c>
      <c r="I191" s="4">
        <v>0</v>
      </c>
      <c r="J191" s="2">
        <v>4400</v>
      </c>
      <c r="K191" s="1">
        <v>43941</v>
      </c>
      <c r="L191" s="1">
        <v>43941</v>
      </c>
      <c r="M191">
        <v>190</v>
      </c>
      <c r="N191">
        <v>1</v>
      </c>
      <c r="O191" t="s">
        <v>43</v>
      </c>
      <c r="P191" s="3">
        <v>0.09</v>
      </c>
      <c r="Q191" s="2">
        <v>396</v>
      </c>
      <c r="R191">
        <v>1</v>
      </c>
      <c r="S191" t="str">
        <f t="shared" si="2"/>
        <v>Abril</v>
      </c>
    </row>
    <row r="192" spans="1:19">
      <c r="A192">
        <v>191</v>
      </c>
      <c r="B192" s="1">
        <v>43935</v>
      </c>
      <c r="C192">
        <v>89</v>
      </c>
      <c r="D192" t="s">
        <v>49</v>
      </c>
      <c r="E192" t="s">
        <v>41</v>
      </c>
      <c r="F192">
        <v>37</v>
      </c>
      <c r="G192" s="2">
        <v>106</v>
      </c>
      <c r="H192" s="2">
        <v>3922</v>
      </c>
      <c r="I192" s="4">
        <v>0.04</v>
      </c>
      <c r="J192" s="2">
        <v>3765.12</v>
      </c>
      <c r="K192" s="1">
        <v>43961</v>
      </c>
      <c r="L192" s="1">
        <v>43961</v>
      </c>
      <c r="M192">
        <v>191</v>
      </c>
      <c r="N192">
        <v>6</v>
      </c>
      <c r="O192" t="s">
        <v>29</v>
      </c>
      <c r="P192" s="3">
        <v>0.06</v>
      </c>
      <c r="Q192" s="2">
        <v>225.90719999999999</v>
      </c>
      <c r="R192">
        <v>2</v>
      </c>
      <c r="S192" t="str">
        <f t="shared" si="2"/>
        <v>Abril</v>
      </c>
    </row>
    <row r="193" spans="1:19">
      <c r="A193">
        <v>192</v>
      </c>
      <c r="B193" s="1">
        <v>43936</v>
      </c>
      <c r="C193">
        <v>35</v>
      </c>
      <c r="D193" t="s">
        <v>38</v>
      </c>
      <c r="E193" t="s">
        <v>46</v>
      </c>
      <c r="F193">
        <v>44</v>
      </c>
      <c r="G193" s="2">
        <v>115</v>
      </c>
      <c r="H193" s="2">
        <v>5060</v>
      </c>
      <c r="I193" s="4">
        <v>0.13</v>
      </c>
      <c r="J193" s="2">
        <v>4402.2</v>
      </c>
      <c r="K193" s="1">
        <v>43965</v>
      </c>
      <c r="L193" s="1">
        <v>43965</v>
      </c>
      <c r="M193">
        <v>192</v>
      </c>
      <c r="N193">
        <v>2</v>
      </c>
      <c r="O193" t="s">
        <v>43</v>
      </c>
      <c r="P193" s="3">
        <v>0.1</v>
      </c>
      <c r="Q193" s="2">
        <v>440.22</v>
      </c>
      <c r="R193">
        <v>3</v>
      </c>
      <c r="S193" t="str">
        <f t="shared" si="2"/>
        <v>Abril</v>
      </c>
    </row>
    <row r="194" spans="1:19">
      <c r="A194">
        <v>193</v>
      </c>
      <c r="B194" s="1">
        <v>43938</v>
      </c>
      <c r="C194">
        <v>62</v>
      </c>
      <c r="D194" t="s">
        <v>38</v>
      </c>
      <c r="E194" t="s">
        <v>59</v>
      </c>
      <c r="F194">
        <v>26</v>
      </c>
      <c r="G194" s="2">
        <v>110</v>
      </c>
      <c r="H194" s="2">
        <v>2860</v>
      </c>
      <c r="I194" s="4">
        <v>0.15</v>
      </c>
      <c r="J194" s="2">
        <v>2431</v>
      </c>
      <c r="K194" s="1">
        <v>43950</v>
      </c>
      <c r="L194" s="1">
        <v>43950</v>
      </c>
      <c r="M194">
        <v>193</v>
      </c>
      <c r="N194">
        <v>5</v>
      </c>
      <c r="O194" t="s">
        <v>47</v>
      </c>
      <c r="P194" s="3">
        <v>0.1</v>
      </c>
      <c r="Q194" s="2">
        <v>243.10000000000002</v>
      </c>
      <c r="R194">
        <v>4</v>
      </c>
      <c r="S194" t="str">
        <f t="shared" si="2"/>
        <v>Abril</v>
      </c>
    </row>
    <row r="195" spans="1:19">
      <c r="A195">
        <v>194</v>
      </c>
      <c r="B195" s="1">
        <v>43939</v>
      </c>
      <c r="C195">
        <v>69</v>
      </c>
      <c r="D195" t="s">
        <v>67</v>
      </c>
      <c r="E195" t="s">
        <v>50</v>
      </c>
      <c r="F195">
        <v>28</v>
      </c>
      <c r="G195" s="2">
        <v>90</v>
      </c>
      <c r="H195" s="2">
        <v>2520</v>
      </c>
      <c r="I195" s="4">
        <v>0.01</v>
      </c>
      <c r="J195" s="2">
        <v>2494.8000000000002</v>
      </c>
      <c r="K195" s="1">
        <v>43956</v>
      </c>
      <c r="L195" s="1">
        <v>43956</v>
      </c>
      <c r="M195">
        <v>194</v>
      </c>
      <c r="N195">
        <v>6</v>
      </c>
      <c r="O195" t="s">
        <v>52</v>
      </c>
      <c r="P195" s="3">
        <v>0.08</v>
      </c>
      <c r="Q195" s="2">
        <v>199.58400000000003</v>
      </c>
      <c r="R195">
        <v>5</v>
      </c>
      <c r="S195" t="str">
        <f t="shared" ref="S195:S258" si="3">PROPER(TEXT(B195,"mmmm"))</f>
        <v>Abril</v>
      </c>
    </row>
    <row r="196" spans="1:19">
      <c r="A196">
        <v>195</v>
      </c>
      <c r="B196" s="1">
        <v>43939</v>
      </c>
      <c r="C196">
        <v>88</v>
      </c>
      <c r="D196" t="s">
        <v>38</v>
      </c>
      <c r="E196" t="s">
        <v>21</v>
      </c>
      <c r="F196">
        <v>15</v>
      </c>
      <c r="G196" s="2">
        <v>90</v>
      </c>
      <c r="H196" s="2">
        <v>1350</v>
      </c>
      <c r="I196" s="4">
        <v>0.14000000000000001</v>
      </c>
      <c r="J196" s="2">
        <v>1161</v>
      </c>
      <c r="K196" s="1">
        <v>43968</v>
      </c>
      <c r="L196" s="1">
        <v>43968</v>
      </c>
      <c r="M196">
        <v>195</v>
      </c>
      <c r="N196">
        <v>6</v>
      </c>
      <c r="O196" t="s">
        <v>25</v>
      </c>
      <c r="P196" s="3">
        <v>0.08</v>
      </c>
      <c r="Q196" s="2">
        <v>92.88</v>
      </c>
      <c r="R196">
        <v>6</v>
      </c>
      <c r="S196" t="str">
        <f t="shared" si="3"/>
        <v>Abril</v>
      </c>
    </row>
    <row r="197" spans="1:19">
      <c r="A197">
        <v>196</v>
      </c>
      <c r="B197" s="1">
        <v>43940</v>
      </c>
      <c r="C197">
        <v>10</v>
      </c>
      <c r="D197" t="s">
        <v>89</v>
      </c>
      <c r="E197" t="s">
        <v>24</v>
      </c>
      <c r="F197">
        <v>37</v>
      </c>
      <c r="G197" s="2">
        <v>118</v>
      </c>
      <c r="H197" s="2">
        <v>4366</v>
      </c>
      <c r="I197" s="4">
        <v>0.06</v>
      </c>
      <c r="J197" s="2">
        <v>4104.04</v>
      </c>
      <c r="K197" s="1">
        <v>43962</v>
      </c>
      <c r="L197" s="1">
        <v>43962</v>
      </c>
      <c r="M197">
        <v>196</v>
      </c>
      <c r="N197">
        <v>3</v>
      </c>
      <c r="O197" t="s">
        <v>69</v>
      </c>
      <c r="P197" s="3">
        <v>0.1</v>
      </c>
      <c r="Q197" s="2">
        <v>410.404</v>
      </c>
      <c r="R197">
        <v>7</v>
      </c>
      <c r="S197" t="str">
        <f t="shared" si="3"/>
        <v>Abril</v>
      </c>
    </row>
    <row r="198" spans="1:19">
      <c r="A198">
        <v>197</v>
      </c>
      <c r="B198" s="1">
        <v>43940</v>
      </c>
      <c r="C198">
        <v>48</v>
      </c>
      <c r="D198" t="s">
        <v>61</v>
      </c>
      <c r="E198" t="s">
        <v>28</v>
      </c>
      <c r="F198">
        <v>33</v>
      </c>
      <c r="G198" s="2">
        <v>108</v>
      </c>
      <c r="H198" s="2">
        <v>3564</v>
      </c>
      <c r="I198" s="4">
        <v>0.12</v>
      </c>
      <c r="J198" s="2">
        <v>3136.32</v>
      </c>
      <c r="K198" s="1">
        <v>43952</v>
      </c>
      <c r="L198" s="1">
        <v>43952</v>
      </c>
      <c r="M198">
        <v>197</v>
      </c>
      <c r="N198">
        <v>7</v>
      </c>
      <c r="O198" t="s">
        <v>47</v>
      </c>
      <c r="P198" s="3">
        <v>7.0000000000000007E-2</v>
      </c>
      <c r="Q198" s="2">
        <v>219.54240000000004</v>
      </c>
      <c r="R198">
        <v>1</v>
      </c>
      <c r="S198" t="str">
        <f t="shared" si="3"/>
        <v>Abril</v>
      </c>
    </row>
    <row r="199" spans="1:19">
      <c r="A199">
        <v>198</v>
      </c>
      <c r="B199" s="1">
        <v>43942</v>
      </c>
      <c r="C199">
        <v>48</v>
      </c>
      <c r="D199" t="s">
        <v>61</v>
      </c>
      <c r="E199" t="s">
        <v>24</v>
      </c>
      <c r="F199">
        <v>16</v>
      </c>
      <c r="G199" s="2">
        <v>114</v>
      </c>
      <c r="H199" s="2">
        <v>1824</v>
      </c>
      <c r="I199" s="4">
        <v>0.12</v>
      </c>
      <c r="J199" s="2">
        <v>1605.12</v>
      </c>
      <c r="K199" s="1">
        <v>43963</v>
      </c>
      <c r="L199" s="1">
        <v>43963</v>
      </c>
      <c r="M199">
        <v>198</v>
      </c>
      <c r="N199">
        <v>6</v>
      </c>
      <c r="O199" t="s">
        <v>25</v>
      </c>
      <c r="P199" s="3">
        <v>0.05</v>
      </c>
      <c r="Q199" s="2">
        <v>80.256</v>
      </c>
      <c r="R199">
        <v>2</v>
      </c>
      <c r="S199" t="str">
        <f t="shared" si="3"/>
        <v>Abril</v>
      </c>
    </row>
    <row r="200" spans="1:19">
      <c r="A200">
        <v>199</v>
      </c>
      <c r="B200" s="1">
        <v>43942</v>
      </c>
      <c r="C200">
        <v>91</v>
      </c>
      <c r="D200" t="s">
        <v>62</v>
      </c>
      <c r="E200" t="s">
        <v>21</v>
      </c>
      <c r="F200">
        <v>48</v>
      </c>
      <c r="G200" s="2">
        <v>109</v>
      </c>
      <c r="H200" s="2">
        <v>5232</v>
      </c>
      <c r="I200" s="4">
        <v>0.01</v>
      </c>
      <c r="J200" s="2">
        <v>5179.68</v>
      </c>
      <c r="K200" s="1">
        <v>43955</v>
      </c>
      <c r="L200" s="1">
        <v>43955</v>
      </c>
      <c r="M200">
        <v>199</v>
      </c>
      <c r="N200">
        <v>6</v>
      </c>
      <c r="O200" t="s">
        <v>29</v>
      </c>
      <c r="P200" s="3">
        <v>0.09</v>
      </c>
      <c r="Q200" s="2">
        <v>466.1712</v>
      </c>
      <c r="R200">
        <v>3</v>
      </c>
      <c r="S200" t="str">
        <f t="shared" si="3"/>
        <v>Abril</v>
      </c>
    </row>
    <row r="201" spans="1:19">
      <c r="A201">
        <v>200</v>
      </c>
      <c r="B201" s="1">
        <v>43942</v>
      </c>
      <c r="C201">
        <v>91</v>
      </c>
      <c r="D201" t="s">
        <v>62</v>
      </c>
      <c r="E201" t="s">
        <v>55</v>
      </c>
      <c r="F201">
        <v>41</v>
      </c>
      <c r="G201" s="2">
        <v>95</v>
      </c>
      <c r="H201" s="2">
        <v>3895</v>
      </c>
      <c r="I201" s="4">
        <v>0.15</v>
      </c>
      <c r="J201" s="2">
        <v>3310.75</v>
      </c>
      <c r="K201" s="1">
        <v>43957</v>
      </c>
      <c r="L201" s="1">
        <v>43957</v>
      </c>
      <c r="M201">
        <v>200</v>
      </c>
      <c r="N201">
        <v>3</v>
      </c>
      <c r="O201" t="s">
        <v>22</v>
      </c>
      <c r="P201" s="3">
        <v>0.08</v>
      </c>
      <c r="Q201" s="2">
        <v>264.86</v>
      </c>
      <c r="R201">
        <v>4</v>
      </c>
      <c r="S201" t="str">
        <f t="shared" si="3"/>
        <v>Abril</v>
      </c>
    </row>
    <row r="202" spans="1:19">
      <c r="A202">
        <v>201</v>
      </c>
      <c r="B202" s="1">
        <v>43943</v>
      </c>
      <c r="C202">
        <v>65</v>
      </c>
      <c r="D202" t="s">
        <v>64</v>
      </c>
      <c r="E202" t="s">
        <v>31</v>
      </c>
      <c r="F202">
        <v>13</v>
      </c>
      <c r="G202" s="2">
        <v>111</v>
      </c>
      <c r="H202" s="2">
        <v>1443</v>
      </c>
      <c r="I202" s="4">
        <v>0.06</v>
      </c>
      <c r="J202" s="2">
        <v>1356.42</v>
      </c>
      <c r="K202" s="1">
        <v>43956</v>
      </c>
      <c r="L202" s="1">
        <v>43956</v>
      </c>
      <c r="M202">
        <v>201</v>
      </c>
      <c r="N202">
        <v>5</v>
      </c>
      <c r="O202" t="s">
        <v>25</v>
      </c>
      <c r="P202" s="3">
        <v>7.0000000000000007E-2</v>
      </c>
      <c r="Q202" s="2">
        <v>94.949400000000011</v>
      </c>
      <c r="R202">
        <v>5</v>
      </c>
      <c r="S202" t="str">
        <f t="shared" si="3"/>
        <v>Abril</v>
      </c>
    </row>
    <row r="203" spans="1:19">
      <c r="A203">
        <v>202</v>
      </c>
      <c r="B203" s="1">
        <v>43943</v>
      </c>
      <c r="C203">
        <v>100</v>
      </c>
      <c r="D203" t="s">
        <v>38</v>
      </c>
      <c r="E203" t="s">
        <v>54</v>
      </c>
      <c r="F203">
        <v>35</v>
      </c>
      <c r="G203" s="2">
        <v>92</v>
      </c>
      <c r="H203" s="2">
        <v>3220</v>
      </c>
      <c r="I203" s="4">
        <v>0.02</v>
      </c>
      <c r="J203" s="2">
        <v>3155.6</v>
      </c>
      <c r="K203" s="1">
        <v>43966</v>
      </c>
      <c r="L203" s="1">
        <v>43966</v>
      </c>
      <c r="M203">
        <v>202</v>
      </c>
      <c r="N203">
        <v>6</v>
      </c>
      <c r="O203" t="s">
        <v>52</v>
      </c>
      <c r="P203" s="3">
        <v>7.0000000000000007E-2</v>
      </c>
      <c r="Q203" s="2">
        <v>220.89200000000002</v>
      </c>
      <c r="R203">
        <v>6</v>
      </c>
      <c r="S203" t="str">
        <f t="shared" si="3"/>
        <v>Abril</v>
      </c>
    </row>
    <row r="204" spans="1:19">
      <c r="A204">
        <v>203</v>
      </c>
      <c r="B204" s="1">
        <v>43945</v>
      </c>
      <c r="C204">
        <v>93</v>
      </c>
      <c r="D204" t="s">
        <v>33</v>
      </c>
      <c r="E204" t="s">
        <v>50</v>
      </c>
      <c r="F204">
        <v>20</v>
      </c>
      <c r="G204" s="2">
        <v>111</v>
      </c>
      <c r="H204" s="2">
        <v>2220</v>
      </c>
      <c r="I204" s="4">
        <v>0.14000000000000001</v>
      </c>
      <c r="J204" s="2">
        <v>1909.2</v>
      </c>
      <c r="K204" s="1">
        <v>43975</v>
      </c>
      <c r="L204" s="1">
        <v>43975</v>
      </c>
      <c r="M204">
        <v>203</v>
      </c>
      <c r="N204">
        <v>3</v>
      </c>
      <c r="O204" t="s">
        <v>69</v>
      </c>
      <c r="P204" s="3">
        <v>7.0000000000000007E-2</v>
      </c>
      <c r="Q204" s="2">
        <v>133.64400000000001</v>
      </c>
      <c r="R204">
        <v>7</v>
      </c>
      <c r="S204" t="str">
        <f t="shared" si="3"/>
        <v>Abril</v>
      </c>
    </row>
    <row r="205" spans="1:19">
      <c r="A205">
        <v>204</v>
      </c>
      <c r="B205" s="1">
        <v>43948</v>
      </c>
      <c r="C205">
        <v>37</v>
      </c>
      <c r="D205" t="s">
        <v>48</v>
      </c>
      <c r="E205" t="s">
        <v>55</v>
      </c>
      <c r="F205">
        <v>14</v>
      </c>
      <c r="G205" s="2">
        <v>114</v>
      </c>
      <c r="H205" s="2">
        <v>1596</v>
      </c>
      <c r="I205" s="4">
        <v>0.05</v>
      </c>
      <c r="J205" s="2">
        <v>1516.2</v>
      </c>
      <c r="K205" s="1">
        <v>43958</v>
      </c>
      <c r="L205" s="1">
        <v>43958</v>
      </c>
      <c r="M205">
        <v>204</v>
      </c>
      <c r="N205">
        <v>6</v>
      </c>
      <c r="O205" t="s">
        <v>47</v>
      </c>
      <c r="P205" s="3">
        <v>7.0000000000000007E-2</v>
      </c>
      <c r="Q205" s="2">
        <v>106.13400000000001</v>
      </c>
      <c r="R205">
        <v>1</v>
      </c>
      <c r="S205" t="str">
        <f t="shared" si="3"/>
        <v>Abril</v>
      </c>
    </row>
    <row r="206" spans="1:19">
      <c r="A206">
        <v>205</v>
      </c>
      <c r="B206" s="1">
        <v>43948</v>
      </c>
      <c r="C206">
        <v>72</v>
      </c>
      <c r="D206" t="s">
        <v>38</v>
      </c>
      <c r="E206" t="s">
        <v>46</v>
      </c>
      <c r="F206">
        <v>13</v>
      </c>
      <c r="G206" s="2">
        <v>91</v>
      </c>
      <c r="H206" s="2">
        <v>1183</v>
      </c>
      <c r="I206" s="4">
        <v>0.06</v>
      </c>
      <c r="J206" s="2">
        <v>1112.02</v>
      </c>
      <c r="K206" s="1">
        <v>43977</v>
      </c>
      <c r="L206" s="1">
        <v>43977</v>
      </c>
      <c r="M206">
        <v>205</v>
      </c>
      <c r="N206">
        <v>1</v>
      </c>
      <c r="O206" t="s">
        <v>43</v>
      </c>
      <c r="P206" s="3">
        <v>0.09</v>
      </c>
      <c r="Q206" s="2">
        <v>100.0818</v>
      </c>
      <c r="R206">
        <v>2</v>
      </c>
      <c r="S206" t="str">
        <f t="shared" si="3"/>
        <v>Abril</v>
      </c>
    </row>
    <row r="207" spans="1:19">
      <c r="A207">
        <v>206</v>
      </c>
      <c r="B207" s="1">
        <v>43949</v>
      </c>
      <c r="C207">
        <v>16</v>
      </c>
      <c r="D207" t="s">
        <v>27</v>
      </c>
      <c r="E207" t="s">
        <v>41</v>
      </c>
      <c r="F207">
        <v>34</v>
      </c>
      <c r="G207" s="2">
        <v>113</v>
      </c>
      <c r="H207" s="2">
        <v>3842</v>
      </c>
      <c r="I207" s="4">
        <v>0.09</v>
      </c>
      <c r="J207" s="2">
        <v>3496.2200000000003</v>
      </c>
      <c r="K207" s="1">
        <v>43966</v>
      </c>
      <c r="L207" s="1">
        <v>43966</v>
      </c>
      <c r="M207">
        <v>206</v>
      </c>
      <c r="N207">
        <v>5</v>
      </c>
      <c r="O207" t="s">
        <v>52</v>
      </c>
      <c r="P207" s="3">
        <v>0.08</v>
      </c>
      <c r="Q207" s="2">
        <v>279.69760000000002</v>
      </c>
      <c r="R207">
        <v>3</v>
      </c>
      <c r="S207" t="str">
        <f t="shared" si="3"/>
        <v>Abril</v>
      </c>
    </row>
    <row r="208" spans="1:19">
      <c r="A208">
        <v>207</v>
      </c>
      <c r="B208" s="1">
        <v>43949</v>
      </c>
      <c r="C208">
        <v>57</v>
      </c>
      <c r="D208" t="s">
        <v>89</v>
      </c>
      <c r="E208" t="s">
        <v>46</v>
      </c>
      <c r="F208">
        <v>26</v>
      </c>
      <c r="G208" s="2">
        <v>103</v>
      </c>
      <c r="H208" s="2">
        <v>2678</v>
      </c>
      <c r="I208" s="4">
        <v>0.05</v>
      </c>
      <c r="J208" s="2">
        <v>2544.1</v>
      </c>
      <c r="K208" s="1">
        <v>43971</v>
      </c>
      <c r="L208" s="1">
        <v>43971</v>
      </c>
      <c r="M208">
        <v>207</v>
      </c>
      <c r="N208">
        <v>3</v>
      </c>
      <c r="O208" t="s">
        <v>69</v>
      </c>
      <c r="P208" s="3">
        <v>0.06</v>
      </c>
      <c r="Q208" s="2">
        <v>152.64599999999999</v>
      </c>
      <c r="R208">
        <v>4</v>
      </c>
      <c r="S208" t="str">
        <f t="shared" si="3"/>
        <v>Abril</v>
      </c>
    </row>
    <row r="209" spans="1:19">
      <c r="A209">
        <v>208</v>
      </c>
      <c r="B209" s="1">
        <v>43950</v>
      </c>
      <c r="C209">
        <v>13</v>
      </c>
      <c r="D209" t="s">
        <v>75</v>
      </c>
      <c r="E209" t="s">
        <v>21</v>
      </c>
      <c r="F209">
        <v>26</v>
      </c>
      <c r="G209" s="2">
        <v>112</v>
      </c>
      <c r="H209" s="2">
        <v>2912</v>
      </c>
      <c r="I209" s="4">
        <v>0.08</v>
      </c>
      <c r="J209" s="2">
        <v>2679.04</v>
      </c>
      <c r="K209" s="1">
        <v>43978</v>
      </c>
      <c r="L209" s="1">
        <v>43978</v>
      </c>
      <c r="M209">
        <v>208</v>
      </c>
      <c r="N209">
        <v>6</v>
      </c>
      <c r="O209" t="s">
        <v>29</v>
      </c>
      <c r="P209" s="3">
        <v>7.0000000000000007E-2</v>
      </c>
      <c r="Q209" s="2">
        <v>187.53280000000001</v>
      </c>
      <c r="R209">
        <v>5</v>
      </c>
      <c r="S209" t="str">
        <f t="shared" si="3"/>
        <v>Abril</v>
      </c>
    </row>
    <row r="210" spans="1:19">
      <c r="A210">
        <v>209</v>
      </c>
      <c r="B210" s="1">
        <v>43950</v>
      </c>
      <c r="C210">
        <v>4</v>
      </c>
      <c r="D210" t="s">
        <v>86</v>
      </c>
      <c r="E210" t="s">
        <v>24</v>
      </c>
      <c r="F210">
        <v>13</v>
      </c>
      <c r="G210" s="2">
        <v>90</v>
      </c>
      <c r="H210" s="2">
        <v>1170</v>
      </c>
      <c r="I210" s="4">
        <v>7.0000000000000007E-2</v>
      </c>
      <c r="J210" s="2">
        <v>1088.0999999999999</v>
      </c>
      <c r="K210" s="1">
        <v>43954</v>
      </c>
      <c r="L210" s="1">
        <v>43954</v>
      </c>
      <c r="M210">
        <v>209</v>
      </c>
      <c r="N210">
        <v>1</v>
      </c>
      <c r="O210" t="s">
        <v>43</v>
      </c>
      <c r="P210" s="3">
        <v>7.0000000000000007E-2</v>
      </c>
      <c r="Q210" s="2">
        <v>76.167000000000002</v>
      </c>
      <c r="R210">
        <v>6</v>
      </c>
      <c r="S210" t="str">
        <f t="shared" si="3"/>
        <v>Abril</v>
      </c>
    </row>
    <row r="211" spans="1:19">
      <c r="A211">
        <v>210</v>
      </c>
      <c r="B211" s="1">
        <v>43951</v>
      </c>
      <c r="C211">
        <v>51</v>
      </c>
      <c r="D211" t="s">
        <v>53</v>
      </c>
      <c r="E211" t="s">
        <v>24</v>
      </c>
      <c r="F211">
        <v>44</v>
      </c>
      <c r="G211" s="2">
        <v>113</v>
      </c>
      <c r="H211" s="2">
        <v>4972</v>
      </c>
      <c r="I211" s="4">
        <v>0.15</v>
      </c>
      <c r="J211" s="2">
        <v>4226.2</v>
      </c>
      <c r="K211" s="1">
        <v>43958</v>
      </c>
      <c r="L211" s="1">
        <v>43958</v>
      </c>
      <c r="M211">
        <v>210</v>
      </c>
      <c r="N211">
        <v>5</v>
      </c>
      <c r="O211" t="s">
        <v>69</v>
      </c>
      <c r="P211" s="3">
        <v>7.0000000000000007E-2</v>
      </c>
      <c r="Q211" s="2">
        <v>295.834</v>
      </c>
      <c r="R211">
        <v>7</v>
      </c>
      <c r="S211" t="str">
        <f t="shared" si="3"/>
        <v>Abril</v>
      </c>
    </row>
    <row r="212" spans="1:19">
      <c r="A212">
        <v>211</v>
      </c>
      <c r="B212" s="1">
        <v>43952</v>
      </c>
      <c r="C212">
        <v>22</v>
      </c>
      <c r="D212" t="s">
        <v>51</v>
      </c>
      <c r="E212" t="s">
        <v>54</v>
      </c>
      <c r="F212">
        <v>21</v>
      </c>
      <c r="G212" s="2">
        <v>113</v>
      </c>
      <c r="H212" s="2">
        <v>2373</v>
      </c>
      <c r="I212" s="4">
        <v>0.06</v>
      </c>
      <c r="J212" s="2">
        <v>2230.62</v>
      </c>
      <c r="K212" s="1">
        <v>43972</v>
      </c>
      <c r="L212" s="1">
        <v>43972</v>
      </c>
      <c r="M212">
        <v>211</v>
      </c>
      <c r="N212">
        <v>5</v>
      </c>
      <c r="O212" t="s">
        <v>37</v>
      </c>
      <c r="P212" s="3">
        <v>0.09</v>
      </c>
      <c r="Q212" s="2">
        <v>200.75579999999999</v>
      </c>
      <c r="R212">
        <v>1</v>
      </c>
      <c r="S212" t="str">
        <f t="shared" si="3"/>
        <v>Maio</v>
      </c>
    </row>
    <row r="213" spans="1:19">
      <c r="A213">
        <v>212</v>
      </c>
      <c r="B213" s="1">
        <v>43952</v>
      </c>
      <c r="C213">
        <v>27</v>
      </c>
      <c r="D213" t="s">
        <v>101</v>
      </c>
      <c r="E213" t="s">
        <v>21</v>
      </c>
      <c r="F213">
        <v>17</v>
      </c>
      <c r="G213" s="2">
        <v>90</v>
      </c>
      <c r="H213" s="2">
        <v>1530</v>
      </c>
      <c r="I213" s="4">
        <v>0.09</v>
      </c>
      <c r="J213" s="2">
        <v>1392.3</v>
      </c>
      <c r="K213" s="1">
        <v>43968</v>
      </c>
      <c r="L213" s="1">
        <v>43968</v>
      </c>
      <c r="M213">
        <v>212</v>
      </c>
      <c r="N213">
        <v>3</v>
      </c>
      <c r="O213" t="s">
        <v>22</v>
      </c>
      <c r="P213" s="3">
        <v>0.1</v>
      </c>
      <c r="Q213" s="2">
        <v>139.22999999999999</v>
      </c>
      <c r="R213">
        <v>2</v>
      </c>
      <c r="S213" t="str">
        <f t="shared" si="3"/>
        <v>Maio</v>
      </c>
    </row>
    <row r="214" spans="1:19">
      <c r="A214">
        <v>213</v>
      </c>
      <c r="B214" s="1">
        <v>43952</v>
      </c>
      <c r="C214">
        <v>83</v>
      </c>
      <c r="D214" t="s">
        <v>100</v>
      </c>
      <c r="E214" t="s">
        <v>50</v>
      </c>
      <c r="F214">
        <v>18</v>
      </c>
      <c r="G214" s="2">
        <v>105</v>
      </c>
      <c r="H214" s="2">
        <v>1890</v>
      </c>
      <c r="I214" s="4">
        <v>0.13</v>
      </c>
      <c r="J214" s="2">
        <v>1644.3</v>
      </c>
      <c r="K214" s="1">
        <v>43964</v>
      </c>
      <c r="L214" s="1">
        <v>43964</v>
      </c>
      <c r="M214">
        <v>213</v>
      </c>
      <c r="N214">
        <v>1</v>
      </c>
      <c r="O214" t="s">
        <v>32</v>
      </c>
      <c r="P214" s="3">
        <v>0.05</v>
      </c>
      <c r="Q214" s="2">
        <v>82.215000000000003</v>
      </c>
      <c r="R214">
        <v>3</v>
      </c>
      <c r="S214" t="str">
        <f t="shared" si="3"/>
        <v>Maio</v>
      </c>
    </row>
    <row r="215" spans="1:19">
      <c r="A215">
        <v>214</v>
      </c>
      <c r="B215" s="1">
        <v>43953</v>
      </c>
      <c r="C215">
        <v>38</v>
      </c>
      <c r="D215" t="s">
        <v>73</v>
      </c>
      <c r="E215" t="s">
        <v>41</v>
      </c>
      <c r="F215">
        <v>40</v>
      </c>
      <c r="G215" s="2">
        <v>98</v>
      </c>
      <c r="H215" s="2">
        <v>3920</v>
      </c>
      <c r="I215" s="4">
        <v>0.1</v>
      </c>
      <c r="J215" s="2">
        <v>3528</v>
      </c>
      <c r="K215" s="1">
        <v>43978</v>
      </c>
      <c r="L215" s="1">
        <v>43978</v>
      </c>
      <c r="M215">
        <v>214</v>
      </c>
      <c r="N215">
        <v>7</v>
      </c>
      <c r="O215" t="s">
        <v>47</v>
      </c>
      <c r="P215" s="3">
        <v>7.0000000000000007E-2</v>
      </c>
      <c r="Q215" s="2">
        <v>246.96000000000004</v>
      </c>
      <c r="R215">
        <v>4</v>
      </c>
      <c r="S215" t="str">
        <f t="shared" si="3"/>
        <v>Maio</v>
      </c>
    </row>
    <row r="216" spans="1:19">
      <c r="A216">
        <v>215</v>
      </c>
      <c r="B216" s="1">
        <v>43955</v>
      </c>
      <c r="C216">
        <v>35</v>
      </c>
      <c r="D216" t="s">
        <v>38</v>
      </c>
      <c r="E216" t="s">
        <v>46</v>
      </c>
      <c r="F216">
        <v>13</v>
      </c>
      <c r="G216" s="2">
        <v>99</v>
      </c>
      <c r="H216" s="2">
        <v>1287</v>
      </c>
      <c r="I216" s="4">
        <v>0.04</v>
      </c>
      <c r="J216" s="2">
        <v>1235.52</v>
      </c>
      <c r="K216" s="1">
        <v>43966</v>
      </c>
      <c r="L216" s="1">
        <v>43966</v>
      </c>
      <c r="M216">
        <v>215</v>
      </c>
      <c r="N216">
        <v>1</v>
      </c>
      <c r="O216" t="s">
        <v>37</v>
      </c>
      <c r="P216" s="3">
        <v>0.1</v>
      </c>
      <c r="Q216" s="2">
        <v>123.55200000000001</v>
      </c>
      <c r="R216">
        <v>5</v>
      </c>
      <c r="S216" t="str">
        <f t="shared" si="3"/>
        <v>Maio</v>
      </c>
    </row>
    <row r="217" spans="1:19">
      <c r="A217">
        <v>216</v>
      </c>
      <c r="B217" s="1">
        <v>43955</v>
      </c>
      <c r="C217">
        <v>3</v>
      </c>
      <c r="D217" t="s">
        <v>91</v>
      </c>
      <c r="E217" t="s">
        <v>46</v>
      </c>
      <c r="F217">
        <v>31</v>
      </c>
      <c r="G217" s="2">
        <v>105</v>
      </c>
      <c r="H217" s="2">
        <v>3255</v>
      </c>
      <c r="I217" s="4">
        <v>0.08</v>
      </c>
      <c r="J217" s="2">
        <v>2994.6</v>
      </c>
      <c r="K217" s="1">
        <v>43973</v>
      </c>
      <c r="L217" s="1">
        <v>43973</v>
      </c>
      <c r="M217">
        <v>216</v>
      </c>
      <c r="N217">
        <v>2</v>
      </c>
      <c r="O217" t="s">
        <v>32</v>
      </c>
      <c r="P217" s="3">
        <v>0.09</v>
      </c>
      <c r="Q217" s="2">
        <v>269.51400000000001</v>
      </c>
      <c r="R217">
        <v>6</v>
      </c>
      <c r="S217" t="str">
        <f t="shared" si="3"/>
        <v>Maio</v>
      </c>
    </row>
    <row r="218" spans="1:19">
      <c r="A218">
        <v>217</v>
      </c>
      <c r="B218" s="1">
        <v>43956</v>
      </c>
      <c r="C218">
        <v>25</v>
      </c>
      <c r="D218" t="s">
        <v>63</v>
      </c>
      <c r="E218" t="s">
        <v>31</v>
      </c>
      <c r="F218">
        <v>48</v>
      </c>
      <c r="G218" s="2">
        <v>108</v>
      </c>
      <c r="H218" s="2">
        <v>5184</v>
      </c>
      <c r="I218" s="4">
        <v>0.13</v>
      </c>
      <c r="J218" s="2">
        <v>4510.08</v>
      </c>
      <c r="K218" s="1">
        <v>43974</v>
      </c>
      <c r="L218" s="1">
        <v>43974</v>
      </c>
      <c r="M218">
        <v>217</v>
      </c>
      <c r="N218">
        <v>7</v>
      </c>
      <c r="O218" t="s">
        <v>32</v>
      </c>
      <c r="P218" s="3">
        <v>0.1</v>
      </c>
      <c r="Q218" s="2">
        <v>451.00800000000004</v>
      </c>
      <c r="R218">
        <v>7</v>
      </c>
      <c r="S218" t="str">
        <f t="shared" si="3"/>
        <v>Maio</v>
      </c>
    </row>
    <row r="219" spans="1:19">
      <c r="A219">
        <v>218</v>
      </c>
      <c r="B219" s="1">
        <v>43956</v>
      </c>
      <c r="C219">
        <v>8</v>
      </c>
      <c r="D219" t="s">
        <v>38</v>
      </c>
      <c r="E219" t="s">
        <v>50</v>
      </c>
      <c r="F219">
        <v>18</v>
      </c>
      <c r="G219" s="2">
        <v>90</v>
      </c>
      <c r="H219" s="2">
        <v>1620</v>
      </c>
      <c r="I219" s="4">
        <v>0.15</v>
      </c>
      <c r="J219" s="2">
        <v>1377</v>
      </c>
      <c r="K219" s="1">
        <v>43959</v>
      </c>
      <c r="L219" s="1">
        <v>43959</v>
      </c>
      <c r="M219">
        <v>218</v>
      </c>
      <c r="N219">
        <v>6</v>
      </c>
      <c r="O219" t="s">
        <v>69</v>
      </c>
      <c r="P219" s="3">
        <v>0.08</v>
      </c>
      <c r="Q219" s="2">
        <v>110.16</v>
      </c>
      <c r="R219">
        <v>1</v>
      </c>
      <c r="S219" t="str">
        <f t="shared" si="3"/>
        <v>Maio</v>
      </c>
    </row>
    <row r="220" spans="1:19">
      <c r="A220">
        <v>219</v>
      </c>
      <c r="B220" s="1">
        <v>43957</v>
      </c>
      <c r="C220">
        <v>20</v>
      </c>
      <c r="D220" t="s">
        <v>39</v>
      </c>
      <c r="E220" t="s">
        <v>59</v>
      </c>
      <c r="F220">
        <v>48</v>
      </c>
      <c r="G220" s="2">
        <v>120</v>
      </c>
      <c r="H220" s="2">
        <v>5760</v>
      </c>
      <c r="I220" s="4">
        <v>0.05</v>
      </c>
      <c r="J220" s="2">
        <v>5472</v>
      </c>
      <c r="K220" s="1">
        <v>43957</v>
      </c>
      <c r="L220" s="1">
        <v>43957</v>
      </c>
      <c r="M220">
        <v>219</v>
      </c>
      <c r="N220">
        <v>5</v>
      </c>
      <c r="O220" t="s">
        <v>43</v>
      </c>
      <c r="P220" s="3">
        <v>7.0000000000000007E-2</v>
      </c>
      <c r="Q220" s="2">
        <v>383.04</v>
      </c>
      <c r="R220">
        <v>2</v>
      </c>
      <c r="S220" t="str">
        <f t="shared" si="3"/>
        <v>Maio</v>
      </c>
    </row>
    <row r="221" spans="1:19">
      <c r="A221">
        <v>220</v>
      </c>
      <c r="B221" s="1">
        <v>43958</v>
      </c>
      <c r="C221">
        <v>78</v>
      </c>
      <c r="D221" t="s">
        <v>36</v>
      </c>
      <c r="E221" t="s">
        <v>31</v>
      </c>
      <c r="F221">
        <v>42</v>
      </c>
      <c r="G221" s="2">
        <v>104</v>
      </c>
      <c r="H221" s="2">
        <v>4368</v>
      </c>
      <c r="I221" s="4">
        <v>0.12</v>
      </c>
      <c r="J221" s="2">
        <v>3843.84</v>
      </c>
      <c r="K221" s="1">
        <v>43965</v>
      </c>
      <c r="L221" s="1">
        <v>43965</v>
      </c>
      <c r="M221">
        <v>220</v>
      </c>
      <c r="N221">
        <v>3</v>
      </c>
      <c r="O221" t="s">
        <v>25</v>
      </c>
      <c r="P221" s="3">
        <v>0.06</v>
      </c>
      <c r="Q221" s="2">
        <v>230.63040000000001</v>
      </c>
      <c r="R221">
        <v>3</v>
      </c>
      <c r="S221" t="str">
        <f t="shared" si="3"/>
        <v>Maio</v>
      </c>
    </row>
    <row r="222" spans="1:19">
      <c r="A222">
        <v>221</v>
      </c>
      <c r="B222" s="1">
        <v>43958</v>
      </c>
      <c r="C222">
        <v>99</v>
      </c>
      <c r="D222" t="s">
        <v>84</v>
      </c>
      <c r="E222" t="s">
        <v>54</v>
      </c>
      <c r="F222">
        <v>38</v>
      </c>
      <c r="G222" s="2">
        <v>113</v>
      </c>
      <c r="H222" s="2">
        <v>4294</v>
      </c>
      <c r="I222" s="4">
        <v>0.1</v>
      </c>
      <c r="J222" s="2">
        <v>3864.6</v>
      </c>
      <c r="K222" s="1">
        <v>43976</v>
      </c>
      <c r="L222" s="1">
        <v>43976</v>
      </c>
      <c r="M222">
        <v>221</v>
      </c>
      <c r="N222">
        <v>7</v>
      </c>
      <c r="O222" t="s">
        <v>25</v>
      </c>
      <c r="P222" s="3">
        <v>7.0000000000000007E-2</v>
      </c>
      <c r="Q222" s="2">
        <v>270.52199999999999</v>
      </c>
      <c r="R222">
        <v>4</v>
      </c>
      <c r="S222" t="str">
        <f t="shared" si="3"/>
        <v>Maio</v>
      </c>
    </row>
    <row r="223" spans="1:19">
      <c r="A223">
        <v>222</v>
      </c>
      <c r="B223" s="1">
        <v>43958</v>
      </c>
      <c r="C223">
        <v>98</v>
      </c>
      <c r="D223" t="s">
        <v>26</v>
      </c>
      <c r="E223" t="s">
        <v>59</v>
      </c>
      <c r="F223">
        <v>17</v>
      </c>
      <c r="G223" s="2">
        <v>120</v>
      </c>
      <c r="H223" s="2">
        <v>2040</v>
      </c>
      <c r="I223" s="4">
        <v>0.08</v>
      </c>
      <c r="J223" s="2">
        <v>1876.8</v>
      </c>
      <c r="K223" s="1">
        <v>43967</v>
      </c>
      <c r="L223" s="1">
        <v>43967</v>
      </c>
      <c r="M223">
        <v>222</v>
      </c>
      <c r="N223">
        <v>2</v>
      </c>
      <c r="O223" t="s">
        <v>34</v>
      </c>
      <c r="P223" s="3">
        <v>0.08</v>
      </c>
      <c r="Q223" s="2">
        <v>150.14400000000001</v>
      </c>
      <c r="R223">
        <v>5</v>
      </c>
      <c r="S223" t="str">
        <f t="shared" si="3"/>
        <v>Maio</v>
      </c>
    </row>
    <row r="224" spans="1:19">
      <c r="A224">
        <v>223</v>
      </c>
      <c r="B224" s="1">
        <v>43958</v>
      </c>
      <c r="C224">
        <v>97</v>
      </c>
      <c r="D224" t="s">
        <v>66</v>
      </c>
      <c r="E224" t="s">
        <v>24</v>
      </c>
      <c r="F224">
        <v>25</v>
      </c>
      <c r="G224" s="2">
        <v>117</v>
      </c>
      <c r="H224" s="2">
        <v>2925</v>
      </c>
      <c r="I224" s="4">
        <v>0.01</v>
      </c>
      <c r="J224" s="2">
        <v>2895.75</v>
      </c>
      <c r="K224" s="1">
        <v>43976</v>
      </c>
      <c r="L224" s="1">
        <v>43976</v>
      </c>
      <c r="M224">
        <v>223</v>
      </c>
      <c r="N224">
        <v>5</v>
      </c>
      <c r="O224" t="s">
        <v>37</v>
      </c>
      <c r="P224" s="3">
        <v>0.1</v>
      </c>
      <c r="Q224" s="2">
        <v>289.57499999999999</v>
      </c>
      <c r="R224">
        <v>6</v>
      </c>
      <c r="S224" t="str">
        <f t="shared" si="3"/>
        <v>Maio</v>
      </c>
    </row>
    <row r="225" spans="1:19">
      <c r="A225">
        <v>224</v>
      </c>
      <c r="B225" s="1">
        <v>43959</v>
      </c>
      <c r="C225">
        <v>61</v>
      </c>
      <c r="D225" t="s">
        <v>56</v>
      </c>
      <c r="E225" t="s">
        <v>28</v>
      </c>
      <c r="F225">
        <v>35</v>
      </c>
      <c r="G225" s="2">
        <v>104</v>
      </c>
      <c r="H225" s="2">
        <v>3640</v>
      </c>
      <c r="I225" s="4">
        <v>0.08</v>
      </c>
      <c r="J225" s="2">
        <v>3348.8</v>
      </c>
      <c r="K225" s="1">
        <v>43976</v>
      </c>
      <c r="L225" s="1">
        <v>43976</v>
      </c>
      <c r="M225">
        <v>224</v>
      </c>
      <c r="N225">
        <v>3</v>
      </c>
      <c r="O225" t="s">
        <v>25</v>
      </c>
      <c r="P225" s="3">
        <v>0.05</v>
      </c>
      <c r="Q225" s="2">
        <v>167.44000000000003</v>
      </c>
      <c r="R225">
        <v>7</v>
      </c>
      <c r="S225" t="str">
        <f t="shared" si="3"/>
        <v>Maio</v>
      </c>
    </row>
    <row r="226" spans="1:19">
      <c r="A226">
        <v>225</v>
      </c>
      <c r="B226" s="1">
        <v>43959</v>
      </c>
      <c r="C226">
        <v>46</v>
      </c>
      <c r="D226" t="s">
        <v>94</v>
      </c>
      <c r="E226" t="s">
        <v>31</v>
      </c>
      <c r="F226">
        <v>12</v>
      </c>
      <c r="G226" s="2">
        <v>107</v>
      </c>
      <c r="H226" s="2">
        <v>1284</v>
      </c>
      <c r="I226" s="4">
        <v>0.08</v>
      </c>
      <c r="J226" s="2">
        <v>1181.28</v>
      </c>
      <c r="K226" s="1">
        <v>43974</v>
      </c>
      <c r="L226" s="1">
        <v>43974</v>
      </c>
      <c r="M226">
        <v>225</v>
      </c>
      <c r="N226">
        <v>5</v>
      </c>
      <c r="O226" t="s">
        <v>34</v>
      </c>
      <c r="P226" s="3">
        <v>0.09</v>
      </c>
      <c r="Q226" s="2">
        <v>106.31519999999999</v>
      </c>
      <c r="R226">
        <v>1</v>
      </c>
      <c r="S226" t="str">
        <f t="shared" si="3"/>
        <v>Maio</v>
      </c>
    </row>
    <row r="227" spans="1:19">
      <c r="A227">
        <v>226</v>
      </c>
      <c r="B227" s="1">
        <v>43960</v>
      </c>
      <c r="C227">
        <v>8</v>
      </c>
      <c r="D227" t="s">
        <v>38</v>
      </c>
      <c r="E227" t="s">
        <v>24</v>
      </c>
      <c r="F227">
        <v>33</v>
      </c>
      <c r="G227" s="2">
        <v>107</v>
      </c>
      <c r="H227" s="2">
        <v>3531</v>
      </c>
      <c r="I227" s="4">
        <v>7.0000000000000007E-2</v>
      </c>
      <c r="J227" s="2">
        <v>3283.83</v>
      </c>
      <c r="K227" s="1">
        <v>43972</v>
      </c>
      <c r="L227" s="1">
        <v>43972</v>
      </c>
      <c r="M227">
        <v>226</v>
      </c>
      <c r="N227">
        <v>2</v>
      </c>
      <c r="O227" t="s">
        <v>69</v>
      </c>
      <c r="P227" s="3">
        <v>0.08</v>
      </c>
      <c r="Q227" s="2">
        <v>262.70639999999997</v>
      </c>
      <c r="R227">
        <v>2</v>
      </c>
      <c r="S227" t="str">
        <f t="shared" si="3"/>
        <v>Maio</v>
      </c>
    </row>
    <row r="228" spans="1:19">
      <c r="A228">
        <v>227</v>
      </c>
      <c r="B228" s="1">
        <v>43960</v>
      </c>
      <c r="C228">
        <v>93</v>
      </c>
      <c r="D228" t="s">
        <v>33</v>
      </c>
      <c r="E228" t="s">
        <v>55</v>
      </c>
      <c r="F228">
        <v>16</v>
      </c>
      <c r="G228" s="2">
        <v>92</v>
      </c>
      <c r="H228" s="2">
        <v>1472</v>
      </c>
      <c r="I228" s="4">
        <v>0.01</v>
      </c>
      <c r="J228" s="2">
        <v>1457.28</v>
      </c>
      <c r="K228" s="1">
        <v>43982</v>
      </c>
      <c r="L228" s="1">
        <v>43982</v>
      </c>
      <c r="M228">
        <v>227</v>
      </c>
      <c r="N228">
        <v>1</v>
      </c>
      <c r="O228" t="s">
        <v>29</v>
      </c>
      <c r="P228" s="3">
        <v>0.05</v>
      </c>
      <c r="Q228" s="2">
        <v>72.864000000000004</v>
      </c>
      <c r="R228">
        <v>3</v>
      </c>
      <c r="S228" t="str">
        <f t="shared" si="3"/>
        <v>Maio</v>
      </c>
    </row>
    <row r="229" spans="1:19">
      <c r="A229">
        <v>228</v>
      </c>
      <c r="B229" s="1">
        <v>43961</v>
      </c>
      <c r="C229">
        <v>72</v>
      </c>
      <c r="D229" t="s">
        <v>38</v>
      </c>
      <c r="E229" t="s">
        <v>55</v>
      </c>
      <c r="F229">
        <v>35</v>
      </c>
      <c r="G229" s="2">
        <v>91</v>
      </c>
      <c r="H229" s="2">
        <v>3185</v>
      </c>
      <c r="I229" s="4">
        <v>0.05</v>
      </c>
      <c r="J229" s="2">
        <v>3025.75</v>
      </c>
      <c r="K229" s="1">
        <v>43974</v>
      </c>
      <c r="L229" s="1">
        <v>43974</v>
      </c>
      <c r="M229">
        <v>228</v>
      </c>
      <c r="N229">
        <v>3</v>
      </c>
      <c r="O229" t="s">
        <v>37</v>
      </c>
      <c r="P229" s="3">
        <v>0.1</v>
      </c>
      <c r="Q229" s="2">
        <v>302.57499999999999</v>
      </c>
      <c r="R229">
        <v>4</v>
      </c>
      <c r="S229" t="str">
        <f t="shared" si="3"/>
        <v>Maio</v>
      </c>
    </row>
    <row r="230" spans="1:19">
      <c r="A230">
        <v>229</v>
      </c>
      <c r="B230" s="1">
        <v>43961</v>
      </c>
      <c r="C230">
        <v>13</v>
      </c>
      <c r="D230" t="s">
        <v>75</v>
      </c>
      <c r="E230" t="s">
        <v>31</v>
      </c>
      <c r="F230">
        <v>10</v>
      </c>
      <c r="G230" s="2">
        <v>97</v>
      </c>
      <c r="H230" s="2">
        <v>970</v>
      </c>
      <c r="I230" s="4">
        <v>0.11</v>
      </c>
      <c r="J230" s="2">
        <v>863.3</v>
      </c>
      <c r="K230" s="1">
        <v>43983</v>
      </c>
      <c r="L230" s="1">
        <v>43983</v>
      </c>
      <c r="M230">
        <v>229</v>
      </c>
      <c r="N230">
        <v>4</v>
      </c>
      <c r="O230" t="s">
        <v>43</v>
      </c>
      <c r="P230" s="3">
        <v>0.05</v>
      </c>
      <c r="Q230" s="2">
        <v>43.164999999999999</v>
      </c>
      <c r="R230">
        <v>5</v>
      </c>
      <c r="S230" t="str">
        <f t="shared" si="3"/>
        <v>Maio</v>
      </c>
    </row>
    <row r="231" spans="1:19">
      <c r="A231">
        <v>230</v>
      </c>
      <c r="B231" s="1">
        <v>43961</v>
      </c>
      <c r="C231">
        <v>39</v>
      </c>
      <c r="D231" t="s">
        <v>38</v>
      </c>
      <c r="E231" t="s">
        <v>24</v>
      </c>
      <c r="F231">
        <v>50</v>
      </c>
      <c r="G231" s="2">
        <v>114</v>
      </c>
      <c r="H231" s="2">
        <v>5700</v>
      </c>
      <c r="I231" s="4">
        <v>0.08</v>
      </c>
      <c r="J231" s="2">
        <v>5244</v>
      </c>
      <c r="K231" s="1">
        <v>43971</v>
      </c>
      <c r="L231" s="1">
        <v>43971</v>
      </c>
      <c r="M231">
        <v>230</v>
      </c>
      <c r="N231">
        <v>4</v>
      </c>
      <c r="O231" t="s">
        <v>29</v>
      </c>
      <c r="P231" s="3">
        <v>0.09</v>
      </c>
      <c r="Q231" s="2">
        <v>471.96</v>
      </c>
      <c r="R231">
        <v>6</v>
      </c>
      <c r="S231" t="str">
        <f t="shared" si="3"/>
        <v>Maio</v>
      </c>
    </row>
    <row r="232" spans="1:19">
      <c r="A232">
        <v>231</v>
      </c>
      <c r="B232" s="1">
        <v>43961</v>
      </c>
      <c r="C232">
        <v>72</v>
      </c>
      <c r="D232" t="s">
        <v>38</v>
      </c>
      <c r="E232" t="s">
        <v>31</v>
      </c>
      <c r="F232">
        <v>41</v>
      </c>
      <c r="G232" s="2">
        <v>118</v>
      </c>
      <c r="H232" s="2">
        <v>4838</v>
      </c>
      <c r="I232" s="4">
        <v>0.13</v>
      </c>
      <c r="J232" s="2">
        <v>4209.0599999999995</v>
      </c>
      <c r="K232" s="1">
        <v>43981</v>
      </c>
      <c r="L232" s="1">
        <v>43981</v>
      </c>
      <c r="M232">
        <v>231</v>
      </c>
      <c r="N232">
        <v>3</v>
      </c>
      <c r="O232" t="s">
        <v>29</v>
      </c>
      <c r="P232" s="3">
        <v>0.06</v>
      </c>
      <c r="Q232" s="2">
        <v>252.54359999999997</v>
      </c>
      <c r="R232">
        <v>7</v>
      </c>
      <c r="S232" t="str">
        <f t="shared" si="3"/>
        <v>Maio</v>
      </c>
    </row>
    <row r="233" spans="1:19">
      <c r="A233">
        <v>232</v>
      </c>
      <c r="B233" s="1">
        <v>43962</v>
      </c>
      <c r="C233">
        <v>3</v>
      </c>
      <c r="D233" t="s">
        <v>91</v>
      </c>
      <c r="E233" t="s">
        <v>59</v>
      </c>
      <c r="F233">
        <v>35</v>
      </c>
      <c r="G233" s="2">
        <v>91</v>
      </c>
      <c r="H233" s="2">
        <v>3185</v>
      </c>
      <c r="I233" s="4">
        <v>0.09</v>
      </c>
      <c r="J233" s="2">
        <v>2898.35</v>
      </c>
      <c r="K233" s="1">
        <v>43987</v>
      </c>
      <c r="L233" s="1">
        <v>43987</v>
      </c>
      <c r="M233">
        <v>232</v>
      </c>
      <c r="N233">
        <v>1</v>
      </c>
      <c r="O233" t="s">
        <v>29</v>
      </c>
      <c r="P233" s="3">
        <v>0.06</v>
      </c>
      <c r="Q233" s="2">
        <v>173.90099999999998</v>
      </c>
      <c r="R233">
        <v>1</v>
      </c>
      <c r="S233" t="str">
        <f t="shared" si="3"/>
        <v>Maio</v>
      </c>
    </row>
    <row r="234" spans="1:19">
      <c r="A234">
        <v>233</v>
      </c>
      <c r="B234" s="1">
        <v>43962</v>
      </c>
      <c r="C234">
        <v>44</v>
      </c>
      <c r="D234" t="s">
        <v>71</v>
      </c>
      <c r="E234" t="s">
        <v>28</v>
      </c>
      <c r="F234">
        <v>15</v>
      </c>
      <c r="G234" s="2">
        <v>106</v>
      </c>
      <c r="H234" s="2">
        <v>1590</v>
      </c>
      <c r="I234" s="4">
        <v>0.1</v>
      </c>
      <c r="J234" s="2">
        <v>1431</v>
      </c>
      <c r="K234" s="1">
        <v>43977</v>
      </c>
      <c r="L234" s="1">
        <v>43977</v>
      </c>
      <c r="M234">
        <v>233</v>
      </c>
      <c r="N234">
        <v>4</v>
      </c>
      <c r="O234" t="s">
        <v>43</v>
      </c>
      <c r="P234" s="3">
        <v>0.05</v>
      </c>
      <c r="Q234" s="2">
        <v>71.55</v>
      </c>
      <c r="R234">
        <v>2</v>
      </c>
      <c r="S234" t="str">
        <f t="shared" si="3"/>
        <v>Maio</v>
      </c>
    </row>
    <row r="235" spans="1:19">
      <c r="A235">
        <v>234</v>
      </c>
      <c r="B235" s="1">
        <v>43963</v>
      </c>
      <c r="C235">
        <v>32</v>
      </c>
      <c r="D235" t="s">
        <v>77</v>
      </c>
      <c r="E235" t="s">
        <v>28</v>
      </c>
      <c r="F235">
        <v>31</v>
      </c>
      <c r="G235" s="2">
        <v>118</v>
      </c>
      <c r="H235" s="2">
        <v>3658</v>
      </c>
      <c r="I235" s="4">
        <v>7.0000000000000007E-2</v>
      </c>
      <c r="J235" s="2">
        <v>3401.94</v>
      </c>
      <c r="K235" s="1">
        <v>43990</v>
      </c>
      <c r="L235" s="1">
        <v>43990</v>
      </c>
      <c r="M235">
        <v>234</v>
      </c>
      <c r="N235">
        <v>3</v>
      </c>
      <c r="O235" t="s">
        <v>47</v>
      </c>
      <c r="P235" s="3">
        <v>0.1</v>
      </c>
      <c r="Q235" s="2">
        <v>340.19400000000002</v>
      </c>
      <c r="R235">
        <v>3</v>
      </c>
      <c r="S235" t="str">
        <f t="shared" si="3"/>
        <v>Maio</v>
      </c>
    </row>
    <row r="236" spans="1:19">
      <c r="A236">
        <v>235</v>
      </c>
      <c r="B236" s="1">
        <v>43963</v>
      </c>
      <c r="C236">
        <v>47</v>
      </c>
      <c r="D236" t="s">
        <v>40</v>
      </c>
      <c r="E236" t="s">
        <v>41</v>
      </c>
      <c r="F236">
        <v>35</v>
      </c>
      <c r="G236" s="2">
        <v>103</v>
      </c>
      <c r="H236" s="2">
        <v>3605</v>
      </c>
      <c r="I236" s="4">
        <v>7.0000000000000007E-2</v>
      </c>
      <c r="J236" s="2">
        <v>3352.65</v>
      </c>
      <c r="K236" s="1">
        <v>43981</v>
      </c>
      <c r="L236" s="1">
        <v>43981</v>
      </c>
      <c r="M236">
        <v>235</v>
      </c>
      <c r="N236">
        <v>1</v>
      </c>
      <c r="O236" t="s">
        <v>37</v>
      </c>
      <c r="P236" s="3">
        <v>0.08</v>
      </c>
      <c r="Q236" s="2">
        <v>268.21199999999999</v>
      </c>
      <c r="R236">
        <v>4</v>
      </c>
      <c r="S236" t="str">
        <f t="shared" si="3"/>
        <v>Maio</v>
      </c>
    </row>
    <row r="237" spans="1:19">
      <c r="A237">
        <v>236</v>
      </c>
      <c r="B237" s="1">
        <v>43964</v>
      </c>
      <c r="C237">
        <v>29</v>
      </c>
      <c r="D237" t="s">
        <v>98</v>
      </c>
      <c r="E237" t="s">
        <v>50</v>
      </c>
      <c r="F237">
        <v>17</v>
      </c>
      <c r="G237" s="2">
        <v>100</v>
      </c>
      <c r="H237" s="2">
        <v>1700</v>
      </c>
      <c r="I237" s="4">
        <v>0.11</v>
      </c>
      <c r="J237" s="2">
        <v>1513</v>
      </c>
      <c r="K237" s="1">
        <v>43964</v>
      </c>
      <c r="L237" s="1">
        <v>43964</v>
      </c>
      <c r="M237">
        <v>236</v>
      </c>
      <c r="N237">
        <v>1</v>
      </c>
      <c r="O237" t="s">
        <v>52</v>
      </c>
      <c r="P237" s="3">
        <v>7.0000000000000007E-2</v>
      </c>
      <c r="Q237" s="2">
        <v>105.91000000000001</v>
      </c>
      <c r="R237">
        <v>5</v>
      </c>
      <c r="S237" t="str">
        <f t="shared" si="3"/>
        <v>Maio</v>
      </c>
    </row>
    <row r="238" spans="1:19">
      <c r="A238">
        <v>237</v>
      </c>
      <c r="B238" s="1">
        <v>43964</v>
      </c>
      <c r="C238">
        <v>11</v>
      </c>
      <c r="D238" t="s">
        <v>60</v>
      </c>
      <c r="E238" t="s">
        <v>28</v>
      </c>
      <c r="F238">
        <v>40</v>
      </c>
      <c r="G238" s="2">
        <v>116</v>
      </c>
      <c r="H238" s="2">
        <v>4640</v>
      </c>
      <c r="I238" s="4">
        <v>0.02</v>
      </c>
      <c r="J238" s="2">
        <v>4547.2</v>
      </c>
      <c r="K238" s="1">
        <v>43973</v>
      </c>
      <c r="L238" s="1">
        <v>43973</v>
      </c>
      <c r="M238">
        <v>237</v>
      </c>
      <c r="N238">
        <v>6</v>
      </c>
      <c r="O238" t="s">
        <v>32</v>
      </c>
      <c r="P238" s="3">
        <v>0.05</v>
      </c>
      <c r="Q238" s="2">
        <v>227.36</v>
      </c>
      <c r="R238">
        <v>6</v>
      </c>
      <c r="S238" t="str">
        <f t="shared" si="3"/>
        <v>Maio</v>
      </c>
    </row>
    <row r="239" spans="1:19">
      <c r="A239">
        <v>238</v>
      </c>
      <c r="B239" s="1">
        <v>43964</v>
      </c>
      <c r="C239">
        <v>66</v>
      </c>
      <c r="D239" t="s">
        <v>30</v>
      </c>
      <c r="E239" t="s">
        <v>24</v>
      </c>
      <c r="F239">
        <v>46</v>
      </c>
      <c r="G239" s="2">
        <v>113</v>
      </c>
      <c r="H239" s="2">
        <v>5198</v>
      </c>
      <c r="I239" s="4">
        <v>0.01</v>
      </c>
      <c r="J239" s="2">
        <v>5146.0200000000004</v>
      </c>
      <c r="K239" s="1">
        <v>43974</v>
      </c>
      <c r="L239" s="1">
        <v>43974</v>
      </c>
      <c r="M239">
        <v>238</v>
      </c>
      <c r="N239">
        <v>7</v>
      </c>
      <c r="O239" t="s">
        <v>29</v>
      </c>
      <c r="P239" s="3">
        <v>7.0000000000000007E-2</v>
      </c>
      <c r="Q239" s="2">
        <v>360.22140000000007</v>
      </c>
      <c r="R239">
        <v>7</v>
      </c>
      <c r="S239" t="str">
        <f t="shared" si="3"/>
        <v>Maio</v>
      </c>
    </row>
    <row r="240" spans="1:19">
      <c r="A240">
        <v>239</v>
      </c>
      <c r="B240" s="1">
        <v>43965</v>
      </c>
      <c r="C240">
        <v>17</v>
      </c>
      <c r="D240" t="s">
        <v>67</v>
      </c>
      <c r="E240" t="s">
        <v>55</v>
      </c>
      <c r="F240">
        <v>31</v>
      </c>
      <c r="G240" s="2">
        <v>96</v>
      </c>
      <c r="H240" s="2">
        <v>2976</v>
      </c>
      <c r="I240" s="4">
        <v>0.11</v>
      </c>
      <c r="J240" s="2">
        <v>2648.64</v>
      </c>
      <c r="K240" s="1">
        <v>43987</v>
      </c>
      <c r="L240" s="1">
        <v>43987</v>
      </c>
      <c r="M240">
        <v>239</v>
      </c>
      <c r="N240">
        <v>4</v>
      </c>
      <c r="O240" t="s">
        <v>32</v>
      </c>
      <c r="P240" s="3">
        <v>0.1</v>
      </c>
      <c r="Q240" s="2">
        <v>264.86399999999998</v>
      </c>
      <c r="R240">
        <v>1</v>
      </c>
      <c r="S240" t="str">
        <f t="shared" si="3"/>
        <v>Maio</v>
      </c>
    </row>
    <row r="241" spans="1:19">
      <c r="A241">
        <v>240</v>
      </c>
      <c r="B241" s="1">
        <v>43965</v>
      </c>
      <c r="C241">
        <v>12</v>
      </c>
      <c r="D241" t="s">
        <v>45</v>
      </c>
      <c r="E241" t="s">
        <v>50</v>
      </c>
      <c r="F241">
        <v>45</v>
      </c>
      <c r="G241" s="2">
        <v>119</v>
      </c>
      <c r="H241" s="2">
        <v>5355</v>
      </c>
      <c r="I241" s="4">
        <v>0.05</v>
      </c>
      <c r="J241" s="2">
        <v>5087.25</v>
      </c>
      <c r="K241" s="1">
        <v>43982</v>
      </c>
      <c r="L241" s="1">
        <v>43982</v>
      </c>
      <c r="M241">
        <v>240</v>
      </c>
      <c r="N241">
        <v>7</v>
      </c>
      <c r="O241" t="s">
        <v>47</v>
      </c>
      <c r="P241" s="3">
        <v>0.05</v>
      </c>
      <c r="Q241" s="2">
        <v>254.36250000000001</v>
      </c>
      <c r="R241">
        <v>2</v>
      </c>
      <c r="S241" t="str">
        <f t="shared" si="3"/>
        <v>Maio</v>
      </c>
    </row>
    <row r="242" spans="1:19">
      <c r="A242">
        <v>241</v>
      </c>
      <c r="B242" s="1">
        <v>43965</v>
      </c>
      <c r="C242">
        <v>94</v>
      </c>
      <c r="D242" t="s">
        <v>49</v>
      </c>
      <c r="E242" t="s">
        <v>31</v>
      </c>
      <c r="F242">
        <v>41</v>
      </c>
      <c r="G242" s="2">
        <v>91</v>
      </c>
      <c r="H242" s="2">
        <v>3731</v>
      </c>
      <c r="I242" s="4">
        <v>0.11</v>
      </c>
      <c r="J242" s="2">
        <v>3320.59</v>
      </c>
      <c r="K242" s="1">
        <v>43983</v>
      </c>
      <c r="L242" s="1">
        <v>43983</v>
      </c>
      <c r="M242">
        <v>241</v>
      </c>
      <c r="N242">
        <v>5</v>
      </c>
      <c r="O242" t="s">
        <v>29</v>
      </c>
      <c r="P242" s="3">
        <v>0.05</v>
      </c>
      <c r="Q242" s="2">
        <v>166.02950000000001</v>
      </c>
      <c r="R242">
        <v>3</v>
      </c>
      <c r="S242" t="str">
        <f t="shared" si="3"/>
        <v>Maio</v>
      </c>
    </row>
    <row r="243" spans="1:19">
      <c r="A243">
        <v>242</v>
      </c>
      <c r="B243" s="1">
        <v>43966</v>
      </c>
      <c r="C243">
        <v>60</v>
      </c>
      <c r="D243" t="s">
        <v>82</v>
      </c>
      <c r="E243" t="s">
        <v>54</v>
      </c>
      <c r="F243">
        <v>21</v>
      </c>
      <c r="G243" s="2">
        <v>107</v>
      </c>
      <c r="H243" s="2">
        <v>2247</v>
      </c>
      <c r="I243" s="4">
        <v>0.09</v>
      </c>
      <c r="J243" s="2">
        <v>2044.77</v>
      </c>
      <c r="K243" s="1">
        <v>43989</v>
      </c>
      <c r="L243" s="1">
        <v>43989</v>
      </c>
      <c r="M243">
        <v>242</v>
      </c>
      <c r="N243">
        <v>7</v>
      </c>
      <c r="O243" t="s">
        <v>69</v>
      </c>
      <c r="P243" s="3">
        <v>0.1</v>
      </c>
      <c r="Q243" s="2">
        <v>204.477</v>
      </c>
      <c r="R243">
        <v>4</v>
      </c>
      <c r="S243" t="str">
        <f t="shared" si="3"/>
        <v>Maio</v>
      </c>
    </row>
    <row r="244" spans="1:19">
      <c r="A244">
        <v>243</v>
      </c>
      <c r="B244" s="1">
        <v>43966</v>
      </c>
      <c r="C244">
        <v>70</v>
      </c>
      <c r="D244" t="s">
        <v>67</v>
      </c>
      <c r="E244" t="s">
        <v>54</v>
      </c>
      <c r="F244">
        <v>50</v>
      </c>
      <c r="G244" s="2">
        <v>98</v>
      </c>
      <c r="H244" s="2">
        <v>4900</v>
      </c>
      <c r="I244" s="4">
        <v>0.13</v>
      </c>
      <c r="J244" s="2">
        <v>4263</v>
      </c>
      <c r="K244" s="1">
        <v>43978</v>
      </c>
      <c r="L244" s="1">
        <v>43978</v>
      </c>
      <c r="M244">
        <v>243</v>
      </c>
      <c r="N244">
        <v>3</v>
      </c>
      <c r="O244" t="s">
        <v>22</v>
      </c>
      <c r="P244" s="3">
        <v>0.1</v>
      </c>
      <c r="Q244" s="2">
        <v>426.3</v>
      </c>
      <c r="R244">
        <v>5</v>
      </c>
      <c r="S244" t="str">
        <f t="shared" si="3"/>
        <v>Maio</v>
      </c>
    </row>
    <row r="245" spans="1:19">
      <c r="A245">
        <v>244</v>
      </c>
      <c r="B245" s="1">
        <v>43966</v>
      </c>
      <c r="C245">
        <v>41</v>
      </c>
      <c r="D245" t="s">
        <v>68</v>
      </c>
      <c r="E245" t="s">
        <v>31</v>
      </c>
      <c r="F245">
        <v>16</v>
      </c>
      <c r="G245" s="2">
        <v>107</v>
      </c>
      <c r="H245" s="2">
        <v>1712</v>
      </c>
      <c r="I245" s="4">
        <v>0.04</v>
      </c>
      <c r="J245" s="2">
        <v>1643.52</v>
      </c>
      <c r="K245" s="1">
        <v>43988</v>
      </c>
      <c r="L245" s="1">
        <v>43988</v>
      </c>
      <c r="M245">
        <v>244</v>
      </c>
      <c r="N245">
        <v>4</v>
      </c>
      <c r="O245" t="s">
        <v>47</v>
      </c>
      <c r="P245" s="3">
        <v>0.08</v>
      </c>
      <c r="Q245" s="2">
        <v>131.48160000000001</v>
      </c>
      <c r="R245">
        <v>6</v>
      </c>
      <c r="S245" t="str">
        <f t="shared" si="3"/>
        <v>Maio</v>
      </c>
    </row>
    <row r="246" spans="1:19">
      <c r="A246">
        <v>245</v>
      </c>
      <c r="B246" s="1">
        <v>43967</v>
      </c>
      <c r="C246">
        <v>46</v>
      </c>
      <c r="D246" t="s">
        <v>94</v>
      </c>
      <c r="E246" t="s">
        <v>24</v>
      </c>
      <c r="F246">
        <v>38</v>
      </c>
      <c r="G246" s="2">
        <v>113</v>
      </c>
      <c r="H246" s="2">
        <v>4294</v>
      </c>
      <c r="I246" s="4">
        <v>0.11</v>
      </c>
      <c r="J246" s="2">
        <v>3821.66</v>
      </c>
      <c r="K246" s="1">
        <v>43970</v>
      </c>
      <c r="L246" s="1">
        <v>43970</v>
      </c>
      <c r="M246">
        <v>245</v>
      </c>
      <c r="N246">
        <v>6</v>
      </c>
      <c r="O246" t="s">
        <v>32</v>
      </c>
      <c r="P246" s="3">
        <v>0.05</v>
      </c>
      <c r="Q246" s="2">
        <v>191.083</v>
      </c>
      <c r="R246">
        <v>7</v>
      </c>
      <c r="S246" t="str">
        <f t="shared" si="3"/>
        <v>Maio</v>
      </c>
    </row>
    <row r="247" spans="1:19">
      <c r="A247">
        <v>246</v>
      </c>
      <c r="B247" s="1">
        <v>43967</v>
      </c>
      <c r="C247">
        <v>61</v>
      </c>
      <c r="D247" t="s">
        <v>56</v>
      </c>
      <c r="E247" t="s">
        <v>46</v>
      </c>
      <c r="F247">
        <v>32</v>
      </c>
      <c r="G247" s="2">
        <v>98</v>
      </c>
      <c r="H247" s="2">
        <v>3136</v>
      </c>
      <c r="I247" s="4">
        <v>0.13</v>
      </c>
      <c r="J247" s="2">
        <v>2728.32</v>
      </c>
      <c r="K247" s="1">
        <v>43976</v>
      </c>
      <c r="L247" s="1">
        <v>43976</v>
      </c>
      <c r="M247">
        <v>246</v>
      </c>
      <c r="N247">
        <v>7</v>
      </c>
      <c r="O247" t="s">
        <v>25</v>
      </c>
      <c r="P247" s="3">
        <v>7.0000000000000007E-2</v>
      </c>
      <c r="Q247" s="2">
        <v>190.98240000000004</v>
      </c>
      <c r="R247">
        <v>1</v>
      </c>
      <c r="S247" t="str">
        <f t="shared" si="3"/>
        <v>Maio</v>
      </c>
    </row>
    <row r="248" spans="1:19">
      <c r="A248">
        <v>247</v>
      </c>
      <c r="B248" s="1">
        <v>43968</v>
      </c>
      <c r="C248">
        <v>14</v>
      </c>
      <c r="D248" t="s">
        <v>27</v>
      </c>
      <c r="E248" t="s">
        <v>59</v>
      </c>
      <c r="F248">
        <v>11</v>
      </c>
      <c r="G248" s="2">
        <v>100</v>
      </c>
      <c r="H248" s="2">
        <v>1100</v>
      </c>
      <c r="I248" s="4">
        <v>0.12</v>
      </c>
      <c r="J248" s="2">
        <v>968</v>
      </c>
      <c r="K248" s="1">
        <v>43991</v>
      </c>
      <c r="L248" s="1">
        <v>43991</v>
      </c>
      <c r="M248">
        <v>247</v>
      </c>
      <c r="N248">
        <v>4</v>
      </c>
      <c r="O248" t="s">
        <v>25</v>
      </c>
      <c r="P248" s="3">
        <v>0.09</v>
      </c>
      <c r="Q248" s="2">
        <v>87.11999999999999</v>
      </c>
      <c r="R248">
        <v>2</v>
      </c>
      <c r="S248" t="str">
        <f t="shared" si="3"/>
        <v>Maio</v>
      </c>
    </row>
    <row r="249" spans="1:19">
      <c r="A249">
        <v>248</v>
      </c>
      <c r="B249" s="1">
        <v>43968</v>
      </c>
      <c r="C249">
        <v>77</v>
      </c>
      <c r="D249" t="s">
        <v>65</v>
      </c>
      <c r="E249" t="s">
        <v>54</v>
      </c>
      <c r="F249">
        <v>33</v>
      </c>
      <c r="G249" s="2">
        <v>117</v>
      </c>
      <c r="H249" s="2">
        <v>3861</v>
      </c>
      <c r="I249" s="4">
        <v>0.04</v>
      </c>
      <c r="J249" s="2">
        <v>3706.56</v>
      </c>
      <c r="K249" s="1">
        <v>43996</v>
      </c>
      <c r="L249" s="1">
        <v>43996</v>
      </c>
      <c r="M249">
        <v>248</v>
      </c>
      <c r="N249">
        <v>7</v>
      </c>
      <c r="O249" t="s">
        <v>34</v>
      </c>
      <c r="P249" s="3">
        <v>0.05</v>
      </c>
      <c r="Q249" s="2">
        <v>185.328</v>
      </c>
      <c r="R249">
        <v>3</v>
      </c>
      <c r="S249" t="str">
        <f t="shared" si="3"/>
        <v>Maio</v>
      </c>
    </row>
    <row r="250" spans="1:19">
      <c r="A250">
        <v>249</v>
      </c>
      <c r="B250" s="1">
        <v>43970</v>
      </c>
      <c r="C250">
        <v>69</v>
      </c>
      <c r="D250" t="s">
        <v>67</v>
      </c>
      <c r="E250" t="s">
        <v>31</v>
      </c>
      <c r="F250">
        <v>37</v>
      </c>
      <c r="G250" s="2">
        <v>102</v>
      </c>
      <c r="H250" s="2">
        <v>3774</v>
      </c>
      <c r="I250" s="4">
        <v>0.13</v>
      </c>
      <c r="J250" s="2">
        <v>3283.38</v>
      </c>
      <c r="K250" s="1">
        <v>43972</v>
      </c>
      <c r="L250" s="1">
        <v>43972</v>
      </c>
      <c r="M250">
        <v>249</v>
      </c>
      <c r="N250">
        <v>1</v>
      </c>
      <c r="O250" t="s">
        <v>37</v>
      </c>
      <c r="P250" s="3">
        <v>0.05</v>
      </c>
      <c r="Q250" s="2">
        <v>164.16900000000001</v>
      </c>
      <c r="R250">
        <v>4</v>
      </c>
      <c r="S250" t="str">
        <f t="shared" si="3"/>
        <v>Maio</v>
      </c>
    </row>
    <row r="251" spans="1:19">
      <c r="A251">
        <v>250</v>
      </c>
      <c r="B251" s="1">
        <v>43970</v>
      </c>
      <c r="C251">
        <v>36</v>
      </c>
      <c r="D251" t="s">
        <v>70</v>
      </c>
      <c r="E251" t="s">
        <v>31</v>
      </c>
      <c r="F251">
        <v>25</v>
      </c>
      <c r="G251" s="2">
        <v>109</v>
      </c>
      <c r="H251" s="2">
        <v>2725</v>
      </c>
      <c r="I251" s="4">
        <v>0.1</v>
      </c>
      <c r="J251" s="2">
        <v>2452.5</v>
      </c>
      <c r="K251" s="1">
        <v>43997</v>
      </c>
      <c r="L251" s="1">
        <v>43997</v>
      </c>
      <c r="M251">
        <v>250</v>
      </c>
      <c r="N251">
        <v>7</v>
      </c>
      <c r="O251" t="s">
        <v>52</v>
      </c>
      <c r="P251" s="3">
        <v>7.0000000000000007E-2</v>
      </c>
      <c r="Q251" s="2">
        <v>171.67500000000001</v>
      </c>
      <c r="R251">
        <v>5</v>
      </c>
      <c r="S251" t="str">
        <f t="shared" si="3"/>
        <v>Maio</v>
      </c>
    </row>
    <row r="252" spans="1:19">
      <c r="A252">
        <v>251</v>
      </c>
      <c r="B252" s="1">
        <v>43970</v>
      </c>
      <c r="C252">
        <v>61</v>
      </c>
      <c r="D252" t="s">
        <v>56</v>
      </c>
      <c r="E252" t="s">
        <v>28</v>
      </c>
      <c r="F252">
        <v>25</v>
      </c>
      <c r="G252" s="2">
        <v>114</v>
      </c>
      <c r="H252" s="2">
        <v>2850</v>
      </c>
      <c r="I252" s="4">
        <v>0.12</v>
      </c>
      <c r="J252" s="2">
        <v>2508</v>
      </c>
      <c r="K252" s="1">
        <v>43971</v>
      </c>
      <c r="L252" s="1">
        <v>43971</v>
      </c>
      <c r="M252">
        <v>251</v>
      </c>
      <c r="N252">
        <v>5</v>
      </c>
      <c r="O252" t="s">
        <v>34</v>
      </c>
      <c r="P252" s="3">
        <v>0.08</v>
      </c>
      <c r="Q252" s="2">
        <v>200.64000000000001</v>
      </c>
      <c r="R252">
        <v>6</v>
      </c>
      <c r="S252" t="str">
        <f t="shared" si="3"/>
        <v>Maio</v>
      </c>
    </row>
    <row r="253" spans="1:19">
      <c r="A253">
        <v>252</v>
      </c>
      <c r="B253" s="1">
        <v>43970</v>
      </c>
      <c r="C253">
        <v>24</v>
      </c>
      <c r="D253" t="s">
        <v>74</v>
      </c>
      <c r="E253" t="s">
        <v>59</v>
      </c>
      <c r="F253">
        <v>36</v>
      </c>
      <c r="G253" s="2">
        <v>103</v>
      </c>
      <c r="H253" s="2">
        <v>3708</v>
      </c>
      <c r="I253" s="4">
        <v>0</v>
      </c>
      <c r="J253" s="2">
        <v>3708</v>
      </c>
      <c r="K253" s="1">
        <v>43972</v>
      </c>
      <c r="L253" s="1">
        <v>43972</v>
      </c>
      <c r="M253">
        <v>252</v>
      </c>
      <c r="N253">
        <v>7</v>
      </c>
      <c r="O253" t="s">
        <v>47</v>
      </c>
      <c r="P253" s="3">
        <v>7.0000000000000007E-2</v>
      </c>
      <c r="Q253" s="2">
        <v>259.56</v>
      </c>
      <c r="R253">
        <v>7</v>
      </c>
      <c r="S253" t="str">
        <f t="shared" si="3"/>
        <v>Maio</v>
      </c>
    </row>
    <row r="254" spans="1:19">
      <c r="A254">
        <v>253</v>
      </c>
      <c r="B254" s="1">
        <v>43971</v>
      </c>
      <c r="C254">
        <v>72</v>
      </c>
      <c r="D254" t="s">
        <v>38</v>
      </c>
      <c r="E254" t="s">
        <v>41</v>
      </c>
      <c r="F254">
        <v>35</v>
      </c>
      <c r="G254" s="2">
        <v>120</v>
      </c>
      <c r="H254" s="2">
        <v>4200</v>
      </c>
      <c r="I254" s="4">
        <v>0.15</v>
      </c>
      <c r="J254" s="2">
        <v>3570</v>
      </c>
      <c r="K254" s="1">
        <v>43999</v>
      </c>
      <c r="L254" s="1">
        <v>43999</v>
      </c>
      <c r="M254">
        <v>253</v>
      </c>
      <c r="N254">
        <v>7</v>
      </c>
      <c r="O254" t="s">
        <v>69</v>
      </c>
      <c r="P254" s="3">
        <v>7.0000000000000007E-2</v>
      </c>
      <c r="Q254" s="2">
        <v>249.90000000000003</v>
      </c>
      <c r="R254">
        <v>1</v>
      </c>
      <c r="S254" t="str">
        <f t="shared" si="3"/>
        <v>Maio</v>
      </c>
    </row>
    <row r="255" spans="1:19">
      <c r="A255">
        <v>254</v>
      </c>
      <c r="B255" s="1">
        <v>43971</v>
      </c>
      <c r="C255">
        <v>30</v>
      </c>
      <c r="D255" t="s">
        <v>96</v>
      </c>
      <c r="E255" t="s">
        <v>28</v>
      </c>
      <c r="F255">
        <v>37</v>
      </c>
      <c r="G255" s="2">
        <v>115</v>
      </c>
      <c r="H255" s="2">
        <v>4255</v>
      </c>
      <c r="I255" s="4">
        <v>0.15</v>
      </c>
      <c r="J255" s="2">
        <v>3616.75</v>
      </c>
      <c r="K255" s="1">
        <v>43988</v>
      </c>
      <c r="L255" s="1">
        <v>43988</v>
      </c>
      <c r="M255">
        <v>254</v>
      </c>
      <c r="N255">
        <v>1</v>
      </c>
      <c r="O255" t="s">
        <v>29</v>
      </c>
      <c r="P255" s="3">
        <v>0.1</v>
      </c>
      <c r="Q255" s="2">
        <v>361.67500000000001</v>
      </c>
      <c r="R255">
        <v>2</v>
      </c>
      <c r="S255" t="str">
        <f t="shared" si="3"/>
        <v>Maio</v>
      </c>
    </row>
    <row r="256" spans="1:19">
      <c r="A256">
        <v>255</v>
      </c>
      <c r="B256" s="1">
        <v>43972</v>
      </c>
      <c r="C256">
        <v>43</v>
      </c>
      <c r="D256" t="s">
        <v>99</v>
      </c>
      <c r="E256" t="s">
        <v>28</v>
      </c>
      <c r="F256">
        <v>47</v>
      </c>
      <c r="G256" s="2">
        <v>98</v>
      </c>
      <c r="H256" s="2">
        <v>4606</v>
      </c>
      <c r="I256" s="4">
        <v>0.15</v>
      </c>
      <c r="J256" s="2">
        <v>3915.1</v>
      </c>
      <c r="K256" s="1">
        <v>43977</v>
      </c>
      <c r="L256" s="1">
        <v>43977</v>
      </c>
      <c r="M256">
        <v>255</v>
      </c>
      <c r="N256">
        <v>5</v>
      </c>
      <c r="O256" t="s">
        <v>34</v>
      </c>
      <c r="P256" s="3">
        <v>0.1</v>
      </c>
      <c r="Q256" s="2">
        <v>391.51</v>
      </c>
      <c r="R256">
        <v>3</v>
      </c>
      <c r="S256" t="str">
        <f t="shared" si="3"/>
        <v>Maio</v>
      </c>
    </row>
    <row r="257" spans="1:19">
      <c r="A257">
        <v>256</v>
      </c>
      <c r="B257" s="1">
        <v>43972</v>
      </c>
      <c r="C257">
        <v>46</v>
      </c>
      <c r="D257" t="s">
        <v>94</v>
      </c>
      <c r="E257" t="s">
        <v>50</v>
      </c>
      <c r="F257">
        <v>30</v>
      </c>
      <c r="G257" s="2">
        <v>114</v>
      </c>
      <c r="H257" s="2">
        <v>3420</v>
      </c>
      <c r="I257" s="4">
        <v>0.12</v>
      </c>
      <c r="J257" s="2">
        <v>3009.6</v>
      </c>
      <c r="K257" s="1">
        <v>43978</v>
      </c>
      <c r="L257" s="1">
        <v>43978</v>
      </c>
      <c r="M257">
        <v>256</v>
      </c>
      <c r="N257">
        <v>6</v>
      </c>
      <c r="O257" t="s">
        <v>52</v>
      </c>
      <c r="P257" s="3">
        <v>0.06</v>
      </c>
      <c r="Q257" s="2">
        <v>180.57599999999999</v>
      </c>
      <c r="R257">
        <v>4</v>
      </c>
      <c r="S257" t="str">
        <f t="shared" si="3"/>
        <v>Maio</v>
      </c>
    </row>
    <row r="258" spans="1:19">
      <c r="A258">
        <v>257</v>
      </c>
      <c r="B258" s="1">
        <v>43972</v>
      </c>
      <c r="C258">
        <v>31</v>
      </c>
      <c r="D258" t="s">
        <v>85</v>
      </c>
      <c r="E258" t="s">
        <v>31</v>
      </c>
      <c r="F258">
        <v>23</v>
      </c>
      <c r="G258" s="2">
        <v>95</v>
      </c>
      <c r="H258" s="2">
        <v>2185</v>
      </c>
      <c r="I258" s="4">
        <v>0.13</v>
      </c>
      <c r="J258" s="2">
        <v>1900.95</v>
      </c>
      <c r="K258" s="1">
        <v>43982</v>
      </c>
      <c r="L258" s="1">
        <v>43982</v>
      </c>
      <c r="M258">
        <v>257</v>
      </c>
      <c r="N258">
        <v>7</v>
      </c>
      <c r="O258" t="s">
        <v>25</v>
      </c>
      <c r="P258" s="3">
        <v>0.05</v>
      </c>
      <c r="Q258" s="2">
        <v>95.047500000000014</v>
      </c>
      <c r="R258">
        <v>5</v>
      </c>
      <c r="S258" t="str">
        <f t="shared" si="3"/>
        <v>Maio</v>
      </c>
    </row>
    <row r="259" spans="1:19">
      <c r="A259">
        <v>258</v>
      </c>
      <c r="B259" s="1">
        <v>43973</v>
      </c>
      <c r="C259">
        <v>53</v>
      </c>
      <c r="D259" t="s">
        <v>88</v>
      </c>
      <c r="E259" t="s">
        <v>50</v>
      </c>
      <c r="F259">
        <v>11</v>
      </c>
      <c r="G259" s="2">
        <v>92</v>
      </c>
      <c r="H259" s="2">
        <v>1012</v>
      </c>
      <c r="I259" s="4">
        <v>0.02</v>
      </c>
      <c r="J259" s="2">
        <v>991.76</v>
      </c>
      <c r="K259" s="1">
        <v>43978</v>
      </c>
      <c r="L259" s="1">
        <v>43978</v>
      </c>
      <c r="M259">
        <v>258</v>
      </c>
      <c r="N259">
        <v>5</v>
      </c>
      <c r="O259" t="s">
        <v>37</v>
      </c>
      <c r="P259" s="3">
        <v>0.08</v>
      </c>
      <c r="Q259" s="2">
        <v>79.340800000000002</v>
      </c>
      <c r="R259">
        <v>6</v>
      </c>
      <c r="S259" t="str">
        <f t="shared" ref="S259:S322" si="4">PROPER(TEXT(B259,"mmmm"))</f>
        <v>Maio</v>
      </c>
    </row>
    <row r="260" spans="1:19">
      <c r="A260">
        <v>259</v>
      </c>
      <c r="B260" s="1">
        <v>43974</v>
      </c>
      <c r="C260">
        <v>75</v>
      </c>
      <c r="D260" t="s">
        <v>38</v>
      </c>
      <c r="E260" t="s">
        <v>31</v>
      </c>
      <c r="F260">
        <v>30</v>
      </c>
      <c r="G260" s="2">
        <v>108</v>
      </c>
      <c r="H260" s="2">
        <v>3240</v>
      </c>
      <c r="I260" s="4">
        <v>0.15</v>
      </c>
      <c r="J260" s="2">
        <v>2754</v>
      </c>
      <c r="K260" s="1">
        <v>43993</v>
      </c>
      <c r="L260" s="1">
        <v>43993</v>
      </c>
      <c r="M260">
        <v>259</v>
      </c>
      <c r="N260">
        <v>6</v>
      </c>
      <c r="O260" t="s">
        <v>69</v>
      </c>
      <c r="P260" s="3">
        <v>0.1</v>
      </c>
      <c r="Q260" s="2">
        <v>275.40000000000003</v>
      </c>
      <c r="R260">
        <v>7</v>
      </c>
      <c r="S260" t="str">
        <f t="shared" si="4"/>
        <v>Maio</v>
      </c>
    </row>
    <row r="261" spans="1:19">
      <c r="A261">
        <v>260</v>
      </c>
      <c r="B261" s="1">
        <v>43974</v>
      </c>
      <c r="C261">
        <v>49</v>
      </c>
      <c r="D261" t="s">
        <v>38</v>
      </c>
      <c r="E261" t="s">
        <v>21</v>
      </c>
      <c r="F261">
        <v>45</v>
      </c>
      <c r="G261" s="2">
        <v>95</v>
      </c>
      <c r="H261" s="2">
        <v>4275</v>
      </c>
      <c r="I261" s="4">
        <v>0.01</v>
      </c>
      <c r="J261" s="2">
        <v>4232.25</v>
      </c>
      <c r="K261" s="1">
        <v>43987</v>
      </c>
      <c r="L261" s="1">
        <v>43987</v>
      </c>
      <c r="M261">
        <v>260</v>
      </c>
      <c r="N261">
        <v>3</v>
      </c>
      <c r="O261" t="s">
        <v>22</v>
      </c>
      <c r="P261" s="3">
        <v>7.0000000000000007E-2</v>
      </c>
      <c r="Q261" s="2">
        <v>296.25750000000005</v>
      </c>
      <c r="R261">
        <v>1</v>
      </c>
      <c r="S261" t="str">
        <f t="shared" si="4"/>
        <v>Maio</v>
      </c>
    </row>
    <row r="262" spans="1:19">
      <c r="A262">
        <v>261</v>
      </c>
      <c r="B262" s="1">
        <v>43974</v>
      </c>
      <c r="C262">
        <v>48</v>
      </c>
      <c r="D262" t="s">
        <v>61</v>
      </c>
      <c r="E262" t="s">
        <v>31</v>
      </c>
      <c r="F262">
        <v>17</v>
      </c>
      <c r="G262" s="2">
        <v>113</v>
      </c>
      <c r="H262" s="2">
        <v>1921</v>
      </c>
      <c r="I262" s="4">
        <v>0.09</v>
      </c>
      <c r="J262" s="2">
        <v>1748.1100000000001</v>
      </c>
      <c r="K262" s="1">
        <v>44000</v>
      </c>
      <c r="L262" s="1">
        <v>44000</v>
      </c>
      <c r="M262">
        <v>261</v>
      </c>
      <c r="N262">
        <v>2</v>
      </c>
      <c r="O262" t="s">
        <v>69</v>
      </c>
      <c r="P262" s="3">
        <v>7.0000000000000007E-2</v>
      </c>
      <c r="Q262" s="2">
        <v>122.36770000000001</v>
      </c>
      <c r="R262">
        <v>2</v>
      </c>
      <c r="S262" t="str">
        <f t="shared" si="4"/>
        <v>Maio</v>
      </c>
    </row>
    <row r="263" spans="1:19">
      <c r="A263">
        <v>262</v>
      </c>
      <c r="B263" s="1">
        <v>43974</v>
      </c>
      <c r="C263">
        <v>47</v>
      </c>
      <c r="D263" t="s">
        <v>40</v>
      </c>
      <c r="E263" t="s">
        <v>55</v>
      </c>
      <c r="F263">
        <v>25</v>
      </c>
      <c r="G263" s="2">
        <v>110</v>
      </c>
      <c r="H263" s="2">
        <v>2750</v>
      </c>
      <c r="I263" s="4">
        <v>0.04</v>
      </c>
      <c r="J263" s="2">
        <v>2640</v>
      </c>
      <c r="K263" s="1">
        <v>43980</v>
      </c>
      <c r="L263" s="1">
        <v>43980</v>
      </c>
      <c r="M263">
        <v>262</v>
      </c>
      <c r="N263">
        <v>5</v>
      </c>
      <c r="O263" t="s">
        <v>52</v>
      </c>
      <c r="P263" s="3">
        <v>0.09</v>
      </c>
      <c r="Q263" s="2">
        <v>237.6</v>
      </c>
      <c r="R263">
        <v>3</v>
      </c>
      <c r="S263" t="str">
        <f t="shared" si="4"/>
        <v>Maio</v>
      </c>
    </row>
    <row r="264" spans="1:19">
      <c r="A264">
        <v>263</v>
      </c>
      <c r="B264" s="1">
        <v>43975</v>
      </c>
      <c r="C264">
        <v>6</v>
      </c>
      <c r="D264" t="s">
        <v>88</v>
      </c>
      <c r="E264" t="s">
        <v>28</v>
      </c>
      <c r="F264">
        <v>21</v>
      </c>
      <c r="G264" s="2">
        <v>111</v>
      </c>
      <c r="H264" s="2">
        <v>2331</v>
      </c>
      <c r="I264" s="4">
        <v>0.06</v>
      </c>
      <c r="J264" s="2">
        <v>2191.14</v>
      </c>
      <c r="K264" s="1">
        <v>43992</v>
      </c>
      <c r="L264" s="1">
        <v>43992</v>
      </c>
      <c r="M264">
        <v>263</v>
      </c>
      <c r="N264">
        <v>1</v>
      </c>
      <c r="O264" t="s">
        <v>37</v>
      </c>
      <c r="P264" s="3">
        <v>0.06</v>
      </c>
      <c r="Q264" s="2">
        <v>131.46839999999997</v>
      </c>
      <c r="R264">
        <v>4</v>
      </c>
      <c r="S264" t="str">
        <f t="shared" si="4"/>
        <v>Maio</v>
      </c>
    </row>
    <row r="265" spans="1:19">
      <c r="A265">
        <v>264</v>
      </c>
      <c r="B265" s="1">
        <v>43975</v>
      </c>
      <c r="C265">
        <v>53</v>
      </c>
      <c r="D265" t="s">
        <v>88</v>
      </c>
      <c r="E265" t="s">
        <v>50</v>
      </c>
      <c r="F265">
        <v>26</v>
      </c>
      <c r="G265" s="2">
        <v>100</v>
      </c>
      <c r="H265" s="2">
        <v>2600</v>
      </c>
      <c r="I265" s="4">
        <v>0.15</v>
      </c>
      <c r="J265" s="2">
        <v>2210</v>
      </c>
      <c r="K265" s="1">
        <v>43985</v>
      </c>
      <c r="L265" s="1">
        <v>43985</v>
      </c>
      <c r="M265">
        <v>264</v>
      </c>
      <c r="N265">
        <v>2</v>
      </c>
      <c r="O265" t="s">
        <v>32</v>
      </c>
      <c r="P265" s="3">
        <v>7.0000000000000007E-2</v>
      </c>
      <c r="Q265" s="2">
        <v>154.70000000000002</v>
      </c>
      <c r="R265">
        <v>5</v>
      </c>
      <c r="S265" t="str">
        <f t="shared" si="4"/>
        <v>Maio</v>
      </c>
    </row>
    <row r="266" spans="1:19">
      <c r="A266">
        <v>265</v>
      </c>
      <c r="B266" s="1">
        <v>43975</v>
      </c>
      <c r="C266">
        <v>62</v>
      </c>
      <c r="D266" t="s">
        <v>38</v>
      </c>
      <c r="E266" t="s">
        <v>28</v>
      </c>
      <c r="F266">
        <v>39</v>
      </c>
      <c r="G266" s="2">
        <v>96</v>
      </c>
      <c r="H266" s="2">
        <v>3744</v>
      </c>
      <c r="I266" s="4">
        <v>0.08</v>
      </c>
      <c r="J266" s="2">
        <v>3444.48</v>
      </c>
      <c r="K266" s="1">
        <v>44004</v>
      </c>
      <c r="L266" s="1">
        <v>44004</v>
      </c>
      <c r="M266">
        <v>265</v>
      </c>
      <c r="N266">
        <v>7</v>
      </c>
      <c r="O266" t="s">
        <v>22</v>
      </c>
      <c r="P266" s="3">
        <v>0.1</v>
      </c>
      <c r="Q266" s="2">
        <v>344.44800000000004</v>
      </c>
      <c r="R266">
        <v>6</v>
      </c>
      <c r="S266" t="str">
        <f t="shared" si="4"/>
        <v>Maio</v>
      </c>
    </row>
    <row r="267" spans="1:19">
      <c r="A267">
        <v>266</v>
      </c>
      <c r="B267" s="1">
        <v>43975</v>
      </c>
      <c r="C267">
        <v>63</v>
      </c>
      <c r="D267" t="s">
        <v>80</v>
      </c>
      <c r="E267" t="s">
        <v>41</v>
      </c>
      <c r="F267">
        <v>25</v>
      </c>
      <c r="G267" s="2">
        <v>117</v>
      </c>
      <c r="H267" s="2">
        <v>2925</v>
      </c>
      <c r="I267" s="4">
        <v>0.14000000000000001</v>
      </c>
      <c r="J267" s="2">
        <v>2515.5</v>
      </c>
      <c r="K267" s="1">
        <v>43977</v>
      </c>
      <c r="L267" s="1">
        <v>43977</v>
      </c>
      <c r="M267">
        <v>266</v>
      </c>
      <c r="N267">
        <v>1</v>
      </c>
      <c r="O267" t="s">
        <v>29</v>
      </c>
      <c r="P267" s="3">
        <v>0.09</v>
      </c>
      <c r="Q267" s="2">
        <v>226.39499999999998</v>
      </c>
      <c r="R267">
        <v>7</v>
      </c>
      <c r="S267" t="str">
        <f t="shared" si="4"/>
        <v>Maio</v>
      </c>
    </row>
    <row r="268" spans="1:19">
      <c r="A268">
        <v>267</v>
      </c>
      <c r="B268" s="1">
        <v>43975</v>
      </c>
      <c r="C268">
        <v>61</v>
      </c>
      <c r="D268" t="s">
        <v>56</v>
      </c>
      <c r="E268" t="s">
        <v>28</v>
      </c>
      <c r="F268">
        <v>44</v>
      </c>
      <c r="G268" s="2">
        <v>106</v>
      </c>
      <c r="H268" s="2">
        <v>4664</v>
      </c>
      <c r="I268" s="4">
        <v>0.03</v>
      </c>
      <c r="J268" s="2">
        <v>4524.08</v>
      </c>
      <c r="K268" s="1">
        <v>43981</v>
      </c>
      <c r="L268" s="1">
        <v>43981</v>
      </c>
      <c r="M268">
        <v>267</v>
      </c>
      <c r="N268">
        <v>5</v>
      </c>
      <c r="O268" t="s">
        <v>22</v>
      </c>
      <c r="P268" s="3">
        <v>0.06</v>
      </c>
      <c r="Q268" s="2">
        <v>271.44479999999999</v>
      </c>
      <c r="R268">
        <v>1</v>
      </c>
      <c r="S268" t="str">
        <f t="shared" si="4"/>
        <v>Maio</v>
      </c>
    </row>
    <row r="269" spans="1:19">
      <c r="A269">
        <v>268</v>
      </c>
      <c r="B269" s="1">
        <v>43975</v>
      </c>
      <c r="C269">
        <v>6</v>
      </c>
      <c r="D269" t="s">
        <v>88</v>
      </c>
      <c r="E269" t="s">
        <v>28</v>
      </c>
      <c r="F269">
        <v>29</v>
      </c>
      <c r="G269" s="2">
        <v>100</v>
      </c>
      <c r="H269" s="2">
        <v>2900</v>
      </c>
      <c r="I269" s="4">
        <v>0.08</v>
      </c>
      <c r="J269" s="2">
        <v>2668</v>
      </c>
      <c r="K269" s="1">
        <v>43997</v>
      </c>
      <c r="L269" s="1">
        <v>43997</v>
      </c>
      <c r="M269">
        <v>268</v>
      </c>
      <c r="N269">
        <v>2</v>
      </c>
      <c r="O269" t="s">
        <v>37</v>
      </c>
      <c r="P269" s="3">
        <v>0.1</v>
      </c>
      <c r="Q269" s="2">
        <v>266.8</v>
      </c>
      <c r="R269">
        <v>2</v>
      </c>
      <c r="S269" t="str">
        <f t="shared" si="4"/>
        <v>Maio</v>
      </c>
    </row>
    <row r="270" spans="1:19">
      <c r="A270">
        <v>269</v>
      </c>
      <c r="B270" s="1">
        <v>43978</v>
      </c>
      <c r="C270">
        <v>28</v>
      </c>
      <c r="D270" t="s">
        <v>86</v>
      </c>
      <c r="E270" t="s">
        <v>59</v>
      </c>
      <c r="F270">
        <v>17</v>
      </c>
      <c r="G270" s="2">
        <v>93</v>
      </c>
      <c r="H270" s="2">
        <v>1581</v>
      </c>
      <c r="I270" s="4">
        <v>0</v>
      </c>
      <c r="J270" s="2">
        <v>1581</v>
      </c>
      <c r="K270" s="1">
        <v>44000</v>
      </c>
      <c r="L270" s="1">
        <v>44000</v>
      </c>
      <c r="M270">
        <v>269</v>
      </c>
      <c r="N270">
        <v>7</v>
      </c>
      <c r="O270" t="s">
        <v>34</v>
      </c>
      <c r="P270" s="3">
        <v>0.1</v>
      </c>
      <c r="Q270" s="2">
        <v>158.10000000000002</v>
      </c>
      <c r="R270">
        <v>3</v>
      </c>
      <c r="S270" t="str">
        <f t="shared" si="4"/>
        <v>Maio</v>
      </c>
    </row>
    <row r="271" spans="1:19">
      <c r="A271">
        <v>270</v>
      </c>
      <c r="B271" s="1">
        <v>43978</v>
      </c>
      <c r="C271">
        <v>35</v>
      </c>
      <c r="D271" t="s">
        <v>38</v>
      </c>
      <c r="E271" t="s">
        <v>50</v>
      </c>
      <c r="F271">
        <v>23</v>
      </c>
      <c r="G271" s="2">
        <v>96</v>
      </c>
      <c r="H271" s="2">
        <v>2208</v>
      </c>
      <c r="I271" s="4">
        <v>0.13</v>
      </c>
      <c r="J271" s="2">
        <v>1920.96</v>
      </c>
      <c r="K271" s="1">
        <v>44000</v>
      </c>
      <c r="L271" s="1">
        <v>44000</v>
      </c>
      <c r="M271">
        <v>270</v>
      </c>
      <c r="N271">
        <v>7</v>
      </c>
      <c r="O271" t="s">
        <v>69</v>
      </c>
      <c r="P271" s="3">
        <v>0.09</v>
      </c>
      <c r="Q271" s="2">
        <v>172.88640000000001</v>
      </c>
      <c r="R271">
        <v>4</v>
      </c>
      <c r="S271" t="str">
        <f t="shared" si="4"/>
        <v>Maio</v>
      </c>
    </row>
    <row r="272" spans="1:19">
      <c r="A272">
        <v>271</v>
      </c>
      <c r="B272" s="1">
        <v>43978</v>
      </c>
      <c r="C272">
        <v>98</v>
      </c>
      <c r="D272" t="s">
        <v>26</v>
      </c>
      <c r="E272" t="s">
        <v>31</v>
      </c>
      <c r="F272">
        <v>30</v>
      </c>
      <c r="G272" s="2">
        <v>108</v>
      </c>
      <c r="H272" s="2">
        <v>3240</v>
      </c>
      <c r="I272" s="4">
        <v>0.04</v>
      </c>
      <c r="J272" s="2">
        <v>3110.4</v>
      </c>
      <c r="K272" s="1">
        <v>43988</v>
      </c>
      <c r="L272" s="1">
        <v>43988</v>
      </c>
      <c r="M272">
        <v>271</v>
      </c>
      <c r="N272">
        <v>3</v>
      </c>
      <c r="O272" t="s">
        <v>25</v>
      </c>
      <c r="P272" s="3">
        <v>0.1</v>
      </c>
      <c r="Q272" s="2">
        <v>311.04000000000002</v>
      </c>
      <c r="R272">
        <v>5</v>
      </c>
      <c r="S272" t="str">
        <f t="shared" si="4"/>
        <v>Maio</v>
      </c>
    </row>
    <row r="273" spans="1:19">
      <c r="A273">
        <v>272</v>
      </c>
      <c r="B273" s="1">
        <v>43978</v>
      </c>
      <c r="C273">
        <v>77</v>
      </c>
      <c r="D273" t="s">
        <v>65</v>
      </c>
      <c r="E273" t="s">
        <v>31</v>
      </c>
      <c r="F273">
        <v>28</v>
      </c>
      <c r="G273" s="2">
        <v>97</v>
      </c>
      <c r="H273" s="2">
        <v>2716</v>
      </c>
      <c r="I273" s="4">
        <v>0.12</v>
      </c>
      <c r="J273" s="2">
        <v>2390.08</v>
      </c>
      <c r="K273" s="1">
        <v>43979</v>
      </c>
      <c r="L273" s="1">
        <v>43979</v>
      </c>
      <c r="M273">
        <v>272</v>
      </c>
      <c r="N273">
        <v>5</v>
      </c>
      <c r="O273" t="s">
        <v>43</v>
      </c>
      <c r="P273" s="3">
        <v>0.06</v>
      </c>
      <c r="Q273" s="2">
        <v>143.40479999999999</v>
      </c>
      <c r="R273">
        <v>6</v>
      </c>
      <c r="S273" t="str">
        <f t="shared" si="4"/>
        <v>Maio</v>
      </c>
    </row>
    <row r="274" spans="1:19">
      <c r="A274">
        <v>273</v>
      </c>
      <c r="B274" s="1">
        <v>43979</v>
      </c>
      <c r="C274">
        <v>73</v>
      </c>
      <c r="D274" t="s">
        <v>38</v>
      </c>
      <c r="E274" t="s">
        <v>21</v>
      </c>
      <c r="F274">
        <v>24</v>
      </c>
      <c r="G274" s="2">
        <v>102</v>
      </c>
      <c r="H274" s="2">
        <v>2448</v>
      </c>
      <c r="I274" s="4">
        <v>0.09</v>
      </c>
      <c r="J274" s="2">
        <v>2227.6799999999998</v>
      </c>
      <c r="K274" s="1">
        <v>44004</v>
      </c>
      <c r="L274" s="1">
        <v>44004</v>
      </c>
      <c r="M274">
        <v>273</v>
      </c>
      <c r="N274">
        <v>4</v>
      </c>
      <c r="O274" t="s">
        <v>25</v>
      </c>
      <c r="P274" s="3">
        <v>0.06</v>
      </c>
      <c r="Q274" s="2">
        <v>133.66079999999999</v>
      </c>
      <c r="R274">
        <v>7</v>
      </c>
      <c r="S274" t="str">
        <f t="shared" si="4"/>
        <v>Maio</v>
      </c>
    </row>
    <row r="275" spans="1:19">
      <c r="A275">
        <v>274</v>
      </c>
      <c r="B275" s="1">
        <v>43980</v>
      </c>
      <c r="C275">
        <v>94</v>
      </c>
      <c r="D275" t="s">
        <v>49</v>
      </c>
      <c r="E275" t="s">
        <v>31</v>
      </c>
      <c r="F275">
        <v>47</v>
      </c>
      <c r="G275" s="2">
        <v>110</v>
      </c>
      <c r="H275" s="2">
        <v>5170</v>
      </c>
      <c r="I275" s="4">
        <v>0.06</v>
      </c>
      <c r="J275" s="2">
        <v>4859.8</v>
      </c>
      <c r="K275" s="1">
        <v>43988</v>
      </c>
      <c r="L275" s="1">
        <v>43988</v>
      </c>
      <c r="M275">
        <v>274</v>
      </c>
      <c r="N275">
        <v>4</v>
      </c>
      <c r="O275" t="s">
        <v>37</v>
      </c>
      <c r="P275" s="3">
        <v>7.0000000000000007E-2</v>
      </c>
      <c r="Q275" s="2">
        <v>340.18600000000004</v>
      </c>
      <c r="R275">
        <v>1</v>
      </c>
      <c r="S275" t="str">
        <f t="shared" si="4"/>
        <v>Maio</v>
      </c>
    </row>
    <row r="276" spans="1:19">
      <c r="A276">
        <v>275</v>
      </c>
      <c r="B276" s="1">
        <v>43980</v>
      </c>
      <c r="C276">
        <v>42</v>
      </c>
      <c r="D276" t="s">
        <v>92</v>
      </c>
      <c r="E276" t="s">
        <v>46</v>
      </c>
      <c r="F276">
        <v>22</v>
      </c>
      <c r="G276" s="2">
        <v>119</v>
      </c>
      <c r="H276" s="2">
        <v>2618</v>
      </c>
      <c r="I276" s="4">
        <v>0.05</v>
      </c>
      <c r="J276" s="2">
        <v>2487.1</v>
      </c>
      <c r="K276" s="1">
        <v>44003</v>
      </c>
      <c r="L276" s="1">
        <v>44003</v>
      </c>
      <c r="M276">
        <v>275</v>
      </c>
      <c r="N276">
        <v>3</v>
      </c>
      <c r="O276" t="s">
        <v>22</v>
      </c>
      <c r="P276" s="3">
        <v>0.09</v>
      </c>
      <c r="Q276" s="2">
        <v>223.83899999999997</v>
      </c>
      <c r="R276">
        <v>2</v>
      </c>
      <c r="S276" t="str">
        <f t="shared" si="4"/>
        <v>Maio</v>
      </c>
    </row>
    <row r="277" spans="1:19">
      <c r="A277">
        <v>276</v>
      </c>
      <c r="B277" s="1">
        <v>43980</v>
      </c>
      <c r="C277">
        <v>1</v>
      </c>
      <c r="D277" t="s">
        <v>93</v>
      </c>
      <c r="E277" t="s">
        <v>54</v>
      </c>
      <c r="F277">
        <v>47</v>
      </c>
      <c r="G277" s="2">
        <v>99</v>
      </c>
      <c r="H277" s="2">
        <v>4653</v>
      </c>
      <c r="I277" s="4">
        <v>0.12</v>
      </c>
      <c r="J277" s="2">
        <v>4094.64</v>
      </c>
      <c r="K277" s="1">
        <v>43989</v>
      </c>
      <c r="L277" s="1">
        <v>43989</v>
      </c>
      <c r="M277">
        <v>276</v>
      </c>
      <c r="N277">
        <v>1</v>
      </c>
      <c r="O277" t="s">
        <v>43</v>
      </c>
      <c r="P277" s="3">
        <v>0.06</v>
      </c>
      <c r="Q277" s="2">
        <v>245.67839999999998</v>
      </c>
      <c r="R277">
        <v>3</v>
      </c>
      <c r="S277" t="str">
        <f t="shared" si="4"/>
        <v>Maio</v>
      </c>
    </row>
    <row r="278" spans="1:19">
      <c r="A278">
        <v>277</v>
      </c>
      <c r="B278" s="1">
        <v>43981</v>
      </c>
      <c r="C278">
        <v>63</v>
      </c>
      <c r="D278" t="s">
        <v>80</v>
      </c>
      <c r="E278" t="s">
        <v>24</v>
      </c>
      <c r="F278">
        <v>16</v>
      </c>
      <c r="G278" s="2">
        <v>92</v>
      </c>
      <c r="H278" s="2">
        <v>1472</v>
      </c>
      <c r="I278" s="4">
        <v>0.03</v>
      </c>
      <c r="J278" s="2">
        <v>1427.84</v>
      </c>
      <c r="K278" s="1">
        <v>44010</v>
      </c>
      <c r="L278" s="1">
        <v>44010</v>
      </c>
      <c r="M278">
        <v>277</v>
      </c>
      <c r="N278">
        <v>5</v>
      </c>
      <c r="O278" t="s">
        <v>37</v>
      </c>
      <c r="P278" s="3">
        <v>0.1</v>
      </c>
      <c r="Q278" s="2">
        <v>142.78399999999999</v>
      </c>
      <c r="R278">
        <v>4</v>
      </c>
      <c r="S278" t="str">
        <f t="shared" si="4"/>
        <v>Maio</v>
      </c>
    </row>
    <row r="279" spans="1:19">
      <c r="A279">
        <v>278</v>
      </c>
      <c r="B279" s="1">
        <v>43981</v>
      </c>
      <c r="C279">
        <v>37</v>
      </c>
      <c r="D279" t="s">
        <v>48</v>
      </c>
      <c r="E279" t="s">
        <v>24</v>
      </c>
      <c r="F279">
        <v>40</v>
      </c>
      <c r="G279" s="2">
        <v>97</v>
      </c>
      <c r="H279" s="2">
        <v>3880</v>
      </c>
      <c r="I279" s="4">
        <v>0.04</v>
      </c>
      <c r="J279" s="2">
        <v>3724.8</v>
      </c>
      <c r="K279" s="1">
        <v>43988</v>
      </c>
      <c r="L279" s="1">
        <v>43988</v>
      </c>
      <c r="M279">
        <v>278</v>
      </c>
      <c r="N279">
        <v>2</v>
      </c>
      <c r="O279" t="s">
        <v>32</v>
      </c>
      <c r="P279" s="3">
        <v>0.05</v>
      </c>
      <c r="Q279" s="2">
        <v>186.24</v>
      </c>
      <c r="R279">
        <v>5</v>
      </c>
      <c r="S279" t="str">
        <f t="shared" si="4"/>
        <v>Maio</v>
      </c>
    </row>
    <row r="280" spans="1:19">
      <c r="A280">
        <v>279</v>
      </c>
      <c r="B280" s="1">
        <v>43981</v>
      </c>
      <c r="C280">
        <v>10</v>
      </c>
      <c r="D280" t="s">
        <v>89</v>
      </c>
      <c r="E280" t="s">
        <v>59</v>
      </c>
      <c r="F280">
        <v>17</v>
      </c>
      <c r="G280" s="2">
        <v>118</v>
      </c>
      <c r="H280" s="2">
        <v>2006</v>
      </c>
      <c r="I280" s="4">
        <v>0.15</v>
      </c>
      <c r="J280" s="2">
        <v>1705.1</v>
      </c>
      <c r="K280" s="1">
        <v>43985</v>
      </c>
      <c r="L280" s="1">
        <v>43985</v>
      </c>
      <c r="M280">
        <v>279</v>
      </c>
      <c r="N280">
        <v>3</v>
      </c>
      <c r="O280" t="s">
        <v>52</v>
      </c>
      <c r="P280" s="3">
        <v>0.09</v>
      </c>
      <c r="Q280" s="2">
        <v>153.45899999999997</v>
      </c>
      <c r="R280">
        <v>6</v>
      </c>
      <c r="S280" t="str">
        <f t="shared" si="4"/>
        <v>Maio</v>
      </c>
    </row>
    <row r="281" spans="1:19">
      <c r="A281">
        <v>280</v>
      </c>
      <c r="B281" s="1">
        <v>43982</v>
      </c>
      <c r="C281">
        <v>4</v>
      </c>
      <c r="D281" t="s">
        <v>86</v>
      </c>
      <c r="E281" t="s">
        <v>31</v>
      </c>
      <c r="F281">
        <v>18</v>
      </c>
      <c r="G281" s="2">
        <v>104</v>
      </c>
      <c r="H281" s="2">
        <v>1872</v>
      </c>
      <c r="I281" s="4">
        <v>0.13</v>
      </c>
      <c r="J281" s="2">
        <v>1628.6399999999999</v>
      </c>
      <c r="K281" s="1">
        <v>44008</v>
      </c>
      <c r="L281" s="1">
        <v>44008</v>
      </c>
      <c r="M281">
        <v>280</v>
      </c>
      <c r="N281">
        <v>5</v>
      </c>
      <c r="O281" t="s">
        <v>43</v>
      </c>
      <c r="P281" s="3">
        <v>0.05</v>
      </c>
      <c r="Q281" s="2">
        <v>81.432000000000002</v>
      </c>
      <c r="R281">
        <v>7</v>
      </c>
      <c r="S281" t="str">
        <f t="shared" si="4"/>
        <v>Maio</v>
      </c>
    </row>
    <row r="282" spans="1:19">
      <c r="A282">
        <v>281</v>
      </c>
      <c r="B282" s="1">
        <v>43982</v>
      </c>
      <c r="C282">
        <v>59</v>
      </c>
      <c r="D282" t="s">
        <v>97</v>
      </c>
      <c r="E282" t="s">
        <v>31</v>
      </c>
      <c r="F282">
        <v>38</v>
      </c>
      <c r="G282" s="2">
        <v>110</v>
      </c>
      <c r="H282" s="2">
        <v>4180</v>
      </c>
      <c r="I282" s="4">
        <v>0.13</v>
      </c>
      <c r="J282" s="2">
        <v>3636.6</v>
      </c>
      <c r="K282" s="1">
        <v>43993</v>
      </c>
      <c r="L282" s="1">
        <v>43993</v>
      </c>
      <c r="M282">
        <v>281</v>
      </c>
      <c r="N282">
        <v>7</v>
      </c>
      <c r="O282" t="s">
        <v>69</v>
      </c>
      <c r="P282" s="3">
        <v>0.08</v>
      </c>
      <c r="Q282" s="2">
        <v>290.928</v>
      </c>
      <c r="R282">
        <v>1</v>
      </c>
      <c r="S282" t="str">
        <f t="shared" si="4"/>
        <v>Maio</v>
      </c>
    </row>
    <row r="283" spans="1:19">
      <c r="A283">
        <v>282</v>
      </c>
      <c r="B283" s="1">
        <v>43983</v>
      </c>
      <c r="C283">
        <v>55</v>
      </c>
      <c r="D283" t="s">
        <v>44</v>
      </c>
      <c r="E283" t="s">
        <v>55</v>
      </c>
      <c r="F283">
        <v>30</v>
      </c>
      <c r="G283" s="2">
        <v>108</v>
      </c>
      <c r="H283" s="2">
        <v>3240</v>
      </c>
      <c r="I283" s="4">
        <v>0</v>
      </c>
      <c r="J283" s="2">
        <v>3240</v>
      </c>
      <c r="K283" s="1">
        <v>43997</v>
      </c>
      <c r="L283" s="1">
        <v>43997</v>
      </c>
      <c r="M283">
        <v>282</v>
      </c>
      <c r="N283">
        <v>3</v>
      </c>
      <c r="O283" t="s">
        <v>37</v>
      </c>
      <c r="P283" s="3">
        <v>0.05</v>
      </c>
      <c r="Q283" s="2">
        <v>162</v>
      </c>
      <c r="R283">
        <v>2</v>
      </c>
      <c r="S283" t="str">
        <f t="shared" si="4"/>
        <v>Junho</v>
      </c>
    </row>
    <row r="284" spans="1:19">
      <c r="A284">
        <v>283</v>
      </c>
      <c r="B284" s="1">
        <v>43983</v>
      </c>
      <c r="C284">
        <v>18</v>
      </c>
      <c r="D284" t="s">
        <v>83</v>
      </c>
      <c r="E284" t="s">
        <v>28</v>
      </c>
      <c r="F284">
        <v>35</v>
      </c>
      <c r="G284" s="2">
        <v>102</v>
      </c>
      <c r="H284" s="2">
        <v>3570</v>
      </c>
      <c r="I284" s="4">
        <v>0.03</v>
      </c>
      <c r="J284" s="2">
        <v>3462.9</v>
      </c>
      <c r="K284" s="1">
        <v>44004</v>
      </c>
      <c r="L284" s="1">
        <v>44004</v>
      </c>
      <c r="M284">
        <v>283</v>
      </c>
      <c r="N284">
        <v>7</v>
      </c>
      <c r="O284" t="s">
        <v>69</v>
      </c>
      <c r="P284" s="3">
        <v>0.08</v>
      </c>
      <c r="Q284" s="2">
        <v>277.03200000000004</v>
      </c>
      <c r="R284">
        <v>3</v>
      </c>
      <c r="S284" t="str">
        <f t="shared" si="4"/>
        <v>Junho</v>
      </c>
    </row>
    <row r="285" spans="1:19">
      <c r="A285">
        <v>284</v>
      </c>
      <c r="B285" s="1">
        <v>43983</v>
      </c>
      <c r="C285">
        <v>98</v>
      </c>
      <c r="D285" t="s">
        <v>26</v>
      </c>
      <c r="E285" t="s">
        <v>46</v>
      </c>
      <c r="F285">
        <v>18</v>
      </c>
      <c r="G285" s="2">
        <v>94</v>
      </c>
      <c r="H285" s="2">
        <v>1692</v>
      </c>
      <c r="I285" s="4">
        <v>0.05</v>
      </c>
      <c r="J285" s="2">
        <v>1607.4</v>
      </c>
      <c r="K285" s="1">
        <v>43996</v>
      </c>
      <c r="L285" s="1">
        <v>43996</v>
      </c>
      <c r="M285">
        <v>284</v>
      </c>
      <c r="N285">
        <v>3</v>
      </c>
      <c r="O285" t="s">
        <v>29</v>
      </c>
      <c r="P285" s="3">
        <v>0.1</v>
      </c>
      <c r="Q285" s="2">
        <v>160.74</v>
      </c>
      <c r="R285">
        <v>4</v>
      </c>
      <c r="S285" t="str">
        <f t="shared" si="4"/>
        <v>Junho</v>
      </c>
    </row>
    <row r="286" spans="1:19">
      <c r="A286">
        <v>285</v>
      </c>
      <c r="B286" s="1">
        <v>43984</v>
      </c>
      <c r="C286">
        <v>83</v>
      </c>
      <c r="D286" t="s">
        <v>100</v>
      </c>
      <c r="E286" t="s">
        <v>28</v>
      </c>
      <c r="F286">
        <v>19</v>
      </c>
      <c r="G286" s="2">
        <v>117</v>
      </c>
      <c r="H286" s="2">
        <v>2223</v>
      </c>
      <c r="I286" s="4">
        <v>0.13</v>
      </c>
      <c r="J286" s="2">
        <v>1934.01</v>
      </c>
      <c r="K286" s="1">
        <v>43997</v>
      </c>
      <c r="L286" s="1">
        <v>43997</v>
      </c>
      <c r="M286">
        <v>285</v>
      </c>
      <c r="N286">
        <v>3</v>
      </c>
      <c r="O286" t="s">
        <v>22</v>
      </c>
      <c r="P286" s="3">
        <v>0.08</v>
      </c>
      <c r="Q286" s="2">
        <v>154.7208</v>
      </c>
      <c r="R286">
        <v>5</v>
      </c>
      <c r="S286" t="str">
        <f t="shared" si="4"/>
        <v>Junho</v>
      </c>
    </row>
    <row r="287" spans="1:19">
      <c r="A287">
        <v>286</v>
      </c>
      <c r="B287" s="1">
        <v>43986</v>
      </c>
      <c r="C287">
        <v>75</v>
      </c>
      <c r="D287" t="s">
        <v>38</v>
      </c>
      <c r="E287" t="s">
        <v>24</v>
      </c>
      <c r="F287">
        <v>17</v>
      </c>
      <c r="G287" s="2">
        <v>118</v>
      </c>
      <c r="H287" s="2">
        <v>2006</v>
      </c>
      <c r="I287" s="4">
        <v>0.04</v>
      </c>
      <c r="J287" s="2">
        <v>1925.76</v>
      </c>
      <c r="K287" s="1">
        <v>44013</v>
      </c>
      <c r="L287" s="1">
        <v>44013</v>
      </c>
      <c r="M287">
        <v>286</v>
      </c>
      <c r="N287">
        <v>7</v>
      </c>
      <c r="O287" t="s">
        <v>69</v>
      </c>
      <c r="P287" s="3">
        <v>7.0000000000000007E-2</v>
      </c>
      <c r="Q287" s="2">
        <v>134.8032</v>
      </c>
      <c r="R287">
        <v>6</v>
      </c>
      <c r="S287" t="str">
        <f t="shared" si="4"/>
        <v>Junho</v>
      </c>
    </row>
    <row r="288" spans="1:19">
      <c r="A288">
        <v>287</v>
      </c>
      <c r="B288" s="1">
        <v>43986</v>
      </c>
      <c r="C288">
        <v>70</v>
      </c>
      <c r="D288" t="s">
        <v>67</v>
      </c>
      <c r="E288" t="s">
        <v>21</v>
      </c>
      <c r="F288">
        <v>22</v>
      </c>
      <c r="G288" s="2">
        <v>115</v>
      </c>
      <c r="H288" s="2">
        <v>2530</v>
      </c>
      <c r="I288" s="4">
        <v>0.06</v>
      </c>
      <c r="J288" s="2">
        <v>2378.1999999999998</v>
      </c>
      <c r="K288" s="1">
        <v>44004</v>
      </c>
      <c r="L288" s="1">
        <v>44004</v>
      </c>
      <c r="M288">
        <v>287</v>
      </c>
      <c r="N288">
        <v>6</v>
      </c>
      <c r="O288" t="s">
        <v>29</v>
      </c>
      <c r="P288" s="3">
        <v>0.06</v>
      </c>
      <c r="Q288" s="2">
        <v>142.69199999999998</v>
      </c>
      <c r="R288">
        <v>7</v>
      </c>
      <c r="S288" t="str">
        <f t="shared" si="4"/>
        <v>Junho</v>
      </c>
    </row>
    <row r="289" spans="1:19">
      <c r="A289">
        <v>288</v>
      </c>
      <c r="B289" s="1">
        <v>43987</v>
      </c>
      <c r="C289">
        <v>48</v>
      </c>
      <c r="D289" t="s">
        <v>61</v>
      </c>
      <c r="E289" t="s">
        <v>31</v>
      </c>
      <c r="F289">
        <v>16</v>
      </c>
      <c r="G289" s="2">
        <v>112</v>
      </c>
      <c r="H289" s="2">
        <v>1792</v>
      </c>
      <c r="I289" s="4">
        <v>0.04</v>
      </c>
      <c r="J289" s="2">
        <v>1720.32</v>
      </c>
      <c r="K289" s="1">
        <v>44009</v>
      </c>
      <c r="L289" s="1">
        <v>44009</v>
      </c>
      <c r="M289">
        <v>288</v>
      </c>
      <c r="N289">
        <v>6</v>
      </c>
      <c r="O289" t="s">
        <v>37</v>
      </c>
      <c r="P289" s="3">
        <v>0.08</v>
      </c>
      <c r="Q289" s="2">
        <v>137.62559999999999</v>
      </c>
      <c r="R289">
        <v>1</v>
      </c>
      <c r="S289" t="str">
        <f t="shared" si="4"/>
        <v>Junho</v>
      </c>
    </row>
    <row r="290" spans="1:19">
      <c r="A290">
        <v>289</v>
      </c>
      <c r="B290" s="1">
        <v>43988</v>
      </c>
      <c r="C290">
        <v>25</v>
      </c>
      <c r="D290" t="s">
        <v>63</v>
      </c>
      <c r="E290" t="s">
        <v>59</v>
      </c>
      <c r="F290">
        <v>37</v>
      </c>
      <c r="G290" s="2">
        <v>99</v>
      </c>
      <c r="H290" s="2">
        <v>3663</v>
      </c>
      <c r="I290" s="4">
        <v>0.03</v>
      </c>
      <c r="J290" s="2">
        <v>3553.11</v>
      </c>
      <c r="K290" s="1">
        <v>44015</v>
      </c>
      <c r="L290" s="1">
        <v>44015</v>
      </c>
      <c r="M290">
        <v>289</v>
      </c>
      <c r="N290">
        <v>6</v>
      </c>
      <c r="O290" t="s">
        <v>69</v>
      </c>
      <c r="P290" s="3">
        <v>7.0000000000000007E-2</v>
      </c>
      <c r="Q290" s="2">
        <v>248.71770000000004</v>
      </c>
      <c r="R290">
        <v>2</v>
      </c>
      <c r="S290" t="str">
        <f t="shared" si="4"/>
        <v>Junho</v>
      </c>
    </row>
    <row r="291" spans="1:19">
      <c r="A291">
        <v>290</v>
      </c>
      <c r="B291" s="1">
        <v>43988</v>
      </c>
      <c r="C291">
        <v>62</v>
      </c>
      <c r="D291" t="s">
        <v>38</v>
      </c>
      <c r="E291" t="s">
        <v>21</v>
      </c>
      <c r="F291">
        <v>29</v>
      </c>
      <c r="G291" s="2">
        <v>120</v>
      </c>
      <c r="H291" s="2">
        <v>3480</v>
      </c>
      <c r="I291" s="4">
        <v>7.0000000000000007E-2</v>
      </c>
      <c r="J291" s="2">
        <v>3236.4</v>
      </c>
      <c r="K291" s="1">
        <v>43995</v>
      </c>
      <c r="L291" s="1">
        <v>43995</v>
      </c>
      <c r="M291">
        <v>290</v>
      </c>
      <c r="N291">
        <v>5</v>
      </c>
      <c r="O291" t="s">
        <v>34</v>
      </c>
      <c r="P291" s="3">
        <v>0.1</v>
      </c>
      <c r="Q291" s="2">
        <v>323.64000000000004</v>
      </c>
      <c r="R291">
        <v>3</v>
      </c>
      <c r="S291" t="str">
        <f t="shared" si="4"/>
        <v>Junho</v>
      </c>
    </row>
    <row r="292" spans="1:19">
      <c r="A292">
        <v>291</v>
      </c>
      <c r="B292" s="1">
        <v>43988</v>
      </c>
      <c r="C292">
        <v>89</v>
      </c>
      <c r="D292" t="s">
        <v>49</v>
      </c>
      <c r="E292" t="s">
        <v>55</v>
      </c>
      <c r="F292">
        <v>26</v>
      </c>
      <c r="G292" s="2">
        <v>105</v>
      </c>
      <c r="H292" s="2">
        <v>2730</v>
      </c>
      <c r="I292" s="4">
        <v>0.05</v>
      </c>
      <c r="J292" s="2">
        <v>2593.5</v>
      </c>
      <c r="K292" s="1">
        <v>44018</v>
      </c>
      <c r="M292">
        <v>291</v>
      </c>
      <c r="N292">
        <v>1</v>
      </c>
      <c r="O292" t="s">
        <v>25</v>
      </c>
      <c r="P292" s="3">
        <v>0.1</v>
      </c>
      <c r="Q292" s="2">
        <v>259.35000000000002</v>
      </c>
      <c r="R292">
        <v>4</v>
      </c>
      <c r="S292" t="str">
        <f t="shared" si="4"/>
        <v>Junho</v>
      </c>
    </row>
    <row r="293" spans="1:19">
      <c r="A293">
        <v>292</v>
      </c>
      <c r="B293" s="1">
        <v>43988</v>
      </c>
      <c r="C293">
        <v>16</v>
      </c>
      <c r="D293" t="s">
        <v>27</v>
      </c>
      <c r="E293" t="s">
        <v>28</v>
      </c>
      <c r="F293">
        <v>36</v>
      </c>
      <c r="G293" s="2">
        <v>119</v>
      </c>
      <c r="H293" s="2">
        <v>4284</v>
      </c>
      <c r="I293" s="4">
        <v>0.02</v>
      </c>
      <c r="J293" s="2">
        <v>4198.32</v>
      </c>
      <c r="K293" s="1">
        <v>44009</v>
      </c>
      <c r="L293" s="1">
        <v>44009</v>
      </c>
      <c r="M293">
        <v>292</v>
      </c>
      <c r="N293">
        <v>6</v>
      </c>
      <c r="O293" t="s">
        <v>43</v>
      </c>
      <c r="P293" s="3">
        <v>0.05</v>
      </c>
      <c r="Q293" s="2">
        <v>209.916</v>
      </c>
      <c r="R293">
        <v>5</v>
      </c>
      <c r="S293" t="str">
        <f t="shared" si="4"/>
        <v>Junho</v>
      </c>
    </row>
    <row r="294" spans="1:19">
      <c r="A294">
        <v>293</v>
      </c>
      <c r="B294" s="1">
        <v>43989</v>
      </c>
      <c r="C294">
        <v>85</v>
      </c>
      <c r="D294" t="s">
        <v>57</v>
      </c>
      <c r="E294" t="s">
        <v>50</v>
      </c>
      <c r="F294">
        <v>46</v>
      </c>
      <c r="G294" s="2">
        <v>117</v>
      </c>
      <c r="H294" s="2">
        <v>5382</v>
      </c>
      <c r="I294" s="4">
        <v>0.14000000000000001</v>
      </c>
      <c r="J294" s="2">
        <v>4628.5200000000004</v>
      </c>
      <c r="K294" s="1">
        <v>44010</v>
      </c>
      <c r="L294" s="1">
        <v>44010</v>
      </c>
      <c r="M294">
        <v>293</v>
      </c>
      <c r="N294">
        <v>1</v>
      </c>
      <c r="O294" t="s">
        <v>34</v>
      </c>
      <c r="P294" s="3">
        <v>0.05</v>
      </c>
      <c r="Q294" s="2">
        <v>231.42600000000004</v>
      </c>
      <c r="R294">
        <v>6</v>
      </c>
      <c r="S294" t="str">
        <f t="shared" si="4"/>
        <v>Junho</v>
      </c>
    </row>
    <row r="295" spans="1:19">
      <c r="A295">
        <v>294</v>
      </c>
      <c r="B295" s="1">
        <v>43989</v>
      </c>
      <c r="C295">
        <v>90</v>
      </c>
      <c r="D295" t="s">
        <v>60</v>
      </c>
      <c r="E295" t="s">
        <v>50</v>
      </c>
      <c r="F295">
        <v>29</v>
      </c>
      <c r="G295" s="2">
        <v>101</v>
      </c>
      <c r="H295" s="2">
        <v>2929</v>
      </c>
      <c r="I295" s="4">
        <v>0.11</v>
      </c>
      <c r="J295" s="2">
        <v>2606.81</v>
      </c>
      <c r="K295" s="1">
        <v>44018</v>
      </c>
      <c r="L295" s="1">
        <v>44018</v>
      </c>
      <c r="M295">
        <v>294</v>
      </c>
      <c r="N295">
        <v>3</v>
      </c>
      <c r="O295" t="s">
        <v>34</v>
      </c>
      <c r="P295" s="3">
        <v>7.0000000000000007E-2</v>
      </c>
      <c r="Q295" s="2">
        <v>182.47670000000002</v>
      </c>
      <c r="R295">
        <v>7</v>
      </c>
      <c r="S295" t="str">
        <f t="shared" si="4"/>
        <v>Junho</v>
      </c>
    </row>
    <row r="296" spans="1:19">
      <c r="A296">
        <v>295</v>
      </c>
      <c r="B296" s="1">
        <v>43991</v>
      </c>
      <c r="C296">
        <v>36</v>
      </c>
      <c r="D296" t="s">
        <v>70</v>
      </c>
      <c r="E296" t="s">
        <v>31</v>
      </c>
      <c r="F296">
        <v>18</v>
      </c>
      <c r="G296" s="2">
        <v>95</v>
      </c>
      <c r="H296" s="2">
        <v>1710</v>
      </c>
      <c r="I296" s="4">
        <v>0.12</v>
      </c>
      <c r="J296" s="2">
        <v>1504.8</v>
      </c>
      <c r="K296" s="1">
        <v>44016</v>
      </c>
      <c r="L296" s="1">
        <v>44016</v>
      </c>
      <c r="M296">
        <v>295</v>
      </c>
      <c r="N296">
        <v>6</v>
      </c>
      <c r="O296" t="s">
        <v>22</v>
      </c>
      <c r="P296" s="3">
        <v>0.1</v>
      </c>
      <c r="Q296" s="2">
        <v>150.47999999999999</v>
      </c>
      <c r="R296">
        <v>1</v>
      </c>
      <c r="S296" t="str">
        <f t="shared" si="4"/>
        <v>Junho</v>
      </c>
    </row>
    <row r="297" spans="1:19">
      <c r="A297">
        <v>296</v>
      </c>
      <c r="B297" s="1">
        <v>43992</v>
      </c>
      <c r="C297">
        <v>79</v>
      </c>
      <c r="D297" t="s">
        <v>33</v>
      </c>
      <c r="E297" t="s">
        <v>28</v>
      </c>
      <c r="F297">
        <v>41</v>
      </c>
      <c r="G297" s="2">
        <v>112</v>
      </c>
      <c r="H297" s="2">
        <v>4592</v>
      </c>
      <c r="I297" s="4">
        <v>0.1</v>
      </c>
      <c r="J297" s="2">
        <v>4132.8</v>
      </c>
      <c r="K297" s="1">
        <v>44019</v>
      </c>
      <c r="L297" s="1">
        <v>44019</v>
      </c>
      <c r="M297">
        <v>296</v>
      </c>
      <c r="N297">
        <v>1</v>
      </c>
      <c r="O297" t="s">
        <v>22</v>
      </c>
      <c r="P297" s="3">
        <v>0.1</v>
      </c>
      <c r="Q297" s="2">
        <v>413.28000000000003</v>
      </c>
      <c r="R297">
        <v>2</v>
      </c>
      <c r="S297" t="str">
        <f t="shared" si="4"/>
        <v>Junho</v>
      </c>
    </row>
    <row r="298" spans="1:19">
      <c r="A298">
        <v>297</v>
      </c>
      <c r="B298" s="1">
        <v>43992</v>
      </c>
      <c r="C298">
        <v>95</v>
      </c>
      <c r="D298" t="s">
        <v>38</v>
      </c>
      <c r="E298" t="s">
        <v>41</v>
      </c>
      <c r="F298">
        <v>37</v>
      </c>
      <c r="G298" s="2">
        <v>96</v>
      </c>
      <c r="H298" s="2">
        <v>3552</v>
      </c>
      <c r="I298" s="4">
        <v>0.1</v>
      </c>
      <c r="J298" s="2">
        <v>3196.8</v>
      </c>
      <c r="K298" s="1">
        <v>44004</v>
      </c>
      <c r="L298" s="1">
        <v>44004</v>
      </c>
      <c r="M298">
        <v>297</v>
      </c>
      <c r="N298">
        <v>7</v>
      </c>
      <c r="O298" t="s">
        <v>22</v>
      </c>
      <c r="P298" s="3">
        <v>0.06</v>
      </c>
      <c r="Q298" s="2">
        <v>191.80799999999999</v>
      </c>
      <c r="R298">
        <v>3</v>
      </c>
      <c r="S298" t="str">
        <f t="shared" si="4"/>
        <v>Junho</v>
      </c>
    </row>
    <row r="299" spans="1:19">
      <c r="A299">
        <v>298</v>
      </c>
      <c r="B299" s="1">
        <v>43992</v>
      </c>
      <c r="C299">
        <v>7</v>
      </c>
      <c r="D299" t="s">
        <v>102</v>
      </c>
      <c r="E299" t="s">
        <v>50</v>
      </c>
      <c r="F299">
        <v>12</v>
      </c>
      <c r="G299" s="2">
        <v>110</v>
      </c>
      <c r="H299" s="2">
        <v>1320</v>
      </c>
      <c r="I299" s="4">
        <v>0.1</v>
      </c>
      <c r="J299" s="2">
        <v>1188</v>
      </c>
      <c r="K299" s="1">
        <v>43996</v>
      </c>
      <c r="L299" s="1">
        <v>43996</v>
      </c>
      <c r="M299">
        <v>298</v>
      </c>
      <c r="N299">
        <v>6</v>
      </c>
      <c r="O299" t="s">
        <v>37</v>
      </c>
      <c r="P299" s="3">
        <v>7.0000000000000007E-2</v>
      </c>
      <c r="Q299" s="2">
        <v>83.160000000000011</v>
      </c>
      <c r="R299">
        <v>4</v>
      </c>
      <c r="S299" t="str">
        <f t="shared" si="4"/>
        <v>Junho</v>
      </c>
    </row>
    <row r="300" spans="1:19">
      <c r="A300">
        <v>299</v>
      </c>
      <c r="B300" s="1">
        <v>43993</v>
      </c>
      <c r="C300">
        <v>30</v>
      </c>
      <c r="D300" t="s">
        <v>96</v>
      </c>
      <c r="E300" t="s">
        <v>24</v>
      </c>
      <c r="F300">
        <v>17</v>
      </c>
      <c r="G300" s="2">
        <v>104</v>
      </c>
      <c r="H300" s="2">
        <v>1768</v>
      </c>
      <c r="I300" s="4">
        <v>0.09</v>
      </c>
      <c r="J300" s="2">
        <v>1608.88</v>
      </c>
      <c r="K300" s="1">
        <v>44021</v>
      </c>
      <c r="L300" s="1">
        <v>44021</v>
      </c>
      <c r="M300">
        <v>299</v>
      </c>
      <c r="N300">
        <v>5</v>
      </c>
      <c r="O300" t="s">
        <v>32</v>
      </c>
      <c r="P300" s="3">
        <v>0.05</v>
      </c>
      <c r="Q300" s="2">
        <v>80.444000000000017</v>
      </c>
      <c r="R300">
        <v>5</v>
      </c>
      <c r="S300" t="str">
        <f t="shared" si="4"/>
        <v>Junho</v>
      </c>
    </row>
    <row r="301" spans="1:19">
      <c r="A301">
        <v>300</v>
      </c>
      <c r="B301" s="1">
        <v>43993</v>
      </c>
      <c r="C301">
        <v>51</v>
      </c>
      <c r="D301" t="s">
        <v>53</v>
      </c>
      <c r="E301" t="s">
        <v>46</v>
      </c>
      <c r="F301">
        <v>45</v>
      </c>
      <c r="G301" s="2">
        <v>109</v>
      </c>
      <c r="H301" s="2">
        <v>4905</v>
      </c>
      <c r="I301" s="4">
        <v>0.1</v>
      </c>
      <c r="J301" s="2">
        <v>4414.5</v>
      </c>
      <c r="K301" s="1">
        <v>44000</v>
      </c>
      <c r="L301" s="1">
        <v>44000</v>
      </c>
      <c r="M301">
        <v>300</v>
      </c>
      <c r="N301">
        <v>2</v>
      </c>
      <c r="O301" t="s">
        <v>47</v>
      </c>
      <c r="P301" s="3">
        <v>0.06</v>
      </c>
      <c r="Q301" s="2">
        <v>264.87</v>
      </c>
      <c r="R301">
        <v>6</v>
      </c>
      <c r="S301" t="str">
        <f t="shared" si="4"/>
        <v>Junho</v>
      </c>
    </row>
    <row r="302" spans="1:19">
      <c r="A302">
        <v>301</v>
      </c>
      <c r="B302" s="1">
        <v>43994</v>
      </c>
      <c r="C302">
        <v>78</v>
      </c>
      <c r="D302" t="s">
        <v>36</v>
      </c>
      <c r="E302" t="s">
        <v>41</v>
      </c>
      <c r="F302">
        <v>37</v>
      </c>
      <c r="G302" s="2">
        <v>101</v>
      </c>
      <c r="H302" s="2">
        <v>3737</v>
      </c>
      <c r="I302" s="4">
        <v>0.14000000000000001</v>
      </c>
      <c r="J302" s="2">
        <v>3213.8199999999997</v>
      </c>
      <c r="K302" s="1">
        <v>44001</v>
      </c>
      <c r="L302" s="1">
        <v>44001</v>
      </c>
      <c r="M302">
        <v>301</v>
      </c>
      <c r="N302">
        <v>1</v>
      </c>
      <c r="O302" t="s">
        <v>29</v>
      </c>
      <c r="P302" s="3">
        <v>0.09</v>
      </c>
      <c r="Q302" s="2">
        <v>289.24379999999996</v>
      </c>
      <c r="R302">
        <v>7</v>
      </c>
      <c r="S302" t="str">
        <f t="shared" si="4"/>
        <v>Junho</v>
      </c>
    </row>
    <row r="303" spans="1:19">
      <c r="A303">
        <v>302</v>
      </c>
      <c r="B303" s="1">
        <v>43994</v>
      </c>
      <c r="C303">
        <v>5</v>
      </c>
      <c r="D303" t="s">
        <v>38</v>
      </c>
      <c r="E303" t="s">
        <v>59</v>
      </c>
      <c r="F303">
        <v>48</v>
      </c>
      <c r="G303" s="2">
        <v>107</v>
      </c>
      <c r="H303" s="2">
        <v>5136</v>
      </c>
      <c r="I303" s="4">
        <v>0.04</v>
      </c>
      <c r="J303" s="2">
        <v>4930.5600000000004</v>
      </c>
      <c r="K303" s="1">
        <v>44000</v>
      </c>
      <c r="M303">
        <v>302</v>
      </c>
      <c r="N303">
        <v>1</v>
      </c>
      <c r="O303" t="s">
        <v>22</v>
      </c>
      <c r="P303" s="3">
        <v>0.05</v>
      </c>
      <c r="Q303" s="2">
        <v>246.52800000000002</v>
      </c>
      <c r="R303">
        <v>1</v>
      </c>
      <c r="S303" t="str">
        <f t="shared" si="4"/>
        <v>Junho</v>
      </c>
    </row>
    <row r="304" spans="1:19">
      <c r="A304">
        <v>303</v>
      </c>
      <c r="B304" s="1">
        <v>43994</v>
      </c>
      <c r="C304">
        <v>33</v>
      </c>
      <c r="D304" t="s">
        <v>76</v>
      </c>
      <c r="E304" t="s">
        <v>55</v>
      </c>
      <c r="F304">
        <v>28</v>
      </c>
      <c r="G304" s="2">
        <v>104</v>
      </c>
      <c r="H304" s="2">
        <v>2912</v>
      </c>
      <c r="I304" s="4">
        <v>0.09</v>
      </c>
      <c r="J304" s="2">
        <v>2649.92</v>
      </c>
      <c r="K304" s="1">
        <v>44009</v>
      </c>
      <c r="L304" s="1">
        <v>44009</v>
      </c>
      <c r="M304">
        <v>303</v>
      </c>
      <c r="N304">
        <v>4</v>
      </c>
      <c r="O304" t="s">
        <v>34</v>
      </c>
      <c r="P304" s="3">
        <v>0.1</v>
      </c>
      <c r="Q304" s="2">
        <v>264.99200000000002</v>
      </c>
      <c r="R304">
        <v>2</v>
      </c>
      <c r="S304" t="str">
        <f t="shared" si="4"/>
        <v>Junho</v>
      </c>
    </row>
    <row r="305" spans="1:19">
      <c r="A305">
        <v>304</v>
      </c>
      <c r="B305" s="1">
        <v>43996</v>
      </c>
      <c r="C305">
        <v>6</v>
      </c>
      <c r="D305" t="s">
        <v>88</v>
      </c>
      <c r="E305" t="s">
        <v>54</v>
      </c>
      <c r="F305">
        <v>45</v>
      </c>
      <c r="G305" s="2">
        <v>107</v>
      </c>
      <c r="H305" s="2">
        <v>4815</v>
      </c>
      <c r="I305" s="4">
        <v>0.06</v>
      </c>
      <c r="J305" s="2">
        <v>4526.1000000000004</v>
      </c>
      <c r="K305" s="1">
        <v>44009</v>
      </c>
      <c r="L305" s="1">
        <v>44009</v>
      </c>
      <c r="M305">
        <v>304</v>
      </c>
      <c r="N305">
        <v>7</v>
      </c>
      <c r="O305" t="s">
        <v>47</v>
      </c>
      <c r="P305" s="3">
        <v>0.1</v>
      </c>
      <c r="Q305" s="2">
        <v>452.61000000000007</v>
      </c>
      <c r="R305">
        <v>3</v>
      </c>
      <c r="S305" t="str">
        <f t="shared" si="4"/>
        <v>Junho</v>
      </c>
    </row>
    <row r="306" spans="1:19">
      <c r="A306">
        <v>305</v>
      </c>
      <c r="B306" s="1">
        <v>43996</v>
      </c>
      <c r="C306">
        <v>4</v>
      </c>
      <c r="D306" t="s">
        <v>86</v>
      </c>
      <c r="E306" t="s">
        <v>28</v>
      </c>
      <c r="F306">
        <v>15</v>
      </c>
      <c r="G306" s="2">
        <v>110</v>
      </c>
      <c r="H306" s="2">
        <v>1650</v>
      </c>
      <c r="I306" s="4">
        <v>0.03</v>
      </c>
      <c r="J306" s="2">
        <v>1600.5</v>
      </c>
      <c r="K306" s="1">
        <v>44017</v>
      </c>
      <c r="L306" s="1">
        <v>44017</v>
      </c>
      <c r="M306">
        <v>305</v>
      </c>
      <c r="N306">
        <v>2</v>
      </c>
      <c r="O306" t="s">
        <v>29</v>
      </c>
      <c r="P306" s="3">
        <v>0.08</v>
      </c>
      <c r="Q306" s="2">
        <v>128.04</v>
      </c>
      <c r="R306">
        <v>4</v>
      </c>
      <c r="S306" t="str">
        <f t="shared" si="4"/>
        <v>Junho</v>
      </c>
    </row>
    <row r="307" spans="1:19">
      <c r="A307">
        <v>306</v>
      </c>
      <c r="B307" s="1">
        <v>43996</v>
      </c>
      <c r="C307">
        <v>11</v>
      </c>
      <c r="D307" t="s">
        <v>60</v>
      </c>
      <c r="E307" t="s">
        <v>50</v>
      </c>
      <c r="F307">
        <v>18</v>
      </c>
      <c r="G307" s="2">
        <v>111</v>
      </c>
      <c r="H307" s="2">
        <v>1998</v>
      </c>
      <c r="I307" s="4">
        <v>0.04</v>
      </c>
      <c r="J307" s="2">
        <v>1918.08</v>
      </c>
      <c r="K307" s="1">
        <v>44019</v>
      </c>
      <c r="L307" s="1">
        <v>44019</v>
      </c>
      <c r="M307">
        <v>306</v>
      </c>
      <c r="N307">
        <v>1</v>
      </c>
      <c r="O307" t="s">
        <v>34</v>
      </c>
      <c r="P307" s="3">
        <v>0.09</v>
      </c>
      <c r="Q307" s="2">
        <v>172.62719999999999</v>
      </c>
      <c r="R307">
        <v>5</v>
      </c>
      <c r="S307" t="str">
        <f t="shared" si="4"/>
        <v>Junho</v>
      </c>
    </row>
    <row r="308" spans="1:19">
      <c r="A308">
        <v>307</v>
      </c>
      <c r="B308" s="1">
        <v>43997</v>
      </c>
      <c r="C308">
        <v>72</v>
      </c>
      <c r="D308" t="s">
        <v>38</v>
      </c>
      <c r="E308" t="s">
        <v>24</v>
      </c>
      <c r="F308">
        <v>30</v>
      </c>
      <c r="G308" s="2">
        <v>96</v>
      </c>
      <c r="H308" s="2">
        <v>2880</v>
      </c>
      <c r="I308" s="4">
        <v>0.03</v>
      </c>
      <c r="J308" s="2">
        <v>2793.6</v>
      </c>
      <c r="K308" s="1">
        <v>44022</v>
      </c>
      <c r="L308" s="1">
        <v>44022</v>
      </c>
      <c r="M308">
        <v>307</v>
      </c>
      <c r="N308">
        <v>1</v>
      </c>
      <c r="O308" t="s">
        <v>25</v>
      </c>
      <c r="P308" s="3">
        <v>0.1</v>
      </c>
      <c r="Q308" s="2">
        <v>279.36</v>
      </c>
      <c r="R308">
        <v>6</v>
      </c>
      <c r="S308" t="str">
        <f t="shared" si="4"/>
        <v>Junho</v>
      </c>
    </row>
    <row r="309" spans="1:19">
      <c r="A309">
        <v>308</v>
      </c>
      <c r="B309" s="1">
        <v>43997</v>
      </c>
      <c r="C309">
        <v>86</v>
      </c>
      <c r="D309" t="s">
        <v>90</v>
      </c>
      <c r="E309" t="s">
        <v>50</v>
      </c>
      <c r="F309">
        <v>28</v>
      </c>
      <c r="G309" s="2">
        <v>110</v>
      </c>
      <c r="H309" s="2">
        <v>3080</v>
      </c>
      <c r="I309" s="4">
        <v>7.0000000000000007E-2</v>
      </c>
      <c r="J309" s="2">
        <v>2864.4</v>
      </c>
      <c r="K309" s="1">
        <v>44024</v>
      </c>
      <c r="L309" s="1">
        <v>44024</v>
      </c>
      <c r="M309">
        <v>308</v>
      </c>
      <c r="N309">
        <v>4</v>
      </c>
      <c r="O309" t="s">
        <v>47</v>
      </c>
      <c r="P309" s="3">
        <v>0.09</v>
      </c>
      <c r="Q309" s="2">
        <v>257.79599999999999</v>
      </c>
      <c r="R309">
        <v>7</v>
      </c>
      <c r="S309" t="str">
        <f t="shared" si="4"/>
        <v>Junho</v>
      </c>
    </row>
    <row r="310" spans="1:19">
      <c r="A310">
        <v>309</v>
      </c>
      <c r="B310" s="1">
        <v>43998</v>
      </c>
      <c r="C310">
        <v>46</v>
      </c>
      <c r="D310" t="s">
        <v>94</v>
      </c>
      <c r="E310" t="s">
        <v>24</v>
      </c>
      <c r="F310">
        <v>26</v>
      </c>
      <c r="G310" s="2">
        <v>101</v>
      </c>
      <c r="H310" s="2">
        <v>2626</v>
      </c>
      <c r="I310" s="4">
        <v>7.0000000000000007E-2</v>
      </c>
      <c r="J310" s="2">
        <v>2442.1799999999998</v>
      </c>
      <c r="K310" s="1">
        <v>44016</v>
      </c>
      <c r="L310" s="1">
        <v>44016</v>
      </c>
      <c r="M310">
        <v>309</v>
      </c>
      <c r="N310">
        <v>2</v>
      </c>
      <c r="O310" t="s">
        <v>47</v>
      </c>
      <c r="P310" s="3">
        <v>0.1</v>
      </c>
      <c r="Q310" s="2">
        <v>244.21799999999999</v>
      </c>
      <c r="R310">
        <v>1</v>
      </c>
      <c r="S310" t="str">
        <f t="shared" si="4"/>
        <v>Junho</v>
      </c>
    </row>
    <row r="311" spans="1:19">
      <c r="A311">
        <v>310</v>
      </c>
      <c r="B311" s="1">
        <v>43998</v>
      </c>
      <c r="C311">
        <v>52</v>
      </c>
      <c r="D311" t="s">
        <v>23</v>
      </c>
      <c r="E311" t="s">
        <v>21</v>
      </c>
      <c r="F311">
        <v>41</v>
      </c>
      <c r="G311" s="2">
        <v>98</v>
      </c>
      <c r="H311" s="2">
        <v>4018</v>
      </c>
      <c r="I311" s="4">
        <v>0.14000000000000001</v>
      </c>
      <c r="J311" s="2">
        <v>3455.48</v>
      </c>
      <c r="K311" s="1">
        <v>44021</v>
      </c>
      <c r="L311" s="1">
        <v>44021</v>
      </c>
      <c r="M311">
        <v>310</v>
      </c>
      <c r="N311">
        <v>2</v>
      </c>
      <c r="O311" t="s">
        <v>22</v>
      </c>
      <c r="P311" s="3">
        <v>0.08</v>
      </c>
      <c r="Q311" s="2">
        <v>276.4384</v>
      </c>
      <c r="R311">
        <v>2</v>
      </c>
      <c r="S311" t="str">
        <f t="shared" si="4"/>
        <v>Junho</v>
      </c>
    </row>
    <row r="312" spans="1:19">
      <c r="A312">
        <v>311</v>
      </c>
      <c r="B312" s="1">
        <v>43999</v>
      </c>
      <c r="C312">
        <v>31</v>
      </c>
      <c r="D312" t="s">
        <v>85</v>
      </c>
      <c r="E312" t="s">
        <v>54</v>
      </c>
      <c r="F312">
        <v>32</v>
      </c>
      <c r="G312" s="2">
        <v>109</v>
      </c>
      <c r="H312" s="2">
        <v>3488</v>
      </c>
      <c r="I312" s="4">
        <v>0.08</v>
      </c>
      <c r="J312" s="2">
        <v>3208.96</v>
      </c>
      <c r="K312" s="1">
        <v>44004</v>
      </c>
      <c r="L312" s="1">
        <v>44004</v>
      </c>
      <c r="M312">
        <v>311</v>
      </c>
      <c r="N312">
        <v>4</v>
      </c>
      <c r="O312" t="s">
        <v>22</v>
      </c>
      <c r="P312" s="3">
        <v>7.0000000000000007E-2</v>
      </c>
      <c r="Q312" s="2">
        <v>224.62720000000002</v>
      </c>
      <c r="R312">
        <v>3</v>
      </c>
      <c r="S312" t="str">
        <f t="shared" si="4"/>
        <v>Junho</v>
      </c>
    </row>
    <row r="313" spans="1:19">
      <c r="A313">
        <v>312</v>
      </c>
      <c r="B313" s="1">
        <v>43999</v>
      </c>
      <c r="C313">
        <v>57</v>
      </c>
      <c r="D313" t="s">
        <v>89</v>
      </c>
      <c r="E313" t="s">
        <v>24</v>
      </c>
      <c r="F313">
        <v>16</v>
      </c>
      <c r="G313" s="2">
        <v>103</v>
      </c>
      <c r="H313" s="2">
        <v>1648</v>
      </c>
      <c r="I313" s="4">
        <v>0.03</v>
      </c>
      <c r="J313" s="2">
        <v>1598.56</v>
      </c>
      <c r="K313" s="1">
        <v>44000</v>
      </c>
      <c r="L313" s="1">
        <v>44000</v>
      </c>
      <c r="M313">
        <v>312</v>
      </c>
      <c r="N313">
        <v>2</v>
      </c>
      <c r="O313" t="s">
        <v>22</v>
      </c>
      <c r="P313" s="3">
        <v>7.0000000000000007E-2</v>
      </c>
      <c r="Q313" s="2">
        <v>111.89920000000001</v>
      </c>
      <c r="R313">
        <v>4</v>
      </c>
      <c r="S313" t="str">
        <f t="shared" si="4"/>
        <v>Junho</v>
      </c>
    </row>
    <row r="314" spans="1:19">
      <c r="A314">
        <v>313</v>
      </c>
      <c r="B314" s="1">
        <v>43999</v>
      </c>
      <c r="C314">
        <v>18</v>
      </c>
      <c r="D314" t="s">
        <v>83</v>
      </c>
      <c r="E314" t="s">
        <v>50</v>
      </c>
      <c r="F314">
        <v>50</v>
      </c>
      <c r="G314" s="2">
        <v>97</v>
      </c>
      <c r="H314" s="2">
        <v>4850</v>
      </c>
      <c r="I314" s="4">
        <v>0.02</v>
      </c>
      <c r="J314" s="2">
        <v>4753</v>
      </c>
      <c r="K314" s="1">
        <v>44013</v>
      </c>
      <c r="L314" s="1">
        <v>44013</v>
      </c>
      <c r="M314">
        <v>313</v>
      </c>
      <c r="N314">
        <v>7</v>
      </c>
      <c r="O314" t="s">
        <v>25</v>
      </c>
      <c r="P314" s="3">
        <v>0.08</v>
      </c>
      <c r="Q314" s="2">
        <v>380.24</v>
      </c>
      <c r="R314">
        <v>5</v>
      </c>
      <c r="S314" t="str">
        <f t="shared" si="4"/>
        <v>Junho</v>
      </c>
    </row>
    <row r="315" spans="1:19">
      <c r="A315">
        <v>314</v>
      </c>
      <c r="B315" s="1">
        <v>43999</v>
      </c>
      <c r="C315">
        <v>18</v>
      </c>
      <c r="D315" t="s">
        <v>83</v>
      </c>
      <c r="E315" t="s">
        <v>59</v>
      </c>
      <c r="F315">
        <v>18</v>
      </c>
      <c r="G315" s="2">
        <v>100</v>
      </c>
      <c r="H315" s="2">
        <v>1800</v>
      </c>
      <c r="I315" s="4">
        <v>0.14000000000000001</v>
      </c>
      <c r="J315" s="2">
        <v>1548</v>
      </c>
      <c r="K315" s="1">
        <v>44011</v>
      </c>
      <c r="L315" s="1">
        <v>44011</v>
      </c>
      <c r="M315">
        <v>314</v>
      </c>
      <c r="N315">
        <v>2</v>
      </c>
      <c r="O315" t="s">
        <v>32</v>
      </c>
      <c r="P315" s="3">
        <v>7.0000000000000007E-2</v>
      </c>
      <c r="Q315" s="2">
        <v>108.36000000000001</v>
      </c>
      <c r="R315">
        <v>6</v>
      </c>
      <c r="S315" t="str">
        <f t="shared" si="4"/>
        <v>Junho</v>
      </c>
    </row>
    <row r="316" spans="1:19">
      <c r="A316">
        <v>315</v>
      </c>
      <c r="B316" s="1">
        <v>44000</v>
      </c>
      <c r="C316">
        <v>6</v>
      </c>
      <c r="D316" t="s">
        <v>88</v>
      </c>
      <c r="E316" t="s">
        <v>59</v>
      </c>
      <c r="F316">
        <v>47</v>
      </c>
      <c r="G316" s="2">
        <v>108</v>
      </c>
      <c r="H316" s="2">
        <v>5076</v>
      </c>
      <c r="I316" s="4">
        <v>0.05</v>
      </c>
      <c r="J316" s="2">
        <v>4822.2</v>
      </c>
      <c r="K316" s="1">
        <v>44002</v>
      </c>
      <c r="L316" s="1">
        <v>44002</v>
      </c>
      <c r="M316">
        <v>315</v>
      </c>
      <c r="N316">
        <v>5</v>
      </c>
      <c r="O316" t="s">
        <v>47</v>
      </c>
      <c r="P316" s="3">
        <v>0.05</v>
      </c>
      <c r="Q316" s="2">
        <v>241.11</v>
      </c>
      <c r="R316">
        <v>7</v>
      </c>
      <c r="S316" t="str">
        <f t="shared" si="4"/>
        <v>Junho</v>
      </c>
    </row>
    <row r="317" spans="1:19">
      <c r="A317">
        <v>316</v>
      </c>
      <c r="B317" s="1">
        <v>44000</v>
      </c>
      <c r="C317">
        <v>74</v>
      </c>
      <c r="D317" t="s">
        <v>38</v>
      </c>
      <c r="E317" t="s">
        <v>21</v>
      </c>
      <c r="F317">
        <v>34</v>
      </c>
      <c r="G317" s="2">
        <v>98</v>
      </c>
      <c r="H317" s="2">
        <v>3332</v>
      </c>
      <c r="I317" s="4">
        <v>0.02</v>
      </c>
      <c r="J317" s="2">
        <v>3265.36</v>
      </c>
      <c r="K317" s="1">
        <v>44021</v>
      </c>
      <c r="L317" s="1">
        <v>44021</v>
      </c>
      <c r="M317">
        <v>316</v>
      </c>
      <c r="N317">
        <v>2</v>
      </c>
      <c r="O317" t="s">
        <v>52</v>
      </c>
      <c r="P317" s="3">
        <v>0.1</v>
      </c>
      <c r="Q317" s="2">
        <v>326.53600000000006</v>
      </c>
      <c r="R317">
        <v>1</v>
      </c>
      <c r="S317" t="str">
        <f t="shared" si="4"/>
        <v>Junho</v>
      </c>
    </row>
    <row r="318" spans="1:19">
      <c r="A318">
        <v>317</v>
      </c>
      <c r="B318" s="1">
        <v>44000</v>
      </c>
      <c r="C318">
        <v>32</v>
      </c>
      <c r="D318" t="s">
        <v>77</v>
      </c>
      <c r="E318" t="s">
        <v>24</v>
      </c>
      <c r="F318">
        <v>26</v>
      </c>
      <c r="G318" s="2">
        <v>112</v>
      </c>
      <c r="H318" s="2">
        <v>2912</v>
      </c>
      <c r="I318" s="4">
        <v>0.12</v>
      </c>
      <c r="J318" s="2">
        <v>2562.56</v>
      </c>
      <c r="K318" s="1">
        <v>44007</v>
      </c>
      <c r="L318" s="1">
        <v>44007</v>
      </c>
      <c r="M318">
        <v>317</v>
      </c>
      <c r="N318">
        <v>4</v>
      </c>
      <c r="O318" t="s">
        <v>43</v>
      </c>
      <c r="P318" s="3">
        <v>0.09</v>
      </c>
      <c r="Q318" s="2">
        <v>230.63039999999998</v>
      </c>
      <c r="R318">
        <v>2</v>
      </c>
      <c r="S318" t="str">
        <f t="shared" si="4"/>
        <v>Junho</v>
      </c>
    </row>
    <row r="319" spans="1:19">
      <c r="A319">
        <v>318</v>
      </c>
      <c r="B319" s="1">
        <v>44001</v>
      </c>
      <c r="C319">
        <v>84</v>
      </c>
      <c r="D319" t="s">
        <v>44</v>
      </c>
      <c r="E319" t="s">
        <v>21</v>
      </c>
      <c r="F319">
        <v>46</v>
      </c>
      <c r="G319" s="2">
        <v>107</v>
      </c>
      <c r="H319" s="2">
        <v>4922</v>
      </c>
      <c r="I319" s="4">
        <v>0.02</v>
      </c>
      <c r="J319" s="2">
        <v>4823.5600000000004</v>
      </c>
      <c r="K319" s="1">
        <v>44023</v>
      </c>
      <c r="L319" s="1">
        <v>44023</v>
      </c>
      <c r="M319">
        <v>318</v>
      </c>
      <c r="N319">
        <v>3</v>
      </c>
      <c r="O319" t="s">
        <v>43</v>
      </c>
      <c r="P319" s="3">
        <v>0.05</v>
      </c>
      <c r="Q319" s="2">
        <v>241.17800000000003</v>
      </c>
      <c r="R319">
        <v>3</v>
      </c>
      <c r="S319" t="str">
        <f t="shared" si="4"/>
        <v>Junho</v>
      </c>
    </row>
    <row r="320" spans="1:19">
      <c r="A320">
        <v>319</v>
      </c>
      <c r="B320" s="1">
        <v>44001</v>
      </c>
      <c r="C320">
        <v>41</v>
      </c>
      <c r="D320" t="s">
        <v>68</v>
      </c>
      <c r="E320" t="s">
        <v>59</v>
      </c>
      <c r="F320">
        <v>25</v>
      </c>
      <c r="G320" s="2">
        <v>94</v>
      </c>
      <c r="H320" s="2">
        <v>2350</v>
      </c>
      <c r="I320" s="4">
        <v>0.15</v>
      </c>
      <c r="J320" s="2">
        <v>1997.5</v>
      </c>
      <c r="K320" s="1">
        <v>44024</v>
      </c>
      <c r="L320" s="1">
        <v>44024</v>
      </c>
      <c r="M320">
        <v>319</v>
      </c>
      <c r="N320">
        <v>4</v>
      </c>
      <c r="O320" t="s">
        <v>37</v>
      </c>
      <c r="P320" s="3">
        <v>0.05</v>
      </c>
      <c r="Q320" s="2">
        <v>99.875</v>
      </c>
      <c r="R320">
        <v>4</v>
      </c>
      <c r="S320" t="str">
        <f t="shared" si="4"/>
        <v>Junho</v>
      </c>
    </row>
    <row r="321" spans="1:19">
      <c r="A321">
        <v>320</v>
      </c>
      <c r="B321" s="1">
        <v>44001</v>
      </c>
      <c r="C321">
        <v>7</v>
      </c>
      <c r="D321" t="s">
        <v>102</v>
      </c>
      <c r="E321" t="s">
        <v>55</v>
      </c>
      <c r="F321">
        <v>34</v>
      </c>
      <c r="G321" s="2">
        <v>114</v>
      </c>
      <c r="H321" s="2">
        <v>3876</v>
      </c>
      <c r="I321" s="4">
        <v>0.06</v>
      </c>
      <c r="J321" s="2">
        <v>3643.44</v>
      </c>
      <c r="K321" s="1">
        <v>44011</v>
      </c>
      <c r="L321" s="1">
        <v>44011</v>
      </c>
      <c r="M321">
        <v>320</v>
      </c>
      <c r="N321">
        <v>5</v>
      </c>
      <c r="O321" t="s">
        <v>29</v>
      </c>
      <c r="P321" s="3">
        <v>0.08</v>
      </c>
      <c r="Q321" s="2">
        <v>291.47520000000003</v>
      </c>
      <c r="R321">
        <v>5</v>
      </c>
      <c r="S321" t="str">
        <f t="shared" si="4"/>
        <v>Junho</v>
      </c>
    </row>
    <row r="322" spans="1:19">
      <c r="A322">
        <v>321</v>
      </c>
      <c r="B322" s="1">
        <v>44001</v>
      </c>
      <c r="C322">
        <v>16</v>
      </c>
      <c r="D322" t="s">
        <v>27</v>
      </c>
      <c r="E322" t="s">
        <v>24</v>
      </c>
      <c r="F322">
        <v>22</v>
      </c>
      <c r="G322" s="2">
        <v>115</v>
      </c>
      <c r="H322" s="2">
        <v>2530</v>
      </c>
      <c r="I322" s="4">
        <v>0.15</v>
      </c>
      <c r="J322" s="2">
        <v>2150.5</v>
      </c>
      <c r="K322" s="1">
        <v>44020</v>
      </c>
      <c r="L322" s="1">
        <v>44020</v>
      </c>
      <c r="M322">
        <v>321</v>
      </c>
      <c r="N322">
        <v>2</v>
      </c>
      <c r="O322" t="s">
        <v>47</v>
      </c>
      <c r="P322" s="3">
        <v>0.05</v>
      </c>
      <c r="Q322" s="2">
        <v>107.52500000000001</v>
      </c>
      <c r="R322">
        <v>6</v>
      </c>
      <c r="S322" t="str">
        <f t="shared" si="4"/>
        <v>Junho</v>
      </c>
    </row>
    <row r="323" spans="1:19">
      <c r="A323">
        <v>322</v>
      </c>
      <c r="B323" s="1">
        <v>44002</v>
      </c>
      <c r="C323">
        <v>31</v>
      </c>
      <c r="D323" t="s">
        <v>85</v>
      </c>
      <c r="E323" t="s">
        <v>55</v>
      </c>
      <c r="F323">
        <v>22</v>
      </c>
      <c r="G323" s="2">
        <v>92</v>
      </c>
      <c r="H323" s="2">
        <v>2024</v>
      </c>
      <c r="I323" s="4">
        <v>0.14000000000000001</v>
      </c>
      <c r="J323" s="2">
        <v>1740.6399999999999</v>
      </c>
      <c r="K323" s="1">
        <v>44008</v>
      </c>
      <c r="L323" s="1">
        <v>44008</v>
      </c>
      <c r="M323">
        <v>322</v>
      </c>
      <c r="N323">
        <v>1</v>
      </c>
      <c r="O323" t="s">
        <v>37</v>
      </c>
      <c r="P323" s="3">
        <v>7.0000000000000007E-2</v>
      </c>
      <c r="Q323" s="2">
        <v>121.84480000000001</v>
      </c>
      <c r="R323">
        <v>7</v>
      </c>
      <c r="S323" t="str">
        <f t="shared" ref="S323:S386" si="5">PROPER(TEXT(B323,"mmmm"))</f>
        <v>Junho</v>
      </c>
    </row>
    <row r="324" spans="1:19">
      <c r="A324">
        <v>323</v>
      </c>
      <c r="B324" s="1">
        <v>44002</v>
      </c>
      <c r="C324">
        <v>32</v>
      </c>
      <c r="D324" t="s">
        <v>77</v>
      </c>
      <c r="E324" t="s">
        <v>24</v>
      </c>
      <c r="F324">
        <v>14</v>
      </c>
      <c r="G324" s="2">
        <v>94</v>
      </c>
      <c r="H324" s="2">
        <v>1316</v>
      </c>
      <c r="I324" s="4">
        <v>0.11</v>
      </c>
      <c r="J324" s="2">
        <v>1171.24</v>
      </c>
      <c r="K324" s="1">
        <v>44003</v>
      </c>
      <c r="L324" s="1">
        <v>44003</v>
      </c>
      <c r="M324">
        <v>323</v>
      </c>
      <c r="N324">
        <v>7</v>
      </c>
      <c r="O324" t="s">
        <v>69</v>
      </c>
      <c r="P324" s="3">
        <v>0.08</v>
      </c>
      <c r="Q324" s="2">
        <v>93.699200000000005</v>
      </c>
      <c r="R324">
        <v>1</v>
      </c>
      <c r="S324" t="str">
        <f t="shared" si="5"/>
        <v>Junho</v>
      </c>
    </row>
    <row r="325" spans="1:19">
      <c r="A325">
        <v>324</v>
      </c>
      <c r="B325" s="1">
        <v>44003</v>
      </c>
      <c r="C325">
        <v>98</v>
      </c>
      <c r="D325" t="s">
        <v>26</v>
      </c>
      <c r="E325" t="s">
        <v>50</v>
      </c>
      <c r="F325">
        <v>34</v>
      </c>
      <c r="G325" s="2">
        <v>108</v>
      </c>
      <c r="H325" s="2">
        <v>3672</v>
      </c>
      <c r="I325" s="4">
        <v>0.12</v>
      </c>
      <c r="J325" s="2">
        <v>3231.36</v>
      </c>
      <c r="K325" s="1">
        <v>44008</v>
      </c>
      <c r="L325" s="1">
        <v>44008</v>
      </c>
      <c r="M325">
        <v>324</v>
      </c>
      <c r="N325">
        <v>6</v>
      </c>
      <c r="O325" t="s">
        <v>32</v>
      </c>
      <c r="P325" s="3">
        <v>0.1</v>
      </c>
      <c r="Q325" s="2">
        <v>323.13600000000002</v>
      </c>
      <c r="R325">
        <v>2</v>
      </c>
      <c r="S325" t="str">
        <f t="shared" si="5"/>
        <v>Junho</v>
      </c>
    </row>
    <row r="326" spans="1:19">
      <c r="A326">
        <v>325</v>
      </c>
      <c r="B326" s="1">
        <v>44004</v>
      </c>
      <c r="C326">
        <v>60</v>
      </c>
      <c r="D326" t="s">
        <v>82</v>
      </c>
      <c r="E326" t="s">
        <v>41</v>
      </c>
      <c r="F326">
        <v>21</v>
      </c>
      <c r="G326" s="2">
        <v>110</v>
      </c>
      <c r="H326" s="2">
        <v>2310</v>
      </c>
      <c r="I326" s="4">
        <v>0.02</v>
      </c>
      <c r="J326" s="2">
        <v>2263.8000000000002</v>
      </c>
      <c r="K326" s="1">
        <v>44008</v>
      </c>
      <c r="L326" s="1">
        <v>44008</v>
      </c>
      <c r="M326">
        <v>325</v>
      </c>
      <c r="N326">
        <v>5</v>
      </c>
      <c r="O326" t="s">
        <v>47</v>
      </c>
      <c r="P326" s="3">
        <v>0.1</v>
      </c>
      <c r="Q326" s="2">
        <v>226.38000000000002</v>
      </c>
      <c r="R326">
        <v>3</v>
      </c>
      <c r="S326" t="str">
        <f t="shared" si="5"/>
        <v>Junho</v>
      </c>
    </row>
    <row r="327" spans="1:19">
      <c r="A327">
        <v>326</v>
      </c>
      <c r="B327" s="1">
        <v>44004</v>
      </c>
      <c r="C327">
        <v>43</v>
      </c>
      <c r="D327" t="s">
        <v>99</v>
      </c>
      <c r="E327" t="s">
        <v>31</v>
      </c>
      <c r="F327">
        <v>43</v>
      </c>
      <c r="G327" s="2">
        <v>109</v>
      </c>
      <c r="H327" s="2">
        <v>4687</v>
      </c>
      <c r="I327" s="4">
        <v>0.06</v>
      </c>
      <c r="J327" s="2">
        <v>4405.78</v>
      </c>
      <c r="K327" s="1">
        <v>44008</v>
      </c>
      <c r="L327" s="1">
        <v>44008</v>
      </c>
      <c r="M327">
        <v>326</v>
      </c>
      <c r="N327">
        <v>6</v>
      </c>
      <c r="O327" t="s">
        <v>34</v>
      </c>
      <c r="P327" s="3">
        <v>0.08</v>
      </c>
      <c r="Q327" s="2">
        <v>352.4624</v>
      </c>
      <c r="R327">
        <v>4</v>
      </c>
      <c r="S327" t="str">
        <f t="shared" si="5"/>
        <v>Junho</v>
      </c>
    </row>
    <row r="328" spans="1:19">
      <c r="A328">
        <v>327</v>
      </c>
      <c r="B328" s="1">
        <v>44004</v>
      </c>
      <c r="C328">
        <v>3</v>
      </c>
      <c r="D328" t="s">
        <v>91</v>
      </c>
      <c r="E328" t="s">
        <v>28</v>
      </c>
      <c r="F328">
        <v>47</v>
      </c>
      <c r="G328" s="2">
        <v>92</v>
      </c>
      <c r="H328" s="2">
        <v>4324</v>
      </c>
      <c r="I328" s="4">
        <v>0.09</v>
      </c>
      <c r="J328" s="2">
        <v>3934.84</v>
      </c>
      <c r="K328" s="1">
        <v>44018</v>
      </c>
      <c r="L328" s="1">
        <v>44018</v>
      </c>
      <c r="M328">
        <v>327</v>
      </c>
      <c r="N328">
        <v>6</v>
      </c>
      <c r="O328" t="s">
        <v>22</v>
      </c>
      <c r="P328" s="3">
        <v>0.06</v>
      </c>
      <c r="Q328" s="2">
        <v>236.09039999999999</v>
      </c>
      <c r="R328">
        <v>5</v>
      </c>
      <c r="S328" t="str">
        <f t="shared" si="5"/>
        <v>Junho</v>
      </c>
    </row>
    <row r="329" spans="1:19">
      <c r="A329">
        <v>328</v>
      </c>
      <c r="B329" s="1">
        <v>44005</v>
      </c>
      <c r="C329">
        <v>77</v>
      </c>
      <c r="D329" t="s">
        <v>65</v>
      </c>
      <c r="E329" t="s">
        <v>50</v>
      </c>
      <c r="F329">
        <v>48</v>
      </c>
      <c r="G329" s="2">
        <v>99</v>
      </c>
      <c r="H329" s="2">
        <v>4752</v>
      </c>
      <c r="I329" s="4">
        <v>0.12</v>
      </c>
      <c r="J329" s="2">
        <v>4181.76</v>
      </c>
      <c r="K329" s="1">
        <v>44032</v>
      </c>
      <c r="L329" s="1">
        <v>44032</v>
      </c>
      <c r="M329">
        <v>328</v>
      </c>
      <c r="N329">
        <v>6</v>
      </c>
      <c r="O329" t="s">
        <v>37</v>
      </c>
      <c r="P329" s="3">
        <v>0.09</v>
      </c>
      <c r="Q329" s="2">
        <v>376.35840000000002</v>
      </c>
      <c r="R329">
        <v>6</v>
      </c>
      <c r="S329" t="str">
        <f t="shared" si="5"/>
        <v>Junho</v>
      </c>
    </row>
    <row r="330" spans="1:19">
      <c r="A330">
        <v>329</v>
      </c>
      <c r="B330" s="1">
        <v>44005</v>
      </c>
      <c r="C330">
        <v>30</v>
      </c>
      <c r="D330" t="s">
        <v>96</v>
      </c>
      <c r="E330" t="s">
        <v>50</v>
      </c>
      <c r="F330">
        <v>42</v>
      </c>
      <c r="G330" s="2">
        <v>116</v>
      </c>
      <c r="H330" s="2">
        <v>4872</v>
      </c>
      <c r="I330" s="4">
        <v>0.15</v>
      </c>
      <c r="J330" s="2">
        <v>4141.2</v>
      </c>
      <c r="K330" s="1">
        <v>44023</v>
      </c>
      <c r="L330" s="1">
        <v>44023</v>
      </c>
      <c r="M330">
        <v>329</v>
      </c>
      <c r="N330">
        <v>5</v>
      </c>
      <c r="O330" t="s">
        <v>34</v>
      </c>
      <c r="P330" s="3">
        <v>0.1</v>
      </c>
      <c r="Q330" s="2">
        <v>414.12</v>
      </c>
      <c r="R330">
        <v>7</v>
      </c>
      <c r="S330" t="str">
        <f t="shared" si="5"/>
        <v>Junho</v>
      </c>
    </row>
    <row r="331" spans="1:19">
      <c r="A331">
        <v>330</v>
      </c>
      <c r="B331" s="1">
        <v>44006</v>
      </c>
      <c r="C331">
        <v>2</v>
      </c>
      <c r="D331" t="s">
        <v>35</v>
      </c>
      <c r="E331" t="s">
        <v>24</v>
      </c>
      <c r="F331">
        <v>20</v>
      </c>
      <c r="G331" s="2">
        <v>91</v>
      </c>
      <c r="H331" s="2">
        <v>1820</v>
      </c>
      <c r="I331" s="4">
        <v>0.14000000000000001</v>
      </c>
      <c r="J331" s="2">
        <v>1565.2</v>
      </c>
      <c r="K331" s="1">
        <v>44008</v>
      </c>
      <c r="L331" s="1">
        <v>44008</v>
      </c>
      <c r="M331">
        <v>330</v>
      </c>
      <c r="N331">
        <v>3</v>
      </c>
      <c r="O331" t="s">
        <v>29</v>
      </c>
      <c r="P331" s="3">
        <v>0.08</v>
      </c>
      <c r="Q331" s="2">
        <v>125.21600000000001</v>
      </c>
      <c r="R331">
        <v>1</v>
      </c>
      <c r="S331" t="str">
        <f t="shared" si="5"/>
        <v>Junho</v>
      </c>
    </row>
    <row r="332" spans="1:19">
      <c r="A332">
        <v>331</v>
      </c>
      <c r="B332" s="1">
        <v>44006</v>
      </c>
      <c r="C332">
        <v>28</v>
      </c>
      <c r="D332" t="s">
        <v>86</v>
      </c>
      <c r="E332" t="s">
        <v>28</v>
      </c>
      <c r="F332">
        <v>10</v>
      </c>
      <c r="G332" s="2">
        <v>91</v>
      </c>
      <c r="H332" s="2">
        <v>910</v>
      </c>
      <c r="I332" s="4">
        <v>7.0000000000000007E-2</v>
      </c>
      <c r="J332" s="2">
        <v>846.3</v>
      </c>
      <c r="K332" s="1">
        <v>44024</v>
      </c>
      <c r="L332" s="1">
        <v>44024</v>
      </c>
      <c r="M332">
        <v>331</v>
      </c>
      <c r="N332">
        <v>1</v>
      </c>
      <c r="O332" t="s">
        <v>37</v>
      </c>
      <c r="P332" s="3">
        <v>7.0000000000000007E-2</v>
      </c>
      <c r="Q332" s="2">
        <v>59.241</v>
      </c>
      <c r="R332">
        <v>2</v>
      </c>
      <c r="S332" t="str">
        <f t="shared" si="5"/>
        <v>Junho</v>
      </c>
    </row>
    <row r="333" spans="1:19">
      <c r="A333">
        <v>332</v>
      </c>
      <c r="B333" s="1">
        <v>44006</v>
      </c>
      <c r="C333">
        <v>69</v>
      </c>
      <c r="D333" t="s">
        <v>67</v>
      </c>
      <c r="E333" t="s">
        <v>41</v>
      </c>
      <c r="F333">
        <v>13</v>
      </c>
      <c r="G333" s="2">
        <v>107</v>
      </c>
      <c r="H333" s="2">
        <v>1391</v>
      </c>
      <c r="I333" s="4">
        <v>0.04</v>
      </c>
      <c r="J333" s="2">
        <v>1335.36</v>
      </c>
      <c r="K333" s="1">
        <v>44027</v>
      </c>
      <c r="L333" s="1">
        <v>44027</v>
      </c>
      <c r="M333">
        <v>332</v>
      </c>
      <c r="N333">
        <v>1</v>
      </c>
      <c r="O333" t="s">
        <v>52</v>
      </c>
      <c r="P333" s="3">
        <v>0.05</v>
      </c>
      <c r="Q333" s="2">
        <v>66.768000000000001</v>
      </c>
      <c r="R333">
        <v>3</v>
      </c>
      <c r="S333" t="str">
        <f t="shared" si="5"/>
        <v>Junho</v>
      </c>
    </row>
    <row r="334" spans="1:19">
      <c r="A334">
        <v>333</v>
      </c>
      <c r="B334" s="1">
        <v>44006</v>
      </c>
      <c r="C334">
        <v>20</v>
      </c>
      <c r="D334" t="s">
        <v>39</v>
      </c>
      <c r="E334" t="s">
        <v>59</v>
      </c>
      <c r="F334">
        <v>32</v>
      </c>
      <c r="G334" s="2">
        <v>98</v>
      </c>
      <c r="H334" s="2">
        <v>3136</v>
      </c>
      <c r="I334" s="4">
        <v>0</v>
      </c>
      <c r="J334" s="2">
        <v>3136</v>
      </c>
      <c r="K334" s="1">
        <v>44011</v>
      </c>
      <c r="L334" s="1">
        <v>44011</v>
      </c>
      <c r="M334">
        <v>333</v>
      </c>
      <c r="N334">
        <v>6</v>
      </c>
      <c r="O334" t="s">
        <v>52</v>
      </c>
      <c r="P334" s="3">
        <v>0.08</v>
      </c>
      <c r="Q334" s="2">
        <v>250.88</v>
      </c>
      <c r="R334">
        <v>4</v>
      </c>
      <c r="S334" t="str">
        <f t="shared" si="5"/>
        <v>Junho</v>
      </c>
    </row>
    <row r="335" spans="1:19">
      <c r="A335">
        <v>334</v>
      </c>
      <c r="B335" s="1">
        <v>44006</v>
      </c>
      <c r="C335">
        <v>13</v>
      </c>
      <c r="D335" t="s">
        <v>75</v>
      </c>
      <c r="E335" t="s">
        <v>55</v>
      </c>
      <c r="F335">
        <v>16</v>
      </c>
      <c r="G335" s="2">
        <v>98</v>
      </c>
      <c r="H335" s="2">
        <v>1568</v>
      </c>
      <c r="I335" s="4">
        <v>0.02</v>
      </c>
      <c r="J335" s="2">
        <v>1536.64</v>
      </c>
      <c r="K335" s="1">
        <v>44030</v>
      </c>
      <c r="L335" s="1">
        <v>44030</v>
      </c>
      <c r="M335">
        <v>334</v>
      </c>
      <c r="N335">
        <v>6</v>
      </c>
      <c r="O335" t="s">
        <v>22</v>
      </c>
      <c r="P335" s="3">
        <v>7.0000000000000007E-2</v>
      </c>
      <c r="Q335" s="2">
        <v>107.56480000000002</v>
      </c>
      <c r="R335">
        <v>5</v>
      </c>
      <c r="S335" t="str">
        <f t="shared" si="5"/>
        <v>Junho</v>
      </c>
    </row>
    <row r="336" spans="1:19">
      <c r="A336">
        <v>335</v>
      </c>
      <c r="B336" s="1">
        <v>44008</v>
      </c>
      <c r="C336">
        <v>22</v>
      </c>
      <c r="D336" t="s">
        <v>51</v>
      </c>
      <c r="E336" t="s">
        <v>50</v>
      </c>
      <c r="F336">
        <v>45</v>
      </c>
      <c r="G336" s="2">
        <v>94</v>
      </c>
      <c r="H336" s="2">
        <v>4230</v>
      </c>
      <c r="I336" s="4">
        <v>0.15</v>
      </c>
      <c r="J336" s="2">
        <v>3595.5</v>
      </c>
      <c r="K336" s="1">
        <v>44034</v>
      </c>
      <c r="L336" s="1">
        <v>44034</v>
      </c>
      <c r="M336">
        <v>335</v>
      </c>
      <c r="N336">
        <v>3</v>
      </c>
      <c r="O336" t="s">
        <v>32</v>
      </c>
      <c r="P336" s="3">
        <v>7.0000000000000007E-2</v>
      </c>
      <c r="Q336" s="2">
        <v>251.68500000000003</v>
      </c>
      <c r="R336">
        <v>6</v>
      </c>
      <c r="S336" t="str">
        <f t="shared" si="5"/>
        <v>Junho</v>
      </c>
    </row>
    <row r="337" spans="1:19">
      <c r="A337">
        <v>336</v>
      </c>
      <c r="B337" s="1">
        <v>44008</v>
      </c>
      <c r="C337">
        <v>53</v>
      </c>
      <c r="D337" t="s">
        <v>88</v>
      </c>
      <c r="E337" t="s">
        <v>28</v>
      </c>
      <c r="F337">
        <v>42</v>
      </c>
      <c r="G337" s="2">
        <v>98</v>
      </c>
      <c r="H337" s="2">
        <v>4116</v>
      </c>
      <c r="I337" s="4">
        <v>0.14000000000000001</v>
      </c>
      <c r="J337" s="2">
        <v>3539.76</v>
      </c>
      <c r="K337" s="1">
        <v>44036</v>
      </c>
      <c r="L337" s="1">
        <v>44036</v>
      </c>
      <c r="M337">
        <v>336</v>
      </c>
      <c r="N337">
        <v>6</v>
      </c>
      <c r="O337" t="s">
        <v>32</v>
      </c>
      <c r="P337" s="3">
        <v>0.09</v>
      </c>
      <c r="Q337" s="2">
        <v>318.57839999999999</v>
      </c>
      <c r="R337">
        <v>7</v>
      </c>
      <c r="S337" t="str">
        <f t="shared" si="5"/>
        <v>Junho</v>
      </c>
    </row>
    <row r="338" spans="1:19">
      <c r="A338">
        <v>337</v>
      </c>
      <c r="B338" s="1">
        <v>44009</v>
      </c>
      <c r="C338">
        <v>47</v>
      </c>
      <c r="D338" t="s">
        <v>40</v>
      </c>
      <c r="E338" t="s">
        <v>59</v>
      </c>
      <c r="F338">
        <v>26</v>
      </c>
      <c r="G338" s="2">
        <v>117</v>
      </c>
      <c r="H338" s="2">
        <v>3042</v>
      </c>
      <c r="I338" s="4">
        <v>0.1</v>
      </c>
      <c r="J338" s="2">
        <v>2737.8</v>
      </c>
      <c r="K338" s="1">
        <v>44032</v>
      </c>
      <c r="L338" s="1">
        <v>44032</v>
      </c>
      <c r="M338">
        <v>337</v>
      </c>
      <c r="N338">
        <v>5</v>
      </c>
      <c r="O338" t="s">
        <v>47</v>
      </c>
      <c r="P338" s="3">
        <v>7.0000000000000007E-2</v>
      </c>
      <c r="Q338" s="2">
        <v>191.64600000000004</v>
      </c>
      <c r="R338">
        <v>1</v>
      </c>
      <c r="S338" t="str">
        <f t="shared" si="5"/>
        <v>Junho</v>
      </c>
    </row>
    <row r="339" spans="1:19">
      <c r="A339">
        <v>338</v>
      </c>
      <c r="B339" s="1">
        <v>44009</v>
      </c>
      <c r="C339">
        <v>2</v>
      </c>
      <c r="D339" t="s">
        <v>35</v>
      </c>
      <c r="E339" t="s">
        <v>31</v>
      </c>
      <c r="F339">
        <v>43</v>
      </c>
      <c r="G339" s="2">
        <v>101</v>
      </c>
      <c r="H339" s="2">
        <v>4343</v>
      </c>
      <c r="I339" s="4">
        <v>0.12</v>
      </c>
      <c r="J339" s="2">
        <v>3821.84</v>
      </c>
      <c r="K339" s="1">
        <v>44027</v>
      </c>
      <c r="L339" s="1">
        <v>44027</v>
      </c>
      <c r="M339">
        <v>338</v>
      </c>
      <c r="N339">
        <v>2</v>
      </c>
      <c r="O339" t="s">
        <v>43</v>
      </c>
      <c r="P339" s="3">
        <v>0.08</v>
      </c>
      <c r="Q339" s="2">
        <v>305.74720000000002</v>
      </c>
      <c r="R339">
        <v>2</v>
      </c>
      <c r="S339" t="str">
        <f t="shared" si="5"/>
        <v>Junho</v>
      </c>
    </row>
    <row r="340" spans="1:19">
      <c r="A340">
        <v>339</v>
      </c>
      <c r="B340" s="1">
        <v>44009</v>
      </c>
      <c r="C340">
        <v>80</v>
      </c>
      <c r="D340" t="s">
        <v>38</v>
      </c>
      <c r="E340" t="s">
        <v>21</v>
      </c>
      <c r="F340">
        <v>37</v>
      </c>
      <c r="G340" s="2">
        <v>92</v>
      </c>
      <c r="H340" s="2">
        <v>3404</v>
      </c>
      <c r="I340" s="4">
        <v>0.09</v>
      </c>
      <c r="J340" s="2">
        <v>3097.64</v>
      </c>
      <c r="K340" s="1">
        <v>44018</v>
      </c>
      <c r="L340" s="1">
        <v>44018</v>
      </c>
      <c r="M340">
        <v>339</v>
      </c>
      <c r="N340">
        <v>2</v>
      </c>
      <c r="O340" t="s">
        <v>37</v>
      </c>
      <c r="P340" s="3">
        <v>0.06</v>
      </c>
      <c r="Q340" s="2">
        <v>185.85839999999999</v>
      </c>
      <c r="R340">
        <v>3</v>
      </c>
      <c r="S340" t="str">
        <f t="shared" si="5"/>
        <v>Junho</v>
      </c>
    </row>
    <row r="341" spans="1:19">
      <c r="A341">
        <v>340</v>
      </c>
      <c r="B341" s="1">
        <v>44010</v>
      </c>
      <c r="C341">
        <v>77</v>
      </c>
      <c r="D341" t="s">
        <v>65</v>
      </c>
      <c r="E341" t="s">
        <v>28</v>
      </c>
      <c r="F341">
        <v>43</v>
      </c>
      <c r="G341" s="2">
        <v>110</v>
      </c>
      <c r="H341" s="2">
        <v>4730</v>
      </c>
      <c r="I341" s="4">
        <v>0.06</v>
      </c>
      <c r="J341" s="2">
        <v>4446.2</v>
      </c>
      <c r="K341" s="1">
        <v>44037</v>
      </c>
      <c r="L341" s="1">
        <v>44037</v>
      </c>
      <c r="M341">
        <v>340</v>
      </c>
      <c r="N341">
        <v>4</v>
      </c>
      <c r="O341" t="s">
        <v>29</v>
      </c>
      <c r="P341" s="3">
        <v>0.05</v>
      </c>
      <c r="Q341" s="2">
        <v>222.31</v>
      </c>
      <c r="R341">
        <v>4</v>
      </c>
      <c r="S341" t="str">
        <f t="shared" si="5"/>
        <v>Junho</v>
      </c>
    </row>
    <row r="342" spans="1:19">
      <c r="A342">
        <v>341</v>
      </c>
      <c r="B342" s="1">
        <v>44010</v>
      </c>
      <c r="C342">
        <v>13</v>
      </c>
      <c r="D342" t="s">
        <v>75</v>
      </c>
      <c r="E342" t="s">
        <v>31</v>
      </c>
      <c r="F342">
        <v>37</v>
      </c>
      <c r="G342" s="2">
        <v>92</v>
      </c>
      <c r="H342" s="2">
        <v>3404</v>
      </c>
      <c r="I342" s="4">
        <v>0.12</v>
      </c>
      <c r="J342" s="2">
        <v>2995.52</v>
      </c>
      <c r="K342" s="1">
        <v>44028</v>
      </c>
      <c r="L342" s="1">
        <v>44028</v>
      </c>
      <c r="M342">
        <v>341</v>
      </c>
      <c r="N342">
        <v>1</v>
      </c>
      <c r="O342" t="s">
        <v>43</v>
      </c>
      <c r="P342" s="3">
        <v>0.1</v>
      </c>
      <c r="Q342" s="2">
        <v>299.55200000000002</v>
      </c>
      <c r="R342">
        <v>5</v>
      </c>
      <c r="S342" t="str">
        <f t="shared" si="5"/>
        <v>Junho</v>
      </c>
    </row>
    <row r="343" spans="1:19">
      <c r="A343">
        <v>342</v>
      </c>
      <c r="B343" s="1">
        <v>44011</v>
      </c>
      <c r="C343">
        <v>16</v>
      </c>
      <c r="D343" t="s">
        <v>27</v>
      </c>
      <c r="E343" t="s">
        <v>46</v>
      </c>
      <c r="F343">
        <v>27</v>
      </c>
      <c r="G343" s="2">
        <v>104</v>
      </c>
      <c r="H343" s="2">
        <v>2808</v>
      </c>
      <c r="I343" s="4">
        <v>7.0000000000000007E-2</v>
      </c>
      <c r="J343" s="2">
        <v>2611.44</v>
      </c>
      <c r="K343" s="1">
        <v>44016</v>
      </c>
      <c r="L343" s="1">
        <v>44016</v>
      </c>
      <c r="M343">
        <v>342</v>
      </c>
      <c r="N343">
        <v>2</v>
      </c>
      <c r="O343" t="s">
        <v>25</v>
      </c>
      <c r="P343" s="3">
        <v>7.0000000000000007E-2</v>
      </c>
      <c r="Q343" s="2">
        <v>182.80080000000001</v>
      </c>
      <c r="R343">
        <v>6</v>
      </c>
      <c r="S343" t="str">
        <f t="shared" si="5"/>
        <v>Junho</v>
      </c>
    </row>
    <row r="344" spans="1:19">
      <c r="A344">
        <v>343</v>
      </c>
      <c r="B344" s="1">
        <v>44012</v>
      </c>
      <c r="C344">
        <v>68</v>
      </c>
      <c r="D344" t="s">
        <v>49</v>
      </c>
      <c r="E344" t="s">
        <v>31</v>
      </c>
      <c r="F344">
        <v>18</v>
      </c>
      <c r="G344" s="2">
        <v>90</v>
      </c>
      <c r="H344" s="2">
        <v>1620</v>
      </c>
      <c r="I344" s="4">
        <v>0.06</v>
      </c>
      <c r="J344" s="2">
        <v>1522.8</v>
      </c>
      <c r="K344" s="1">
        <v>44036</v>
      </c>
      <c r="L344" s="1">
        <v>44036</v>
      </c>
      <c r="M344">
        <v>343</v>
      </c>
      <c r="N344">
        <v>4</v>
      </c>
      <c r="O344" t="s">
        <v>69</v>
      </c>
      <c r="P344" s="3">
        <v>0.09</v>
      </c>
      <c r="Q344" s="2">
        <v>137.05199999999999</v>
      </c>
      <c r="R344">
        <v>7</v>
      </c>
      <c r="S344" t="str">
        <f t="shared" si="5"/>
        <v>Junho</v>
      </c>
    </row>
    <row r="345" spans="1:19">
      <c r="A345">
        <v>344</v>
      </c>
      <c r="B345" s="1">
        <v>44012</v>
      </c>
      <c r="C345">
        <v>16</v>
      </c>
      <c r="D345" t="s">
        <v>27</v>
      </c>
      <c r="E345" t="s">
        <v>59</v>
      </c>
      <c r="F345">
        <v>38</v>
      </c>
      <c r="G345" s="2">
        <v>107</v>
      </c>
      <c r="H345" s="2">
        <v>4066</v>
      </c>
      <c r="I345" s="4">
        <v>0</v>
      </c>
      <c r="J345" s="2">
        <v>4066</v>
      </c>
      <c r="K345" s="1">
        <v>44031</v>
      </c>
      <c r="L345" s="1">
        <v>44031</v>
      </c>
      <c r="M345">
        <v>344</v>
      </c>
      <c r="N345">
        <v>5</v>
      </c>
      <c r="O345" t="s">
        <v>69</v>
      </c>
      <c r="P345" s="3">
        <v>7.0000000000000007E-2</v>
      </c>
      <c r="Q345" s="2">
        <v>284.62</v>
      </c>
      <c r="R345">
        <v>1</v>
      </c>
      <c r="S345" t="str">
        <f t="shared" si="5"/>
        <v>Junho</v>
      </c>
    </row>
    <row r="346" spans="1:19">
      <c r="A346">
        <v>345</v>
      </c>
      <c r="B346" s="1">
        <v>44014</v>
      </c>
      <c r="C346">
        <v>30</v>
      </c>
      <c r="D346" t="s">
        <v>96</v>
      </c>
      <c r="E346" t="s">
        <v>28</v>
      </c>
      <c r="F346">
        <v>48</v>
      </c>
      <c r="G346" s="2">
        <v>98</v>
      </c>
      <c r="H346" s="2">
        <v>4704</v>
      </c>
      <c r="I346" s="4">
        <v>0.04</v>
      </c>
      <c r="J346" s="2">
        <v>4515.84</v>
      </c>
      <c r="K346" s="1">
        <v>44017</v>
      </c>
      <c r="L346" s="1">
        <v>44017</v>
      </c>
      <c r="M346">
        <v>345</v>
      </c>
      <c r="N346">
        <v>5</v>
      </c>
      <c r="O346" t="s">
        <v>69</v>
      </c>
      <c r="P346" s="3">
        <v>7.0000000000000007E-2</v>
      </c>
      <c r="Q346" s="2">
        <v>316.10880000000003</v>
      </c>
      <c r="R346">
        <v>2</v>
      </c>
      <c r="S346" t="str">
        <f t="shared" si="5"/>
        <v>Julho</v>
      </c>
    </row>
    <row r="347" spans="1:19">
      <c r="A347">
        <v>346</v>
      </c>
      <c r="B347" s="1">
        <v>44014</v>
      </c>
      <c r="C347">
        <v>51</v>
      </c>
      <c r="D347" t="s">
        <v>53</v>
      </c>
      <c r="E347" t="s">
        <v>54</v>
      </c>
      <c r="F347">
        <v>22</v>
      </c>
      <c r="G347" s="2">
        <v>115</v>
      </c>
      <c r="H347" s="2">
        <v>2530</v>
      </c>
      <c r="I347" s="4">
        <v>7.0000000000000007E-2</v>
      </c>
      <c r="J347" s="2">
        <v>2352.9</v>
      </c>
      <c r="K347" s="1">
        <v>44019</v>
      </c>
      <c r="L347" s="1">
        <v>44019</v>
      </c>
      <c r="M347">
        <v>346</v>
      </c>
      <c r="N347">
        <v>4</v>
      </c>
      <c r="O347" t="s">
        <v>52</v>
      </c>
      <c r="P347" s="3">
        <v>0.05</v>
      </c>
      <c r="Q347" s="2">
        <v>117.64500000000001</v>
      </c>
      <c r="R347">
        <v>3</v>
      </c>
      <c r="S347" t="str">
        <f t="shared" si="5"/>
        <v>Julho</v>
      </c>
    </row>
    <row r="348" spans="1:19">
      <c r="A348">
        <v>347</v>
      </c>
      <c r="B348" s="1">
        <v>44014</v>
      </c>
      <c r="C348">
        <v>31</v>
      </c>
      <c r="D348" t="s">
        <v>85</v>
      </c>
      <c r="E348" t="s">
        <v>28</v>
      </c>
      <c r="F348">
        <v>12</v>
      </c>
      <c r="G348" s="2">
        <v>119</v>
      </c>
      <c r="H348" s="2">
        <v>1428</v>
      </c>
      <c r="I348" s="4">
        <v>0.13</v>
      </c>
      <c r="J348" s="2">
        <v>1242.3599999999999</v>
      </c>
      <c r="K348" s="1">
        <v>44031</v>
      </c>
      <c r="L348" s="1">
        <v>44031</v>
      </c>
      <c r="M348">
        <v>347</v>
      </c>
      <c r="N348">
        <v>5</v>
      </c>
      <c r="O348" t="s">
        <v>25</v>
      </c>
      <c r="P348" s="3">
        <v>7.0000000000000007E-2</v>
      </c>
      <c r="Q348" s="2">
        <v>86.965199999999996</v>
      </c>
      <c r="R348">
        <v>4</v>
      </c>
      <c r="S348" t="str">
        <f t="shared" si="5"/>
        <v>Julho</v>
      </c>
    </row>
    <row r="349" spans="1:19">
      <c r="A349">
        <v>348</v>
      </c>
      <c r="B349" s="1">
        <v>44015</v>
      </c>
      <c r="C349">
        <v>8</v>
      </c>
      <c r="D349" t="s">
        <v>38</v>
      </c>
      <c r="E349" t="s">
        <v>41</v>
      </c>
      <c r="F349">
        <v>29</v>
      </c>
      <c r="G349" s="2">
        <v>107</v>
      </c>
      <c r="H349" s="2">
        <v>3103</v>
      </c>
      <c r="I349" s="4">
        <v>0.02</v>
      </c>
      <c r="J349" s="2">
        <v>3040.94</v>
      </c>
      <c r="K349" s="1">
        <v>44033</v>
      </c>
      <c r="M349">
        <v>348</v>
      </c>
      <c r="N349">
        <v>4</v>
      </c>
      <c r="O349" t="s">
        <v>52</v>
      </c>
      <c r="P349" s="3">
        <v>0.08</v>
      </c>
      <c r="Q349" s="2">
        <v>243.27520000000001</v>
      </c>
      <c r="R349">
        <v>5</v>
      </c>
      <c r="S349" t="str">
        <f t="shared" si="5"/>
        <v>Julho</v>
      </c>
    </row>
    <row r="350" spans="1:19">
      <c r="A350">
        <v>349</v>
      </c>
      <c r="B350" s="1">
        <v>44016</v>
      </c>
      <c r="C350">
        <v>20</v>
      </c>
      <c r="D350" t="s">
        <v>39</v>
      </c>
      <c r="E350" t="s">
        <v>24</v>
      </c>
      <c r="F350">
        <v>48</v>
      </c>
      <c r="G350" s="2">
        <v>109</v>
      </c>
      <c r="H350" s="2">
        <v>5232</v>
      </c>
      <c r="I350" s="4">
        <v>7.0000000000000007E-2</v>
      </c>
      <c r="J350" s="2">
        <v>4865.76</v>
      </c>
      <c r="K350" s="1">
        <v>44036</v>
      </c>
      <c r="L350" s="1">
        <v>44036</v>
      </c>
      <c r="M350">
        <v>349</v>
      </c>
      <c r="N350">
        <v>4</v>
      </c>
      <c r="O350" t="s">
        <v>29</v>
      </c>
      <c r="P350" s="3">
        <v>0.09</v>
      </c>
      <c r="Q350" s="2">
        <v>437.91840000000002</v>
      </c>
      <c r="R350">
        <v>6</v>
      </c>
      <c r="S350" t="str">
        <f t="shared" si="5"/>
        <v>Julho</v>
      </c>
    </row>
    <row r="351" spans="1:19">
      <c r="A351">
        <v>350</v>
      </c>
      <c r="B351" s="1">
        <v>44017</v>
      </c>
      <c r="C351">
        <v>37</v>
      </c>
      <c r="D351" t="s">
        <v>48</v>
      </c>
      <c r="E351" t="s">
        <v>59</v>
      </c>
      <c r="F351">
        <v>23</v>
      </c>
      <c r="G351" s="2">
        <v>97</v>
      </c>
      <c r="H351" s="2">
        <v>2231</v>
      </c>
      <c r="I351" s="4">
        <v>0.15</v>
      </c>
      <c r="J351" s="2">
        <v>1896.35</v>
      </c>
      <c r="K351" s="1">
        <v>44036</v>
      </c>
      <c r="L351" s="1">
        <v>44036</v>
      </c>
      <c r="M351">
        <v>350</v>
      </c>
      <c r="N351">
        <v>3</v>
      </c>
      <c r="O351" t="s">
        <v>52</v>
      </c>
      <c r="P351" s="3">
        <v>0.1</v>
      </c>
      <c r="Q351" s="2">
        <v>189.63499999999999</v>
      </c>
      <c r="R351">
        <v>7</v>
      </c>
      <c r="S351" t="str">
        <f t="shared" si="5"/>
        <v>Julho</v>
      </c>
    </row>
    <row r="352" spans="1:19">
      <c r="A352">
        <v>351</v>
      </c>
      <c r="B352" s="1">
        <v>44017</v>
      </c>
      <c r="C352">
        <v>20</v>
      </c>
      <c r="D352" t="s">
        <v>39</v>
      </c>
      <c r="E352" t="s">
        <v>46</v>
      </c>
      <c r="F352">
        <v>42</v>
      </c>
      <c r="G352" s="2">
        <v>94</v>
      </c>
      <c r="H352" s="2">
        <v>3948</v>
      </c>
      <c r="I352" s="4">
        <v>0.06</v>
      </c>
      <c r="J352" s="2">
        <v>3711.12</v>
      </c>
      <c r="K352" s="1">
        <v>44047</v>
      </c>
      <c r="L352" s="1">
        <v>44047</v>
      </c>
      <c r="M352">
        <v>351</v>
      </c>
      <c r="N352">
        <v>1</v>
      </c>
      <c r="O352" t="s">
        <v>22</v>
      </c>
      <c r="P352" s="3">
        <v>0.1</v>
      </c>
      <c r="Q352" s="2">
        <v>371.11200000000002</v>
      </c>
      <c r="R352">
        <v>1</v>
      </c>
      <c r="S352" t="str">
        <f t="shared" si="5"/>
        <v>Julho</v>
      </c>
    </row>
    <row r="353" spans="1:19">
      <c r="A353">
        <v>352</v>
      </c>
      <c r="B353" s="1">
        <v>44018</v>
      </c>
      <c r="C353">
        <v>6</v>
      </c>
      <c r="D353" t="s">
        <v>88</v>
      </c>
      <c r="E353" t="s">
        <v>21</v>
      </c>
      <c r="F353">
        <v>40</v>
      </c>
      <c r="G353" s="2">
        <v>103</v>
      </c>
      <c r="H353" s="2">
        <v>4120</v>
      </c>
      <c r="I353" s="4">
        <v>7.0000000000000007E-2</v>
      </c>
      <c r="J353" s="2">
        <v>3831.6</v>
      </c>
      <c r="K353" s="1">
        <v>44019</v>
      </c>
      <c r="L353" s="1">
        <v>44019</v>
      </c>
      <c r="M353">
        <v>352</v>
      </c>
      <c r="N353">
        <v>5</v>
      </c>
      <c r="O353" t="s">
        <v>69</v>
      </c>
      <c r="P353" s="3">
        <v>0.09</v>
      </c>
      <c r="Q353" s="2">
        <v>344.84399999999999</v>
      </c>
      <c r="R353">
        <v>2</v>
      </c>
      <c r="S353" t="str">
        <f t="shared" si="5"/>
        <v>Julho</v>
      </c>
    </row>
    <row r="354" spans="1:19">
      <c r="A354">
        <v>353</v>
      </c>
      <c r="B354" s="1">
        <v>44018</v>
      </c>
      <c r="C354">
        <v>44</v>
      </c>
      <c r="D354" t="s">
        <v>71</v>
      </c>
      <c r="E354" t="s">
        <v>41</v>
      </c>
      <c r="F354">
        <v>48</v>
      </c>
      <c r="G354" s="2">
        <v>115</v>
      </c>
      <c r="H354" s="2">
        <v>5520</v>
      </c>
      <c r="I354" s="4">
        <v>0.09</v>
      </c>
      <c r="J354" s="2">
        <v>5023.2</v>
      </c>
      <c r="K354" s="1">
        <v>44038</v>
      </c>
      <c r="L354" s="1">
        <v>44038</v>
      </c>
      <c r="M354">
        <v>353</v>
      </c>
      <c r="N354">
        <v>1</v>
      </c>
      <c r="O354" t="s">
        <v>34</v>
      </c>
      <c r="P354" s="3">
        <v>0.1</v>
      </c>
      <c r="Q354" s="2">
        <v>502.32</v>
      </c>
      <c r="R354">
        <v>3</v>
      </c>
      <c r="S354" t="str">
        <f t="shared" si="5"/>
        <v>Julho</v>
      </c>
    </row>
    <row r="355" spans="1:19">
      <c r="A355">
        <v>354</v>
      </c>
      <c r="B355" s="1">
        <v>44019</v>
      </c>
      <c r="C355">
        <v>32</v>
      </c>
      <c r="D355" t="s">
        <v>77</v>
      </c>
      <c r="E355" t="s">
        <v>31</v>
      </c>
      <c r="F355">
        <v>48</v>
      </c>
      <c r="G355" s="2">
        <v>112</v>
      </c>
      <c r="H355" s="2">
        <v>5376</v>
      </c>
      <c r="I355" s="4">
        <v>0.1</v>
      </c>
      <c r="J355" s="2">
        <v>4838.3999999999996</v>
      </c>
      <c r="K355" s="1">
        <v>44021</v>
      </c>
      <c r="L355" s="1">
        <v>44021</v>
      </c>
      <c r="M355">
        <v>354</v>
      </c>
      <c r="N355">
        <v>3</v>
      </c>
      <c r="O355" t="s">
        <v>43</v>
      </c>
      <c r="P355" s="3">
        <v>0.08</v>
      </c>
      <c r="Q355" s="2">
        <v>387.072</v>
      </c>
      <c r="R355">
        <v>4</v>
      </c>
      <c r="S355" t="str">
        <f t="shared" si="5"/>
        <v>Julho</v>
      </c>
    </row>
    <row r="356" spans="1:19">
      <c r="A356">
        <v>355</v>
      </c>
      <c r="B356" s="1">
        <v>44020</v>
      </c>
      <c r="C356">
        <v>73</v>
      </c>
      <c r="D356" t="s">
        <v>38</v>
      </c>
      <c r="E356" t="s">
        <v>24</v>
      </c>
      <c r="F356">
        <v>17</v>
      </c>
      <c r="G356" s="2">
        <v>93</v>
      </c>
      <c r="H356" s="2">
        <v>1581</v>
      </c>
      <c r="I356" s="4">
        <v>0.12</v>
      </c>
      <c r="J356" s="2">
        <v>1391.28</v>
      </c>
      <c r="K356" s="1">
        <v>44038</v>
      </c>
      <c r="L356" s="1">
        <v>44038</v>
      </c>
      <c r="M356">
        <v>355</v>
      </c>
      <c r="N356">
        <v>4</v>
      </c>
      <c r="O356" t="s">
        <v>52</v>
      </c>
      <c r="P356" s="3">
        <v>0.08</v>
      </c>
      <c r="Q356" s="2">
        <v>111.30240000000001</v>
      </c>
      <c r="R356">
        <v>5</v>
      </c>
      <c r="S356" t="str">
        <f t="shared" si="5"/>
        <v>Julho</v>
      </c>
    </row>
    <row r="357" spans="1:19">
      <c r="A357">
        <v>356</v>
      </c>
      <c r="B357" s="1">
        <v>44021</v>
      </c>
      <c r="C357">
        <v>14</v>
      </c>
      <c r="D357" t="s">
        <v>27</v>
      </c>
      <c r="E357" t="s">
        <v>55</v>
      </c>
      <c r="F357">
        <v>11</v>
      </c>
      <c r="G357" s="2">
        <v>114</v>
      </c>
      <c r="H357" s="2">
        <v>1254</v>
      </c>
      <c r="I357" s="4">
        <v>0.09</v>
      </c>
      <c r="J357" s="2">
        <v>1141.1400000000001</v>
      </c>
      <c r="K357" s="1">
        <v>44039</v>
      </c>
      <c r="L357" s="1">
        <v>44039</v>
      </c>
      <c r="M357">
        <v>356</v>
      </c>
      <c r="N357">
        <v>5</v>
      </c>
      <c r="O357" t="s">
        <v>69</v>
      </c>
      <c r="P357" s="3">
        <v>0.08</v>
      </c>
      <c r="Q357" s="2">
        <v>91.291200000000003</v>
      </c>
      <c r="R357">
        <v>6</v>
      </c>
      <c r="S357" t="str">
        <f t="shared" si="5"/>
        <v>Julho</v>
      </c>
    </row>
    <row r="358" spans="1:19">
      <c r="A358">
        <v>357</v>
      </c>
      <c r="B358" s="1">
        <v>44022</v>
      </c>
      <c r="C358">
        <v>30</v>
      </c>
      <c r="D358" t="s">
        <v>96</v>
      </c>
      <c r="E358" t="s">
        <v>24</v>
      </c>
      <c r="F358">
        <v>43</v>
      </c>
      <c r="G358" s="2">
        <v>120</v>
      </c>
      <c r="H358" s="2">
        <v>5160</v>
      </c>
      <c r="I358" s="4">
        <v>0.1</v>
      </c>
      <c r="J358" s="2">
        <v>4644</v>
      </c>
      <c r="K358" s="1">
        <v>44034</v>
      </c>
      <c r="L358" s="1">
        <v>44034</v>
      </c>
      <c r="M358">
        <v>357</v>
      </c>
      <c r="N358">
        <v>4</v>
      </c>
      <c r="O358" t="s">
        <v>43</v>
      </c>
      <c r="P358" s="3">
        <v>0.09</v>
      </c>
      <c r="Q358" s="2">
        <v>417.96</v>
      </c>
      <c r="R358">
        <v>7</v>
      </c>
      <c r="S358" t="str">
        <f t="shared" si="5"/>
        <v>Julho</v>
      </c>
    </row>
    <row r="359" spans="1:19">
      <c r="A359">
        <v>358</v>
      </c>
      <c r="B359" s="1">
        <v>44023</v>
      </c>
      <c r="C359">
        <v>42</v>
      </c>
      <c r="D359" t="s">
        <v>92</v>
      </c>
      <c r="E359" t="s">
        <v>55</v>
      </c>
      <c r="F359">
        <v>36</v>
      </c>
      <c r="G359" s="2">
        <v>94</v>
      </c>
      <c r="H359" s="2">
        <v>3384</v>
      </c>
      <c r="I359" s="4">
        <v>0.04</v>
      </c>
      <c r="J359" s="2">
        <v>3248.64</v>
      </c>
      <c r="K359" s="1">
        <v>44042</v>
      </c>
      <c r="L359" s="1">
        <v>44042</v>
      </c>
      <c r="M359">
        <v>358</v>
      </c>
      <c r="N359">
        <v>1</v>
      </c>
      <c r="O359" t="s">
        <v>25</v>
      </c>
      <c r="P359" s="3">
        <v>0.05</v>
      </c>
      <c r="Q359" s="2">
        <v>162.43200000000002</v>
      </c>
      <c r="R359">
        <v>1</v>
      </c>
      <c r="S359" t="str">
        <f t="shared" si="5"/>
        <v>Julho</v>
      </c>
    </row>
    <row r="360" spans="1:19">
      <c r="A360">
        <v>359</v>
      </c>
      <c r="B360" s="1">
        <v>44023</v>
      </c>
      <c r="C360">
        <v>4</v>
      </c>
      <c r="D360" t="s">
        <v>86</v>
      </c>
      <c r="E360" t="s">
        <v>31</v>
      </c>
      <c r="F360">
        <v>11</v>
      </c>
      <c r="G360" s="2">
        <v>103</v>
      </c>
      <c r="H360" s="2">
        <v>1133</v>
      </c>
      <c r="I360" s="4">
        <v>0.09</v>
      </c>
      <c r="J360" s="2">
        <v>1031.03</v>
      </c>
      <c r="K360" s="1">
        <v>44053</v>
      </c>
      <c r="L360" s="1">
        <v>44053</v>
      </c>
      <c r="M360">
        <v>359</v>
      </c>
      <c r="N360">
        <v>6</v>
      </c>
      <c r="O360" t="s">
        <v>22</v>
      </c>
      <c r="P360" s="3">
        <v>0.05</v>
      </c>
      <c r="Q360" s="2">
        <v>51.551500000000004</v>
      </c>
      <c r="R360">
        <v>2</v>
      </c>
      <c r="S360" t="str">
        <f t="shared" si="5"/>
        <v>Julho</v>
      </c>
    </row>
    <row r="361" spans="1:19">
      <c r="A361">
        <v>360</v>
      </c>
      <c r="B361" s="1">
        <v>44023</v>
      </c>
      <c r="C361">
        <v>82</v>
      </c>
      <c r="D361" t="s">
        <v>67</v>
      </c>
      <c r="E361" t="s">
        <v>41</v>
      </c>
      <c r="F361">
        <v>11</v>
      </c>
      <c r="G361" s="2">
        <v>100</v>
      </c>
      <c r="H361" s="2">
        <v>1100</v>
      </c>
      <c r="I361" s="4">
        <v>7.0000000000000007E-2</v>
      </c>
      <c r="J361" s="2">
        <v>1023</v>
      </c>
      <c r="K361" s="1">
        <v>44051</v>
      </c>
      <c r="L361" s="1">
        <v>44051</v>
      </c>
      <c r="M361">
        <v>360</v>
      </c>
      <c r="N361">
        <v>2</v>
      </c>
      <c r="O361" t="s">
        <v>69</v>
      </c>
      <c r="P361" s="3">
        <v>0.06</v>
      </c>
      <c r="Q361" s="2">
        <v>61.379999999999995</v>
      </c>
      <c r="R361">
        <v>3</v>
      </c>
      <c r="S361" t="str">
        <f t="shared" si="5"/>
        <v>Julho</v>
      </c>
    </row>
    <row r="362" spans="1:19">
      <c r="A362">
        <v>361</v>
      </c>
      <c r="B362" s="1">
        <v>44024</v>
      </c>
      <c r="C362">
        <v>70</v>
      </c>
      <c r="D362" t="s">
        <v>67</v>
      </c>
      <c r="E362" t="s">
        <v>46</v>
      </c>
      <c r="F362">
        <v>16</v>
      </c>
      <c r="G362" s="2">
        <v>112</v>
      </c>
      <c r="H362" s="2">
        <v>1792</v>
      </c>
      <c r="I362" s="4">
        <v>7.0000000000000007E-2</v>
      </c>
      <c r="J362" s="2">
        <v>1666.56</v>
      </c>
      <c r="K362" s="1">
        <v>44028</v>
      </c>
      <c r="L362" s="1">
        <v>44028</v>
      </c>
      <c r="M362">
        <v>361</v>
      </c>
      <c r="N362">
        <v>2</v>
      </c>
      <c r="O362" t="s">
        <v>34</v>
      </c>
      <c r="P362" s="3">
        <v>7.0000000000000007E-2</v>
      </c>
      <c r="Q362" s="2">
        <v>116.65920000000001</v>
      </c>
      <c r="R362">
        <v>4</v>
      </c>
      <c r="S362" t="str">
        <f t="shared" si="5"/>
        <v>Julho</v>
      </c>
    </row>
    <row r="363" spans="1:19">
      <c r="A363">
        <v>362</v>
      </c>
      <c r="B363" s="1">
        <v>44024</v>
      </c>
      <c r="C363">
        <v>78</v>
      </c>
      <c r="D363" t="s">
        <v>36</v>
      </c>
      <c r="E363" t="s">
        <v>46</v>
      </c>
      <c r="F363">
        <v>10</v>
      </c>
      <c r="G363" s="2">
        <v>103</v>
      </c>
      <c r="H363" s="2">
        <v>1030</v>
      </c>
      <c r="I363" s="4">
        <v>0.05</v>
      </c>
      <c r="J363" s="2">
        <v>978.5</v>
      </c>
      <c r="K363" s="1">
        <v>44025</v>
      </c>
      <c r="L363" s="1">
        <v>44025</v>
      </c>
      <c r="M363">
        <v>362</v>
      </c>
      <c r="N363">
        <v>2</v>
      </c>
      <c r="O363" t="s">
        <v>32</v>
      </c>
      <c r="P363" s="3">
        <v>0.09</v>
      </c>
      <c r="Q363" s="2">
        <v>88.064999999999998</v>
      </c>
      <c r="R363">
        <v>5</v>
      </c>
      <c r="S363" t="str">
        <f t="shared" si="5"/>
        <v>Julho</v>
      </c>
    </row>
    <row r="364" spans="1:19">
      <c r="A364">
        <v>363</v>
      </c>
      <c r="B364" s="1">
        <v>44026</v>
      </c>
      <c r="C364">
        <v>14</v>
      </c>
      <c r="D364" t="s">
        <v>27</v>
      </c>
      <c r="E364" t="s">
        <v>28</v>
      </c>
      <c r="F364">
        <v>39</v>
      </c>
      <c r="G364" s="2">
        <v>105</v>
      </c>
      <c r="H364" s="2">
        <v>4095</v>
      </c>
      <c r="I364" s="4">
        <v>0.05</v>
      </c>
      <c r="J364" s="2">
        <v>3890.25</v>
      </c>
      <c r="K364" s="1">
        <v>44049</v>
      </c>
      <c r="L364" s="1">
        <v>44049</v>
      </c>
      <c r="M364">
        <v>363</v>
      </c>
      <c r="N364">
        <v>7</v>
      </c>
      <c r="O364" t="s">
        <v>69</v>
      </c>
      <c r="P364" s="3">
        <v>0.1</v>
      </c>
      <c r="Q364" s="2">
        <v>389.02500000000003</v>
      </c>
      <c r="R364">
        <v>6</v>
      </c>
      <c r="S364" t="str">
        <f t="shared" si="5"/>
        <v>Julho</v>
      </c>
    </row>
    <row r="365" spans="1:19">
      <c r="A365">
        <v>364</v>
      </c>
      <c r="B365" s="1">
        <v>44028</v>
      </c>
      <c r="C365">
        <v>17</v>
      </c>
      <c r="D365" t="s">
        <v>67</v>
      </c>
      <c r="E365" t="s">
        <v>55</v>
      </c>
      <c r="F365">
        <v>40</v>
      </c>
      <c r="G365" s="2">
        <v>112</v>
      </c>
      <c r="H365" s="2">
        <v>4480</v>
      </c>
      <c r="I365" s="4">
        <v>0.04</v>
      </c>
      <c r="J365" s="2">
        <v>4300.8</v>
      </c>
      <c r="K365" s="1">
        <v>44055</v>
      </c>
      <c r="L365" s="1">
        <v>44055</v>
      </c>
      <c r="M365">
        <v>364</v>
      </c>
      <c r="N365">
        <v>6</v>
      </c>
      <c r="O365" t="s">
        <v>32</v>
      </c>
      <c r="P365" s="3">
        <v>0.1</v>
      </c>
      <c r="Q365" s="2">
        <v>430.08000000000004</v>
      </c>
      <c r="R365">
        <v>7</v>
      </c>
      <c r="S365" t="str">
        <f t="shared" si="5"/>
        <v>Julho</v>
      </c>
    </row>
    <row r="366" spans="1:19">
      <c r="A366">
        <v>365</v>
      </c>
      <c r="B366" s="1">
        <v>44028</v>
      </c>
      <c r="C366">
        <v>22</v>
      </c>
      <c r="D366" t="s">
        <v>51</v>
      </c>
      <c r="E366" t="s">
        <v>41</v>
      </c>
      <c r="F366">
        <v>22</v>
      </c>
      <c r="G366" s="2">
        <v>111</v>
      </c>
      <c r="H366" s="2">
        <v>2442</v>
      </c>
      <c r="I366" s="4">
        <v>0.11</v>
      </c>
      <c r="J366" s="2">
        <v>2173.38</v>
      </c>
      <c r="K366" s="1">
        <v>44038</v>
      </c>
      <c r="L366" s="1">
        <v>44038</v>
      </c>
      <c r="M366">
        <v>365</v>
      </c>
      <c r="N366">
        <v>6</v>
      </c>
      <c r="O366" t="s">
        <v>32</v>
      </c>
      <c r="P366" s="3">
        <v>0.08</v>
      </c>
      <c r="Q366" s="2">
        <v>173.87040000000002</v>
      </c>
      <c r="R366">
        <v>1</v>
      </c>
      <c r="S366" t="str">
        <f t="shared" si="5"/>
        <v>Julho</v>
      </c>
    </row>
    <row r="367" spans="1:19">
      <c r="A367">
        <v>366</v>
      </c>
      <c r="B367" s="1">
        <v>44030</v>
      </c>
      <c r="C367">
        <v>56</v>
      </c>
      <c r="D367" t="s">
        <v>67</v>
      </c>
      <c r="E367" t="s">
        <v>41</v>
      </c>
      <c r="F367">
        <v>26</v>
      </c>
      <c r="G367" s="2">
        <v>96</v>
      </c>
      <c r="H367" s="2">
        <v>2496</v>
      </c>
      <c r="I367" s="4">
        <v>0.08</v>
      </c>
      <c r="J367" s="2">
        <v>2296.3200000000002</v>
      </c>
      <c r="K367" s="1">
        <v>44040</v>
      </c>
      <c r="L367" s="1">
        <v>44040</v>
      </c>
      <c r="M367">
        <v>366</v>
      </c>
      <c r="N367">
        <v>6</v>
      </c>
      <c r="O367" t="s">
        <v>43</v>
      </c>
      <c r="P367" s="3">
        <v>0.1</v>
      </c>
      <c r="Q367" s="2">
        <v>229.63200000000003</v>
      </c>
      <c r="R367">
        <v>2</v>
      </c>
      <c r="S367" t="str">
        <f t="shared" si="5"/>
        <v>Julho</v>
      </c>
    </row>
    <row r="368" spans="1:19">
      <c r="A368">
        <v>367</v>
      </c>
      <c r="B368" s="1">
        <v>44031</v>
      </c>
      <c r="C368">
        <v>16</v>
      </c>
      <c r="D368" t="s">
        <v>27</v>
      </c>
      <c r="E368" t="s">
        <v>28</v>
      </c>
      <c r="F368">
        <v>26</v>
      </c>
      <c r="G368" s="2">
        <v>118</v>
      </c>
      <c r="H368" s="2">
        <v>3068</v>
      </c>
      <c r="I368" s="4">
        <v>0.02</v>
      </c>
      <c r="J368" s="2">
        <v>3006.64</v>
      </c>
      <c r="K368" s="1">
        <v>44060</v>
      </c>
      <c r="L368" s="1">
        <v>44060</v>
      </c>
      <c r="M368">
        <v>367</v>
      </c>
      <c r="N368">
        <v>1</v>
      </c>
      <c r="O368" t="s">
        <v>43</v>
      </c>
      <c r="P368" s="3">
        <v>7.0000000000000007E-2</v>
      </c>
      <c r="Q368" s="2">
        <v>210.46480000000003</v>
      </c>
      <c r="R368">
        <v>3</v>
      </c>
      <c r="S368" t="str">
        <f t="shared" si="5"/>
        <v>Julho</v>
      </c>
    </row>
    <row r="369" spans="1:19">
      <c r="A369">
        <v>368</v>
      </c>
      <c r="B369" s="1">
        <v>44031</v>
      </c>
      <c r="C369">
        <v>72</v>
      </c>
      <c r="D369" t="s">
        <v>38</v>
      </c>
      <c r="E369" t="s">
        <v>59</v>
      </c>
      <c r="F369">
        <v>38</v>
      </c>
      <c r="G369" s="2">
        <v>104</v>
      </c>
      <c r="H369" s="2">
        <v>3952</v>
      </c>
      <c r="I369" s="4">
        <v>0.01</v>
      </c>
      <c r="J369" s="2">
        <v>3912.48</v>
      </c>
      <c r="K369" s="1">
        <v>44053</v>
      </c>
      <c r="L369" s="1">
        <v>44053</v>
      </c>
      <c r="M369">
        <v>368</v>
      </c>
      <c r="N369">
        <v>6</v>
      </c>
      <c r="O369" t="s">
        <v>34</v>
      </c>
      <c r="P369" s="3">
        <v>7.0000000000000007E-2</v>
      </c>
      <c r="Q369" s="2">
        <v>273.87360000000001</v>
      </c>
      <c r="R369">
        <v>4</v>
      </c>
      <c r="S369" t="str">
        <f t="shared" si="5"/>
        <v>Julho</v>
      </c>
    </row>
    <row r="370" spans="1:19">
      <c r="A370">
        <v>369</v>
      </c>
      <c r="B370" s="1">
        <v>44031</v>
      </c>
      <c r="C370">
        <v>8</v>
      </c>
      <c r="D370" t="s">
        <v>38</v>
      </c>
      <c r="E370" t="s">
        <v>50</v>
      </c>
      <c r="F370">
        <v>43</v>
      </c>
      <c r="G370" s="2">
        <v>94</v>
      </c>
      <c r="H370" s="2">
        <v>4042</v>
      </c>
      <c r="I370" s="4">
        <v>0.15</v>
      </c>
      <c r="J370" s="2">
        <v>3435.7</v>
      </c>
      <c r="K370" s="1">
        <v>44031</v>
      </c>
      <c r="L370" s="1">
        <v>44031</v>
      </c>
      <c r="M370">
        <v>369</v>
      </c>
      <c r="N370">
        <v>6</v>
      </c>
      <c r="O370" t="s">
        <v>52</v>
      </c>
      <c r="P370" s="3">
        <v>0.09</v>
      </c>
      <c r="Q370" s="2">
        <v>309.21299999999997</v>
      </c>
      <c r="R370">
        <v>5</v>
      </c>
      <c r="S370" t="str">
        <f t="shared" si="5"/>
        <v>Julho</v>
      </c>
    </row>
    <row r="371" spans="1:19">
      <c r="A371">
        <v>370</v>
      </c>
      <c r="B371" s="1">
        <v>44032</v>
      </c>
      <c r="C371">
        <v>66</v>
      </c>
      <c r="D371" t="s">
        <v>30</v>
      </c>
      <c r="E371" t="s">
        <v>21</v>
      </c>
      <c r="F371">
        <v>50</v>
      </c>
      <c r="G371" s="2">
        <v>112</v>
      </c>
      <c r="H371" s="2">
        <v>5600</v>
      </c>
      <c r="I371" s="4">
        <v>0.03</v>
      </c>
      <c r="J371" s="2">
        <v>5432</v>
      </c>
      <c r="K371" s="1">
        <v>44048</v>
      </c>
      <c r="L371" s="1">
        <v>44048</v>
      </c>
      <c r="M371">
        <v>370</v>
      </c>
      <c r="N371">
        <v>5</v>
      </c>
      <c r="O371" t="s">
        <v>29</v>
      </c>
      <c r="P371" s="3">
        <v>0.06</v>
      </c>
      <c r="Q371" s="2">
        <v>325.92</v>
      </c>
      <c r="R371">
        <v>6</v>
      </c>
      <c r="S371" t="str">
        <f t="shared" si="5"/>
        <v>Julho</v>
      </c>
    </row>
    <row r="372" spans="1:19">
      <c r="A372">
        <v>371</v>
      </c>
      <c r="B372" s="1">
        <v>44032</v>
      </c>
      <c r="C372">
        <v>17</v>
      </c>
      <c r="D372" t="s">
        <v>67</v>
      </c>
      <c r="E372" t="s">
        <v>31</v>
      </c>
      <c r="F372">
        <v>39</v>
      </c>
      <c r="G372" s="2">
        <v>116</v>
      </c>
      <c r="H372" s="2">
        <v>4524</v>
      </c>
      <c r="I372" s="4">
        <v>0.15</v>
      </c>
      <c r="J372" s="2">
        <v>3845.4</v>
      </c>
      <c r="K372" s="1">
        <v>44049</v>
      </c>
      <c r="L372" s="1">
        <v>44049</v>
      </c>
      <c r="M372">
        <v>371</v>
      </c>
      <c r="N372">
        <v>3</v>
      </c>
      <c r="O372" t="s">
        <v>34</v>
      </c>
      <c r="P372" s="3">
        <v>0.05</v>
      </c>
      <c r="Q372" s="2">
        <v>192.27</v>
      </c>
      <c r="R372">
        <v>7</v>
      </c>
      <c r="S372" t="str">
        <f t="shared" si="5"/>
        <v>Julho</v>
      </c>
    </row>
    <row r="373" spans="1:19">
      <c r="A373">
        <v>372</v>
      </c>
      <c r="B373" s="1">
        <v>44033</v>
      </c>
      <c r="C373">
        <v>57</v>
      </c>
      <c r="D373" t="s">
        <v>89</v>
      </c>
      <c r="E373" t="s">
        <v>46</v>
      </c>
      <c r="F373">
        <v>24</v>
      </c>
      <c r="G373" s="2">
        <v>102</v>
      </c>
      <c r="H373" s="2">
        <v>2448</v>
      </c>
      <c r="I373" s="4">
        <v>0.04</v>
      </c>
      <c r="J373" s="2">
        <v>2350.08</v>
      </c>
      <c r="K373" s="1">
        <v>44063</v>
      </c>
      <c r="L373" s="1">
        <v>44063</v>
      </c>
      <c r="M373">
        <v>372</v>
      </c>
      <c r="N373">
        <v>4</v>
      </c>
      <c r="O373" t="s">
        <v>32</v>
      </c>
      <c r="P373" s="3">
        <v>0.06</v>
      </c>
      <c r="Q373" s="2">
        <v>141.00479999999999</v>
      </c>
      <c r="R373">
        <v>1</v>
      </c>
      <c r="S373" t="str">
        <f t="shared" si="5"/>
        <v>Julho</v>
      </c>
    </row>
    <row r="374" spans="1:19">
      <c r="A374">
        <v>373</v>
      </c>
      <c r="B374" s="1">
        <v>44034</v>
      </c>
      <c r="C374">
        <v>32</v>
      </c>
      <c r="D374" t="s">
        <v>77</v>
      </c>
      <c r="E374" t="s">
        <v>46</v>
      </c>
      <c r="F374">
        <v>22</v>
      </c>
      <c r="G374" s="2">
        <v>99</v>
      </c>
      <c r="H374" s="2">
        <v>2178</v>
      </c>
      <c r="I374" s="4">
        <v>0.03</v>
      </c>
      <c r="J374" s="2">
        <v>2112.66</v>
      </c>
      <c r="K374" s="1">
        <v>44052</v>
      </c>
      <c r="L374" s="1">
        <v>44052</v>
      </c>
      <c r="M374">
        <v>373</v>
      </c>
      <c r="N374">
        <v>3</v>
      </c>
      <c r="O374" t="s">
        <v>34</v>
      </c>
      <c r="P374" s="3">
        <v>0.08</v>
      </c>
      <c r="Q374" s="2">
        <v>169.0128</v>
      </c>
      <c r="R374">
        <v>2</v>
      </c>
      <c r="S374" t="str">
        <f t="shared" si="5"/>
        <v>Julho</v>
      </c>
    </row>
    <row r="375" spans="1:19">
      <c r="A375">
        <v>374</v>
      </c>
      <c r="B375" s="1">
        <v>44034</v>
      </c>
      <c r="C375">
        <v>97</v>
      </c>
      <c r="D375" t="s">
        <v>66</v>
      </c>
      <c r="E375" t="s">
        <v>46</v>
      </c>
      <c r="F375">
        <v>41</v>
      </c>
      <c r="G375" s="2">
        <v>105</v>
      </c>
      <c r="H375" s="2">
        <v>4305</v>
      </c>
      <c r="I375" s="4">
        <v>0.02</v>
      </c>
      <c r="J375" s="2">
        <v>4218.8999999999996</v>
      </c>
      <c r="K375" s="1">
        <v>44050</v>
      </c>
      <c r="L375" s="1">
        <v>44050</v>
      </c>
      <c r="M375">
        <v>374</v>
      </c>
      <c r="N375">
        <v>5</v>
      </c>
      <c r="O375" t="s">
        <v>25</v>
      </c>
      <c r="P375" s="3">
        <v>7.0000000000000007E-2</v>
      </c>
      <c r="Q375" s="2">
        <v>295.32299999999998</v>
      </c>
      <c r="R375">
        <v>3</v>
      </c>
      <c r="S375" t="str">
        <f t="shared" si="5"/>
        <v>Julho</v>
      </c>
    </row>
    <row r="376" spans="1:19">
      <c r="A376">
        <v>375</v>
      </c>
      <c r="B376" s="1">
        <v>44034</v>
      </c>
      <c r="C376">
        <v>53</v>
      </c>
      <c r="D376" t="s">
        <v>88</v>
      </c>
      <c r="E376" t="s">
        <v>24</v>
      </c>
      <c r="F376">
        <v>33</v>
      </c>
      <c r="G376" s="2">
        <v>99</v>
      </c>
      <c r="H376" s="2">
        <v>3267</v>
      </c>
      <c r="I376" s="4">
        <v>7.0000000000000007E-2</v>
      </c>
      <c r="J376" s="2">
        <v>3038.31</v>
      </c>
      <c r="K376" s="1">
        <v>44044</v>
      </c>
      <c r="L376" s="1">
        <v>44044</v>
      </c>
      <c r="M376">
        <v>375</v>
      </c>
      <c r="N376">
        <v>5</v>
      </c>
      <c r="O376" t="s">
        <v>69</v>
      </c>
      <c r="P376" s="3">
        <v>7.0000000000000007E-2</v>
      </c>
      <c r="Q376" s="2">
        <v>212.68170000000001</v>
      </c>
      <c r="R376">
        <v>4</v>
      </c>
      <c r="S376" t="str">
        <f t="shared" si="5"/>
        <v>Julho</v>
      </c>
    </row>
    <row r="377" spans="1:19">
      <c r="A377">
        <v>376</v>
      </c>
      <c r="B377" s="1">
        <v>44035</v>
      </c>
      <c r="C377">
        <v>75</v>
      </c>
      <c r="D377" t="s">
        <v>38</v>
      </c>
      <c r="E377" t="s">
        <v>24</v>
      </c>
      <c r="F377">
        <v>38</v>
      </c>
      <c r="G377" s="2">
        <v>120</v>
      </c>
      <c r="H377" s="2">
        <v>4560</v>
      </c>
      <c r="I377" s="4">
        <v>0.15</v>
      </c>
      <c r="J377" s="2">
        <v>3876</v>
      </c>
      <c r="K377" s="1">
        <v>44041</v>
      </c>
      <c r="L377" s="1">
        <v>44041</v>
      </c>
      <c r="M377">
        <v>376</v>
      </c>
      <c r="N377">
        <v>2</v>
      </c>
      <c r="O377" t="s">
        <v>32</v>
      </c>
      <c r="P377" s="3">
        <v>0.06</v>
      </c>
      <c r="Q377" s="2">
        <v>232.56</v>
      </c>
      <c r="R377">
        <v>5</v>
      </c>
      <c r="S377" t="str">
        <f t="shared" si="5"/>
        <v>Julho</v>
      </c>
    </row>
    <row r="378" spans="1:19">
      <c r="A378">
        <v>377</v>
      </c>
      <c r="B378" s="1">
        <v>44035</v>
      </c>
      <c r="C378">
        <v>93</v>
      </c>
      <c r="D378" t="s">
        <v>33</v>
      </c>
      <c r="E378" t="s">
        <v>59</v>
      </c>
      <c r="F378">
        <v>10</v>
      </c>
      <c r="G378" s="2">
        <v>93</v>
      </c>
      <c r="H378" s="2">
        <v>930</v>
      </c>
      <c r="I378" s="4">
        <v>0.14000000000000001</v>
      </c>
      <c r="J378" s="2">
        <v>799.8</v>
      </c>
      <c r="K378" s="1">
        <v>44059</v>
      </c>
      <c r="L378" s="1">
        <v>44059</v>
      </c>
      <c r="M378">
        <v>377</v>
      </c>
      <c r="N378">
        <v>3</v>
      </c>
      <c r="O378" t="s">
        <v>25</v>
      </c>
      <c r="P378" s="3">
        <v>7.0000000000000007E-2</v>
      </c>
      <c r="Q378" s="2">
        <v>55.986000000000004</v>
      </c>
      <c r="R378">
        <v>6</v>
      </c>
      <c r="S378" t="str">
        <f t="shared" si="5"/>
        <v>Julho</v>
      </c>
    </row>
    <row r="379" spans="1:19">
      <c r="A379">
        <v>378</v>
      </c>
      <c r="B379" s="1">
        <v>44035</v>
      </c>
      <c r="C379">
        <v>33</v>
      </c>
      <c r="D379" t="s">
        <v>76</v>
      </c>
      <c r="E379" t="s">
        <v>46</v>
      </c>
      <c r="F379">
        <v>13</v>
      </c>
      <c r="G379" s="2">
        <v>105</v>
      </c>
      <c r="H379" s="2">
        <v>1365</v>
      </c>
      <c r="I379" s="4">
        <v>0.03</v>
      </c>
      <c r="J379" s="2">
        <v>1324.05</v>
      </c>
      <c r="K379" s="1">
        <v>44042</v>
      </c>
      <c r="L379" s="1">
        <v>44042</v>
      </c>
      <c r="M379">
        <v>378</v>
      </c>
      <c r="N379">
        <v>6</v>
      </c>
      <c r="O379" t="s">
        <v>37</v>
      </c>
      <c r="P379" s="3">
        <v>0.08</v>
      </c>
      <c r="Q379" s="2">
        <v>105.92399999999999</v>
      </c>
      <c r="R379">
        <v>7</v>
      </c>
      <c r="S379" t="str">
        <f t="shared" si="5"/>
        <v>Julho</v>
      </c>
    </row>
    <row r="380" spans="1:19">
      <c r="A380">
        <v>379</v>
      </c>
      <c r="B380" s="1">
        <v>44036</v>
      </c>
      <c r="C380">
        <v>63</v>
      </c>
      <c r="D380" t="s">
        <v>80</v>
      </c>
      <c r="E380" t="s">
        <v>59</v>
      </c>
      <c r="F380">
        <v>27</v>
      </c>
      <c r="G380" s="2">
        <v>107</v>
      </c>
      <c r="H380" s="2">
        <v>2889</v>
      </c>
      <c r="I380" s="4">
        <v>0.1</v>
      </c>
      <c r="J380" s="2">
        <v>2600.1</v>
      </c>
      <c r="K380" s="1">
        <v>44061</v>
      </c>
      <c r="L380" s="1">
        <v>44061</v>
      </c>
      <c r="M380">
        <v>379</v>
      </c>
      <c r="N380">
        <v>7</v>
      </c>
      <c r="O380" t="s">
        <v>47</v>
      </c>
      <c r="P380" s="3">
        <v>0.06</v>
      </c>
      <c r="Q380" s="2">
        <v>156.006</v>
      </c>
      <c r="R380">
        <v>1</v>
      </c>
      <c r="S380" t="str">
        <f t="shared" si="5"/>
        <v>Julho</v>
      </c>
    </row>
    <row r="381" spans="1:19">
      <c r="A381">
        <v>380</v>
      </c>
      <c r="B381" s="1">
        <v>44036</v>
      </c>
      <c r="C381">
        <v>59</v>
      </c>
      <c r="D381" t="s">
        <v>97</v>
      </c>
      <c r="E381" t="s">
        <v>24</v>
      </c>
      <c r="F381">
        <v>25</v>
      </c>
      <c r="G381" s="2">
        <v>92</v>
      </c>
      <c r="H381" s="2">
        <v>2300</v>
      </c>
      <c r="I381" s="4">
        <v>0.04</v>
      </c>
      <c r="J381" s="2">
        <v>2208</v>
      </c>
      <c r="K381" s="1">
        <v>44039</v>
      </c>
      <c r="L381" s="1">
        <v>44039</v>
      </c>
      <c r="M381">
        <v>380</v>
      </c>
      <c r="N381">
        <v>2</v>
      </c>
      <c r="O381" t="s">
        <v>29</v>
      </c>
      <c r="P381" s="3">
        <v>0.06</v>
      </c>
      <c r="Q381" s="2">
        <v>132.47999999999999</v>
      </c>
      <c r="R381">
        <v>2</v>
      </c>
      <c r="S381" t="str">
        <f t="shared" si="5"/>
        <v>Julho</v>
      </c>
    </row>
    <row r="382" spans="1:19">
      <c r="A382">
        <v>381</v>
      </c>
      <c r="B382" s="1">
        <v>44036</v>
      </c>
      <c r="C382">
        <v>82</v>
      </c>
      <c r="D382" t="s">
        <v>67</v>
      </c>
      <c r="E382" t="s">
        <v>50</v>
      </c>
      <c r="F382">
        <v>43</v>
      </c>
      <c r="G382" s="2">
        <v>119</v>
      </c>
      <c r="H382" s="2">
        <v>5117</v>
      </c>
      <c r="I382" s="4">
        <v>0</v>
      </c>
      <c r="J382" s="2">
        <v>5117</v>
      </c>
      <c r="K382" s="1">
        <v>44046</v>
      </c>
      <c r="L382" s="1">
        <v>44046</v>
      </c>
      <c r="M382">
        <v>381</v>
      </c>
      <c r="N382">
        <v>2</v>
      </c>
      <c r="O382" t="s">
        <v>52</v>
      </c>
      <c r="P382" s="3">
        <v>0.06</v>
      </c>
      <c r="Q382" s="2">
        <v>307.02</v>
      </c>
      <c r="R382">
        <v>3</v>
      </c>
      <c r="S382" t="str">
        <f t="shared" si="5"/>
        <v>Julho</v>
      </c>
    </row>
    <row r="383" spans="1:19">
      <c r="A383">
        <v>382</v>
      </c>
      <c r="B383" s="1">
        <v>44037</v>
      </c>
      <c r="C383">
        <v>46</v>
      </c>
      <c r="D383" t="s">
        <v>94</v>
      </c>
      <c r="E383" t="s">
        <v>28</v>
      </c>
      <c r="F383">
        <v>47</v>
      </c>
      <c r="G383" s="2">
        <v>107</v>
      </c>
      <c r="H383" s="2">
        <v>5029</v>
      </c>
      <c r="I383" s="4">
        <v>0.1</v>
      </c>
      <c r="J383" s="2">
        <v>4526.1000000000004</v>
      </c>
      <c r="K383" s="1">
        <v>44050</v>
      </c>
      <c r="L383" s="1">
        <v>44050</v>
      </c>
      <c r="M383">
        <v>382</v>
      </c>
      <c r="N383">
        <v>6</v>
      </c>
      <c r="O383" t="s">
        <v>43</v>
      </c>
      <c r="P383" s="3">
        <v>0.1</v>
      </c>
      <c r="Q383" s="2">
        <v>452.61000000000007</v>
      </c>
      <c r="R383">
        <v>4</v>
      </c>
      <c r="S383" t="str">
        <f t="shared" si="5"/>
        <v>Julho</v>
      </c>
    </row>
    <row r="384" spans="1:19">
      <c r="A384">
        <v>383</v>
      </c>
      <c r="B384" s="1">
        <v>44038</v>
      </c>
      <c r="C384">
        <v>98</v>
      </c>
      <c r="D384" t="s">
        <v>26</v>
      </c>
      <c r="E384" t="s">
        <v>31</v>
      </c>
      <c r="F384">
        <v>11</v>
      </c>
      <c r="G384" s="2">
        <v>95</v>
      </c>
      <c r="H384" s="2">
        <v>1045</v>
      </c>
      <c r="I384" s="4">
        <v>0.08</v>
      </c>
      <c r="J384" s="2">
        <v>961.4</v>
      </c>
      <c r="K384" s="1">
        <v>44044</v>
      </c>
      <c r="L384" s="1">
        <v>44044</v>
      </c>
      <c r="M384">
        <v>383</v>
      </c>
      <c r="N384">
        <v>2</v>
      </c>
      <c r="O384" t="s">
        <v>25</v>
      </c>
      <c r="P384" s="3">
        <v>7.0000000000000007E-2</v>
      </c>
      <c r="Q384" s="2">
        <v>67.298000000000002</v>
      </c>
      <c r="R384">
        <v>5</v>
      </c>
      <c r="S384" t="str">
        <f t="shared" si="5"/>
        <v>Julho</v>
      </c>
    </row>
    <row r="385" spans="1:19">
      <c r="A385">
        <v>384</v>
      </c>
      <c r="B385" s="1">
        <v>44039</v>
      </c>
      <c r="C385">
        <v>12</v>
      </c>
      <c r="D385" t="s">
        <v>45</v>
      </c>
      <c r="E385" t="s">
        <v>24</v>
      </c>
      <c r="F385">
        <v>41</v>
      </c>
      <c r="G385" s="2">
        <v>105</v>
      </c>
      <c r="H385" s="2">
        <v>4305</v>
      </c>
      <c r="I385" s="4">
        <v>0</v>
      </c>
      <c r="J385" s="2">
        <v>4305</v>
      </c>
      <c r="K385" s="1">
        <v>44063</v>
      </c>
      <c r="L385" s="1">
        <v>44063</v>
      </c>
      <c r="M385">
        <v>384</v>
      </c>
      <c r="N385">
        <v>3</v>
      </c>
      <c r="O385" t="s">
        <v>29</v>
      </c>
      <c r="P385" s="3">
        <v>0.08</v>
      </c>
      <c r="Q385" s="2">
        <v>344.40000000000003</v>
      </c>
      <c r="R385">
        <v>6</v>
      </c>
      <c r="S385" t="str">
        <f t="shared" si="5"/>
        <v>Julho</v>
      </c>
    </row>
    <row r="386" spans="1:19">
      <c r="A386">
        <v>385</v>
      </c>
      <c r="B386" s="1">
        <v>44041</v>
      </c>
      <c r="C386">
        <v>80</v>
      </c>
      <c r="D386" t="s">
        <v>38</v>
      </c>
      <c r="E386" t="s">
        <v>21</v>
      </c>
      <c r="F386">
        <v>49</v>
      </c>
      <c r="G386" s="2">
        <v>109</v>
      </c>
      <c r="H386" s="2">
        <v>5341</v>
      </c>
      <c r="I386" s="4">
        <v>0.15</v>
      </c>
      <c r="J386" s="2">
        <v>4539.8500000000004</v>
      </c>
      <c r="K386" s="1">
        <v>44042</v>
      </c>
      <c r="L386" s="1">
        <v>44042</v>
      </c>
      <c r="M386">
        <v>385</v>
      </c>
      <c r="N386">
        <v>2</v>
      </c>
      <c r="O386" t="s">
        <v>52</v>
      </c>
      <c r="P386" s="3">
        <v>0.06</v>
      </c>
      <c r="Q386" s="2">
        <v>272.39100000000002</v>
      </c>
      <c r="R386">
        <v>7</v>
      </c>
      <c r="S386" t="str">
        <f t="shared" si="5"/>
        <v>Julho</v>
      </c>
    </row>
    <row r="387" spans="1:19">
      <c r="A387">
        <v>386</v>
      </c>
      <c r="B387" s="1">
        <v>44042</v>
      </c>
      <c r="C387">
        <v>49</v>
      </c>
      <c r="D387" t="s">
        <v>38</v>
      </c>
      <c r="E387" t="s">
        <v>50</v>
      </c>
      <c r="F387">
        <v>18</v>
      </c>
      <c r="G387" s="2">
        <v>102</v>
      </c>
      <c r="H387" s="2">
        <v>1836</v>
      </c>
      <c r="I387" s="4">
        <v>0.15</v>
      </c>
      <c r="J387" s="2">
        <v>1560.6</v>
      </c>
      <c r="K387" s="1">
        <v>44051</v>
      </c>
      <c r="L387" s="1">
        <v>44051</v>
      </c>
      <c r="M387">
        <v>386</v>
      </c>
      <c r="N387">
        <v>4</v>
      </c>
      <c r="O387" t="s">
        <v>32</v>
      </c>
      <c r="P387" s="3">
        <v>0.09</v>
      </c>
      <c r="Q387" s="2">
        <v>140.45399999999998</v>
      </c>
      <c r="R387">
        <v>1</v>
      </c>
      <c r="S387" t="str">
        <f t="shared" ref="S387:S450" si="6">PROPER(TEXT(B387,"mmmm"))</f>
        <v>Julho</v>
      </c>
    </row>
    <row r="388" spans="1:19">
      <c r="A388">
        <v>387</v>
      </c>
      <c r="B388" s="1">
        <v>44043</v>
      </c>
      <c r="C388">
        <v>89</v>
      </c>
      <c r="D388" t="s">
        <v>49</v>
      </c>
      <c r="E388" t="s">
        <v>59</v>
      </c>
      <c r="F388">
        <v>43</v>
      </c>
      <c r="G388" s="2">
        <v>91</v>
      </c>
      <c r="H388" s="2">
        <v>3913</v>
      </c>
      <c r="I388" s="4">
        <v>0.15</v>
      </c>
      <c r="J388" s="2">
        <v>3326.05</v>
      </c>
      <c r="K388" s="1">
        <v>44052</v>
      </c>
      <c r="L388" s="1">
        <v>44052</v>
      </c>
      <c r="M388">
        <v>387</v>
      </c>
      <c r="N388">
        <v>4</v>
      </c>
      <c r="O388" t="s">
        <v>37</v>
      </c>
      <c r="P388" s="3">
        <v>0.09</v>
      </c>
      <c r="Q388" s="2">
        <v>299.34449999999998</v>
      </c>
      <c r="R388">
        <v>2</v>
      </c>
      <c r="S388" t="str">
        <f t="shared" si="6"/>
        <v>Julho</v>
      </c>
    </row>
    <row r="389" spans="1:19">
      <c r="A389">
        <v>388</v>
      </c>
      <c r="B389" s="1">
        <v>44043</v>
      </c>
      <c r="C389">
        <v>79</v>
      </c>
      <c r="D389" t="s">
        <v>33</v>
      </c>
      <c r="E389" t="s">
        <v>24</v>
      </c>
      <c r="F389">
        <v>40</v>
      </c>
      <c r="G389" s="2">
        <v>104</v>
      </c>
      <c r="H389" s="2">
        <v>4160</v>
      </c>
      <c r="I389" s="4">
        <v>0.11</v>
      </c>
      <c r="J389" s="2">
        <v>3702.4</v>
      </c>
      <c r="K389" s="1">
        <v>44063</v>
      </c>
      <c r="L389" s="1">
        <v>44063</v>
      </c>
      <c r="M389">
        <v>388</v>
      </c>
      <c r="N389">
        <v>6</v>
      </c>
      <c r="O389" t="s">
        <v>25</v>
      </c>
      <c r="P389" s="3">
        <v>0.05</v>
      </c>
      <c r="Q389" s="2">
        <v>185.12</v>
      </c>
      <c r="R389">
        <v>3</v>
      </c>
      <c r="S389" t="str">
        <f t="shared" si="6"/>
        <v>Julho</v>
      </c>
    </row>
    <row r="390" spans="1:19">
      <c r="A390">
        <v>389</v>
      </c>
      <c r="B390" s="1">
        <v>44043</v>
      </c>
      <c r="C390">
        <v>58</v>
      </c>
      <c r="D390" t="s">
        <v>72</v>
      </c>
      <c r="E390" t="s">
        <v>46</v>
      </c>
      <c r="F390">
        <v>31</v>
      </c>
      <c r="G390" s="2">
        <v>90</v>
      </c>
      <c r="H390" s="2">
        <v>2790</v>
      </c>
      <c r="I390" s="4">
        <v>0</v>
      </c>
      <c r="J390" s="2">
        <v>2790</v>
      </c>
      <c r="K390" s="1">
        <v>44050</v>
      </c>
      <c r="L390" s="1">
        <v>44050</v>
      </c>
      <c r="M390">
        <v>389</v>
      </c>
      <c r="N390">
        <v>5</v>
      </c>
      <c r="O390" t="s">
        <v>52</v>
      </c>
      <c r="P390" s="3">
        <v>0.08</v>
      </c>
      <c r="Q390" s="2">
        <v>223.20000000000002</v>
      </c>
      <c r="R390">
        <v>4</v>
      </c>
      <c r="S390" t="str">
        <f t="shared" si="6"/>
        <v>Julho</v>
      </c>
    </row>
    <row r="391" spans="1:19">
      <c r="A391">
        <v>390</v>
      </c>
      <c r="B391" s="1">
        <v>44044</v>
      </c>
      <c r="C391">
        <v>22</v>
      </c>
      <c r="D391" t="s">
        <v>51</v>
      </c>
      <c r="E391" t="s">
        <v>24</v>
      </c>
      <c r="F391">
        <v>41</v>
      </c>
      <c r="G391" s="2">
        <v>112</v>
      </c>
      <c r="H391" s="2">
        <v>4592</v>
      </c>
      <c r="I391" s="4">
        <v>0.03</v>
      </c>
      <c r="J391" s="2">
        <v>4454.24</v>
      </c>
      <c r="K391" s="1">
        <v>44052</v>
      </c>
      <c r="L391" s="1">
        <v>44052</v>
      </c>
      <c r="M391">
        <v>390</v>
      </c>
      <c r="N391">
        <v>3</v>
      </c>
      <c r="O391" t="s">
        <v>52</v>
      </c>
      <c r="P391" s="3">
        <v>7.0000000000000007E-2</v>
      </c>
      <c r="Q391" s="2">
        <v>311.79680000000002</v>
      </c>
      <c r="R391">
        <v>5</v>
      </c>
      <c r="S391" t="str">
        <f t="shared" si="6"/>
        <v>Agosto</v>
      </c>
    </row>
    <row r="392" spans="1:19">
      <c r="A392">
        <v>391</v>
      </c>
      <c r="B392" s="1">
        <v>44044</v>
      </c>
      <c r="C392">
        <v>15</v>
      </c>
      <c r="D392" t="s">
        <v>77</v>
      </c>
      <c r="E392" t="s">
        <v>24</v>
      </c>
      <c r="F392">
        <v>48</v>
      </c>
      <c r="G392" s="2">
        <v>102</v>
      </c>
      <c r="H392" s="2">
        <v>4896</v>
      </c>
      <c r="I392" s="4">
        <v>0.03</v>
      </c>
      <c r="J392" s="2">
        <v>4749.12</v>
      </c>
      <c r="K392" s="1">
        <v>44057</v>
      </c>
      <c r="L392" s="1">
        <v>44057</v>
      </c>
      <c r="M392">
        <v>391</v>
      </c>
      <c r="N392">
        <v>6</v>
      </c>
      <c r="O392" t="s">
        <v>52</v>
      </c>
      <c r="P392" s="3">
        <v>0.06</v>
      </c>
      <c r="Q392" s="2">
        <v>284.94720000000001</v>
      </c>
      <c r="R392">
        <v>6</v>
      </c>
      <c r="S392" t="str">
        <f t="shared" si="6"/>
        <v>Agosto</v>
      </c>
    </row>
    <row r="393" spans="1:19">
      <c r="A393">
        <v>392</v>
      </c>
      <c r="B393" s="1">
        <v>44044</v>
      </c>
      <c r="C393">
        <v>6</v>
      </c>
      <c r="D393" t="s">
        <v>88</v>
      </c>
      <c r="E393" t="s">
        <v>31</v>
      </c>
      <c r="F393">
        <v>15</v>
      </c>
      <c r="G393" s="2">
        <v>96</v>
      </c>
      <c r="H393" s="2">
        <v>1440</v>
      </c>
      <c r="I393" s="4">
        <v>0.01</v>
      </c>
      <c r="J393" s="2">
        <v>1425.6</v>
      </c>
      <c r="K393" s="1">
        <v>44049</v>
      </c>
      <c r="L393" s="1">
        <v>44049</v>
      </c>
      <c r="M393">
        <v>392</v>
      </c>
      <c r="N393">
        <v>3</v>
      </c>
      <c r="O393" t="s">
        <v>32</v>
      </c>
      <c r="P393" s="3">
        <v>0.09</v>
      </c>
      <c r="Q393" s="2">
        <v>128.30399999999997</v>
      </c>
      <c r="R393">
        <v>7</v>
      </c>
      <c r="S393" t="str">
        <f t="shared" si="6"/>
        <v>Agosto</v>
      </c>
    </row>
    <row r="394" spans="1:19">
      <c r="A394">
        <v>393</v>
      </c>
      <c r="B394" s="1">
        <v>44044</v>
      </c>
      <c r="C394">
        <v>77</v>
      </c>
      <c r="D394" t="s">
        <v>65</v>
      </c>
      <c r="E394" t="s">
        <v>41</v>
      </c>
      <c r="F394">
        <v>36</v>
      </c>
      <c r="G394" s="2">
        <v>119</v>
      </c>
      <c r="H394" s="2">
        <v>4284</v>
      </c>
      <c r="I394" s="4">
        <v>0.06</v>
      </c>
      <c r="J394" s="2">
        <v>4026.96</v>
      </c>
      <c r="K394" s="1">
        <v>44044</v>
      </c>
      <c r="L394" s="1">
        <v>44044</v>
      </c>
      <c r="M394">
        <v>393</v>
      </c>
      <c r="N394">
        <v>2</v>
      </c>
      <c r="O394" t="s">
        <v>37</v>
      </c>
      <c r="P394" s="3">
        <v>7.0000000000000007E-2</v>
      </c>
      <c r="Q394" s="2">
        <v>281.88720000000001</v>
      </c>
      <c r="R394">
        <v>1</v>
      </c>
      <c r="S394" t="str">
        <f t="shared" si="6"/>
        <v>Agosto</v>
      </c>
    </row>
    <row r="395" spans="1:19">
      <c r="A395">
        <v>394</v>
      </c>
      <c r="B395" s="1">
        <v>44045</v>
      </c>
      <c r="C395">
        <v>17</v>
      </c>
      <c r="D395" t="s">
        <v>67</v>
      </c>
      <c r="E395" t="s">
        <v>46</v>
      </c>
      <c r="F395">
        <v>22</v>
      </c>
      <c r="G395" s="2">
        <v>95</v>
      </c>
      <c r="H395" s="2">
        <v>2090</v>
      </c>
      <c r="I395" s="4">
        <v>0.1</v>
      </c>
      <c r="J395" s="2">
        <v>1881</v>
      </c>
      <c r="K395" s="1">
        <v>44063</v>
      </c>
      <c r="L395" s="1">
        <v>44063</v>
      </c>
      <c r="M395">
        <v>394</v>
      </c>
      <c r="N395">
        <v>4</v>
      </c>
      <c r="O395" t="s">
        <v>34</v>
      </c>
      <c r="P395" s="3">
        <v>0.09</v>
      </c>
      <c r="Q395" s="2">
        <v>169.29</v>
      </c>
      <c r="R395">
        <v>2</v>
      </c>
      <c r="S395" t="str">
        <f t="shared" si="6"/>
        <v>Agosto</v>
      </c>
    </row>
    <row r="396" spans="1:19">
      <c r="A396">
        <v>395</v>
      </c>
      <c r="B396" s="1">
        <v>44045</v>
      </c>
      <c r="C396">
        <v>18</v>
      </c>
      <c r="D396" t="s">
        <v>83</v>
      </c>
      <c r="E396" t="s">
        <v>21</v>
      </c>
      <c r="F396">
        <v>13</v>
      </c>
      <c r="G396" s="2">
        <v>107</v>
      </c>
      <c r="H396" s="2">
        <v>1391</v>
      </c>
      <c r="I396" s="4">
        <v>0.02</v>
      </c>
      <c r="J396" s="2">
        <v>1363.18</v>
      </c>
      <c r="K396" s="1">
        <v>44064</v>
      </c>
      <c r="L396" s="1">
        <v>44064</v>
      </c>
      <c r="M396">
        <v>395</v>
      </c>
      <c r="N396">
        <v>4</v>
      </c>
      <c r="O396" t="s">
        <v>29</v>
      </c>
      <c r="P396" s="3">
        <v>0.08</v>
      </c>
      <c r="Q396" s="2">
        <v>109.0544</v>
      </c>
      <c r="R396">
        <v>3</v>
      </c>
      <c r="S396" t="str">
        <f t="shared" si="6"/>
        <v>Agosto</v>
      </c>
    </row>
    <row r="397" spans="1:19">
      <c r="A397">
        <v>396</v>
      </c>
      <c r="B397" s="1">
        <v>44045</v>
      </c>
      <c r="C397">
        <v>28</v>
      </c>
      <c r="D397" t="s">
        <v>86</v>
      </c>
      <c r="E397" t="s">
        <v>24</v>
      </c>
      <c r="F397">
        <v>40</v>
      </c>
      <c r="G397" s="2">
        <v>90</v>
      </c>
      <c r="H397" s="2">
        <v>3600</v>
      </c>
      <c r="I397" s="4">
        <v>0</v>
      </c>
      <c r="J397" s="2">
        <v>3600</v>
      </c>
      <c r="K397" s="1">
        <v>44053</v>
      </c>
      <c r="L397" s="1">
        <v>44053</v>
      </c>
      <c r="M397">
        <v>396</v>
      </c>
      <c r="N397">
        <v>4</v>
      </c>
      <c r="O397" t="s">
        <v>29</v>
      </c>
      <c r="P397" s="3">
        <v>0.08</v>
      </c>
      <c r="Q397" s="2">
        <v>288</v>
      </c>
      <c r="R397">
        <v>4</v>
      </c>
      <c r="S397" t="str">
        <f t="shared" si="6"/>
        <v>Agosto</v>
      </c>
    </row>
    <row r="398" spans="1:19">
      <c r="A398">
        <v>397</v>
      </c>
      <c r="B398" s="1">
        <v>44046</v>
      </c>
      <c r="C398">
        <v>81</v>
      </c>
      <c r="D398" t="s">
        <v>103</v>
      </c>
      <c r="E398" t="s">
        <v>46</v>
      </c>
      <c r="F398">
        <v>12</v>
      </c>
      <c r="G398" s="2">
        <v>104</v>
      </c>
      <c r="H398" s="2">
        <v>1248</v>
      </c>
      <c r="I398" s="4">
        <v>0.05</v>
      </c>
      <c r="J398" s="2">
        <v>1185.5999999999999</v>
      </c>
      <c r="K398" s="1">
        <v>44049</v>
      </c>
      <c r="L398" s="1">
        <v>44049</v>
      </c>
      <c r="M398">
        <v>397</v>
      </c>
      <c r="N398">
        <v>1</v>
      </c>
      <c r="O398" t="s">
        <v>22</v>
      </c>
      <c r="P398" s="3">
        <v>0.09</v>
      </c>
      <c r="Q398" s="2">
        <v>106.70399999999999</v>
      </c>
      <c r="R398">
        <v>5</v>
      </c>
      <c r="S398" t="str">
        <f t="shared" si="6"/>
        <v>Agosto</v>
      </c>
    </row>
    <row r="399" spans="1:19">
      <c r="A399">
        <v>398</v>
      </c>
      <c r="B399" s="1">
        <v>44047</v>
      </c>
      <c r="C399">
        <v>35</v>
      </c>
      <c r="D399" t="s">
        <v>38</v>
      </c>
      <c r="E399" t="s">
        <v>24</v>
      </c>
      <c r="F399">
        <v>18</v>
      </c>
      <c r="G399" s="2">
        <v>109</v>
      </c>
      <c r="H399" s="2">
        <v>1962</v>
      </c>
      <c r="I399" s="4">
        <v>0.13</v>
      </c>
      <c r="J399" s="2">
        <v>1706.94</v>
      </c>
      <c r="K399" s="1">
        <v>44072</v>
      </c>
      <c r="L399" s="1">
        <v>44072</v>
      </c>
      <c r="M399">
        <v>398</v>
      </c>
      <c r="N399">
        <v>7</v>
      </c>
      <c r="O399" t="s">
        <v>47</v>
      </c>
      <c r="P399" s="3">
        <v>0.09</v>
      </c>
      <c r="Q399" s="2">
        <v>153.62459999999999</v>
      </c>
      <c r="R399">
        <v>6</v>
      </c>
      <c r="S399" t="str">
        <f t="shared" si="6"/>
        <v>Agosto</v>
      </c>
    </row>
    <row r="400" spans="1:19">
      <c r="A400">
        <v>399</v>
      </c>
      <c r="B400" s="1">
        <v>44047</v>
      </c>
      <c r="C400">
        <v>49</v>
      </c>
      <c r="D400" t="s">
        <v>38</v>
      </c>
      <c r="E400" t="s">
        <v>59</v>
      </c>
      <c r="F400">
        <v>25</v>
      </c>
      <c r="G400" s="2">
        <v>104</v>
      </c>
      <c r="H400" s="2">
        <v>2600</v>
      </c>
      <c r="I400" s="4">
        <v>0.04</v>
      </c>
      <c r="J400" s="2">
        <v>2496</v>
      </c>
      <c r="K400" s="1">
        <v>44077</v>
      </c>
      <c r="L400" s="1">
        <v>44077</v>
      </c>
      <c r="M400">
        <v>399</v>
      </c>
      <c r="N400">
        <v>2</v>
      </c>
      <c r="O400" t="s">
        <v>22</v>
      </c>
      <c r="P400" s="3">
        <v>0.09</v>
      </c>
      <c r="Q400" s="2">
        <v>224.64</v>
      </c>
      <c r="R400">
        <v>7</v>
      </c>
      <c r="S400" t="str">
        <f t="shared" si="6"/>
        <v>Agosto</v>
      </c>
    </row>
    <row r="401" spans="1:19">
      <c r="A401">
        <v>400</v>
      </c>
      <c r="B401" s="1">
        <v>44047</v>
      </c>
      <c r="C401">
        <v>43</v>
      </c>
      <c r="D401" t="s">
        <v>99</v>
      </c>
      <c r="E401" t="s">
        <v>41</v>
      </c>
      <c r="F401">
        <v>10</v>
      </c>
      <c r="G401" s="2">
        <v>106</v>
      </c>
      <c r="H401" s="2">
        <v>1060</v>
      </c>
      <c r="I401" s="4">
        <v>0.04</v>
      </c>
      <c r="J401" s="2">
        <v>1017.6</v>
      </c>
      <c r="K401" s="1">
        <v>44057</v>
      </c>
      <c r="L401" s="1">
        <v>44057</v>
      </c>
      <c r="M401">
        <v>400</v>
      </c>
      <c r="N401">
        <v>6</v>
      </c>
      <c r="O401" t="s">
        <v>32</v>
      </c>
      <c r="P401" s="3">
        <v>0.08</v>
      </c>
      <c r="Q401" s="2">
        <v>81.408000000000001</v>
      </c>
      <c r="R401">
        <v>1</v>
      </c>
      <c r="S401" t="str">
        <f t="shared" si="6"/>
        <v>Agosto</v>
      </c>
    </row>
    <row r="402" spans="1:19">
      <c r="A402">
        <v>401</v>
      </c>
      <c r="B402" s="1">
        <v>44047</v>
      </c>
      <c r="C402">
        <v>27</v>
      </c>
      <c r="D402" t="s">
        <v>101</v>
      </c>
      <c r="E402" t="s">
        <v>31</v>
      </c>
      <c r="F402">
        <v>47</v>
      </c>
      <c r="G402" s="2">
        <v>119</v>
      </c>
      <c r="H402" s="2">
        <v>5593</v>
      </c>
      <c r="I402" s="4">
        <v>0.1</v>
      </c>
      <c r="J402" s="2">
        <v>5033.7</v>
      </c>
      <c r="K402" s="1">
        <v>44058</v>
      </c>
      <c r="L402" s="1">
        <v>44058</v>
      </c>
      <c r="M402">
        <v>401</v>
      </c>
      <c r="N402">
        <v>5</v>
      </c>
      <c r="O402" t="s">
        <v>52</v>
      </c>
      <c r="P402" s="3">
        <v>0.08</v>
      </c>
      <c r="Q402" s="2">
        <v>402.69599999999997</v>
      </c>
      <c r="R402">
        <v>2</v>
      </c>
      <c r="S402" t="str">
        <f t="shared" si="6"/>
        <v>Agosto</v>
      </c>
    </row>
    <row r="403" spans="1:19">
      <c r="A403">
        <v>402</v>
      </c>
      <c r="B403" s="1">
        <v>44047</v>
      </c>
      <c r="C403">
        <v>52</v>
      </c>
      <c r="D403" t="s">
        <v>23</v>
      </c>
      <c r="E403" t="s">
        <v>50</v>
      </c>
      <c r="F403">
        <v>21</v>
      </c>
      <c r="G403" s="2">
        <v>92</v>
      </c>
      <c r="H403" s="2">
        <v>1932</v>
      </c>
      <c r="I403" s="4">
        <v>0.02</v>
      </c>
      <c r="J403" s="2">
        <v>1893.36</v>
      </c>
      <c r="K403" s="1">
        <v>44048</v>
      </c>
      <c r="L403" s="1">
        <v>44048</v>
      </c>
      <c r="M403">
        <v>402</v>
      </c>
      <c r="N403">
        <v>7</v>
      </c>
      <c r="O403" t="s">
        <v>52</v>
      </c>
      <c r="P403" s="3">
        <v>0.09</v>
      </c>
      <c r="Q403" s="2">
        <v>170.40239999999997</v>
      </c>
      <c r="R403">
        <v>3</v>
      </c>
      <c r="S403" t="str">
        <f t="shared" si="6"/>
        <v>Agosto</v>
      </c>
    </row>
    <row r="404" spans="1:19">
      <c r="A404">
        <v>403</v>
      </c>
      <c r="B404" s="1">
        <v>44047</v>
      </c>
      <c r="C404">
        <v>78</v>
      </c>
      <c r="D404" t="s">
        <v>36</v>
      </c>
      <c r="E404" t="s">
        <v>50</v>
      </c>
      <c r="F404">
        <v>18</v>
      </c>
      <c r="G404" s="2">
        <v>104</v>
      </c>
      <c r="H404" s="2">
        <v>1872</v>
      </c>
      <c r="I404" s="4">
        <v>0.11</v>
      </c>
      <c r="J404" s="2">
        <v>1666.08</v>
      </c>
      <c r="K404" s="1">
        <v>44067</v>
      </c>
      <c r="L404" s="1">
        <v>44067</v>
      </c>
      <c r="M404">
        <v>403</v>
      </c>
      <c r="N404">
        <v>5</v>
      </c>
      <c r="O404" t="s">
        <v>32</v>
      </c>
      <c r="P404" s="3">
        <v>7.0000000000000007E-2</v>
      </c>
      <c r="Q404" s="2">
        <v>116.62560000000001</v>
      </c>
      <c r="R404">
        <v>4</v>
      </c>
      <c r="S404" t="str">
        <f t="shared" si="6"/>
        <v>Agosto</v>
      </c>
    </row>
    <row r="405" spans="1:19">
      <c r="A405">
        <v>404</v>
      </c>
      <c r="B405" s="1">
        <v>44048</v>
      </c>
      <c r="C405">
        <v>29</v>
      </c>
      <c r="D405" t="s">
        <v>98</v>
      </c>
      <c r="E405" t="s">
        <v>21</v>
      </c>
      <c r="F405">
        <v>25</v>
      </c>
      <c r="G405" s="2">
        <v>118</v>
      </c>
      <c r="H405" s="2">
        <v>2950</v>
      </c>
      <c r="I405" s="4">
        <v>0.02</v>
      </c>
      <c r="J405" s="2">
        <v>2891</v>
      </c>
      <c r="K405" s="1">
        <v>44076</v>
      </c>
      <c r="L405" s="1">
        <v>44076</v>
      </c>
      <c r="M405">
        <v>404</v>
      </c>
      <c r="N405">
        <v>5</v>
      </c>
      <c r="O405" t="s">
        <v>47</v>
      </c>
      <c r="P405" s="3">
        <v>0.08</v>
      </c>
      <c r="Q405" s="2">
        <v>231.28</v>
      </c>
      <c r="R405">
        <v>5</v>
      </c>
      <c r="S405" t="str">
        <f t="shared" si="6"/>
        <v>Agosto</v>
      </c>
    </row>
    <row r="406" spans="1:19">
      <c r="A406">
        <v>405</v>
      </c>
      <c r="B406" s="1">
        <v>44048</v>
      </c>
      <c r="C406">
        <v>88</v>
      </c>
      <c r="D406" t="s">
        <v>38</v>
      </c>
      <c r="E406" t="s">
        <v>24</v>
      </c>
      <c r="F406">
        <v>27</v>
      </c>
      <c r="G406" s="2">
        <v>120</v>
      </c>
      <c r="H406" s="2">
        <v>3240</v>
      </c>
      <c r="I406" s="4">
        <v>7.0000000000000007E-2</v>
      </c>
      <c r="J406" s="2">
        <v>3013.2</v>
      </c>
      <c r="K406" s="1">
        <v>44072</v>
      </c>
      <c r="L406" s="1">
        <v>44072</v>
      </c>
      <c r="M406">
        <v>405</v>
      </c>
      <c r="N406">
        <v>3</v>
      </c>
      <c r="O406" t="s">
        <v>29</v>
      </c>
      <c r="P406" s="3">
        <v>7.0000000000000007E-2</v>
      </c>
      <c r="Q406" s="2">
        <v>210.92400000000001</v>
      </c>
      <c r="R406">
        <v>6</v>
      </c>
      <c r="S406" t="str">
        <f t="shared" si="6"/>
        <v>Agosto</v>
      </c>
    </row>
    <row r="407" spans="1:19">
      <c r="A407">
        <v>406</v>
      </c>
      <c r="B407" s="1">
        <v>44048</v>
      </c>
      <c r="C407">
        <v>69</v>
      </c>
      <c r="D407" t="s">
        <v>67</v>
      </c>
      <c r="E407" t="s">
        <v>46</v>
      </c>
      <c r="F407">
        <v>49</v>
      </c>
      <c r="G407" s="2">
        <v>93</v>
      </c>
      <c r="H407" s="2">
        <v>4557</v>
      </c>
      <c r="I407" s="4">
        <v>0.13</v>
      </c>
      <c r="J407" s="2">
        <v>3964.59</v>
      </c>
      <c r="K407" s="1">
        <v>44068</v>
      </c>
      <c r="L407" s="1">
        <v>44068</v>
      </c>
      <c r="M407">
        <v>406</v>
      </c>
      <c r="N407">
        <v>2</v>
      </c>
      <c r="O407" t="s">
        <v>69</v>
      </c>
      <c r="P407" s="3">
        <v>7.0000000000000007E-2</v>
      </c>
      <c r="Q407" s="2">
        <v>277.52130000000005</v>
      </c>
      <c r="R407">
        <v>7</v>
      </c>
      <c r="S407" t="str">
        <f t="shared" si="6"/>
        <v>Agosto</v>
      </c>
    </row>
    <row r="408" spans="1:19">
      <c r="A408">
        <v>407</v>
      </c>
      <c r="B408" s="1">
        <v>44048</v>
      </c>
      <c r="C408">
        <v>60</v>
      </c>
      <c r="D408" t="s">
        <v>82</v>
      </c>
      <c r="E408" t="s">
        <v>31</v>
      </c>
      <c r="F408">
        <v>15</v>
      </c>
      <c r="G408" s="2">
        <v>109</v>
      </c>
      <c r="H408" s="2">
        <v>1635</v>
      </c>
      <c r="I408" s="4">
        <v>0.1</v>
      </c>
      <c r="J408" s="2">
        <v>1471.5</v>
      </c>
      <c r="K408" s="1">
        <v>44051</v>
      </c>
      <c r="L408" s="1">
        <v>44051</v>
      </c>
      <c r="M408">
        <v>407</v>
      </c>
      <c r="N408">
        <v>5</v>
      </c>
      <c r="O408" t="s">
        <v>29</v>
      </c>
      <c r="P408" s="3">
        <v>0.09</v>
      </c>
      <c r="Q408" s="2">
        <v>132.435</v>
      </c>
      <c r="R408">
        <v>1</v>
      </c>
      <c r="S408" t="str">
        <f t="shared" si="6"/>
        <v>Agosto</v>
      </c>
    </row>
    <row r="409" spans="1:19">
      <c r="A409">
        <v>408</v>
      </c>
      <c r="B409" s="1">
        <v>44048</v>
      </c>
      <c r="C409">
        <v>62</v>
      </c>
      <c r="D409" t="s">
        <v>38</v>
      </c>
      <c r="E409" t="s">
        <v>21</v>
      </c>
      <c r="F409">
        <v>30</v>
      </c>
      <c r="G409" s="2">
        <v>109</v>
      </c>
      <c r="H409" s="2">
        <v>3270</v>
      </c>
      <c r="I409" s="4">
        <v>0.13</v>
      </c>
      <c r="J409" s="2">
        <v>2844.9</v>
      </c>
      <c r="K409" s="1">
        <v>44050</v>
      </c>
      <c r="L409" s="1">
        <v>44050</v>
      </c>
      <c r="M409">
        <v>408</v>
      </c>
      <c r="N409">
        <v>1</v>
      </c>
      <c r="O409" t="s">
        <v>52</v>
      </c>
      <c r="P409" s="3">
        <v>0.09</v>
      </c>
      <c r="Q409" s="2">
        <v>256.041</v>
      </c>
      <c r="R409">
        <v>2</v>
      </c>
      <c r="S409" t="str">
        <f t="shared" si="6"/>
        <v>Agosto</v>
      </c>
    </row>
    <row r="410" spans="1:19">
      <c r="A410">
        <v>409</v>
      </c>
      <c r="B410" s="1">
        <v>44049</v>
      </c>
      <c r="C410">
        <v>41</v>
      </c>
      <c r="D410" t="s">
        <v>68</v>
      </c>
      <c r="E410" t="s">
        <v>24</v>
      </c>
      <c r="F410">
        <v>21</v>
      </c>
      <c r="G410" s="2">
        <v>101</v>
      </c>
      <c r="H410" s="2">
        <v>2121</v>
      </c>
      <c r="I410" s="4">
        <v>0.1</v>
      </c>
      <c r="J410" s="2">
        <v>1908.9</v>
      </c>
      <c r="K410" s="1">
        <v>44059</v>
      </c>
      <c r="L410" s="1">
        <v>44059</v>
      </c>
      <c r="M410">
        <v>409</v>
      </c>
      <c r="N410">
        <v>5</v>
      </c>
      <c r="O410" t="s">
        <v>52</v>
      </c>
      <c r="P410" s="3">
        <v>0.09</v>
      </c>
      <c r="Q410" s="2">
        <v>171.80099999999999</v>
      </c>
      <c r="R410">
        <v>3</v>
      </c>
      <c r="S410" t="str">
        <f t="shared" si="6"/>
        <v>Agosto</v>
      </c>
    </row>
    <row r="411" spans="1:19">
      <c r="A411">
        <v>410</v>
      </c>
      <c r="B411" s="1">
        <v>44050</v>
      </c>
      <c r="C411">
        <v>1</v>
      </c>
      <c r="D411" t="s">
        <v>93</v>
      </c>
      <c r="E411" t="s">
        <v>50</v>
      </c>
      <c r="F411">
        <v>15</v>
      </c>
      <c r="G411" s="2">
        <v>107</v>
      </c>
      <c r="H411" s="2">
        <v>1605</v>
      </c>
      <c r="I411" s="4">
        <v>0.05</v>
      </c>
      <c r="J411" s="2">
        <v>1524.75</v>
      </c>
      <c r="K411" s="1">
        <v>44059</v>
      </c>
      <c r="L411" s="1">
        <v>44059</v>
      </c>
      <c r="M411">
        <v>410</v>
      </c>
      <c r="N411">
        <v>5</v>
      </c>
      <c r="O411" t="s">
        <v>25</v>
      </c>
      <c r="P411" s="3">
        <v>0.09</v>
      </c>
      <c r="Q411" s="2">
        <v>137.22749999999999</v>
      </c>
      <c r="R411">
        <v>4</v>
      </c>
      <c r="S411" t="str">
        <f t="shared" si="6"/>
        <v>Agosto</v>
      </c>
    </row>
    <row r="412" spans="1:19">
      <c r="A412">
        <v>411</v>
      </c>
      <c r="B412" s="1">
        <v>44050</v>
      </c>
      <c r="C412">
        <v>8</v>
      </c>
      <c r="D412" t="s">
        <v>38</v>
      </c>
      <c r="E412" t="s">
        <v>50</v>
      </c>
      <c r="F412">
        <v>21</v>
      </c>
      <c r="G412" s="2">
        <v>92</v>
      </c>
      <c r="H412" s="2">
        <v>1932</v>
      </c>
      <c r="I412" s="4">
        <v>0.06</v>
      </c>
      <c r="J412" s="2">
        <v>1816.08</v>
      </c>
      <c r="K412" s="1">
        <v>44064</v>
      </c>
      <c r="L412" s="1">
        <v>44064</v>
      </c>
      <c r="M412">
        <v>411</v>
      </c>
      <c r="N412">
        <v>2</v>
      </c>
      <c r="O412" t="s">
        <v>29</v>
      </c>
      <c r="P412" s="3">
        <v>0.1</v>
      </c>
      <c r="Q412" s="2">
        <v>181.608</v>
      </c>
      <c r="R412">
        <v>5</v>
      </c>
      <c r="S412" t="str">
        <f t="shared" si="6"/>
        <v>Agosto</v>
      </c>
    </row>
    <row r="413" spans="1:19">
      <c r="A413">
        <v>412</v>
      </c>
      <c r="B413" s="1">
        <v>44050</v>
      </c>
      <c r="C413">
        <v>52</v>
      </c>
      <c r="D413" t="s">
        <v>23</v>
      </c>
      <c r="E413" t="s">
        <v>50</v>
      </c>
      <c r="F413">
        <v>39</v>
      </c>
      <c r="G413" s="2">
        <v>105</v>
      </c>
      <c r="H413" s="2">
        <v>4095</v>
      </c>
      <c r="I413" s="4">
        <v>0.08</v>
      </c>
      <c r="J413" s="2">
        <v>3767.4</v>
      </c>
      <c r="K413" s="1">
        <v>44065</v>
      </c>
      <c r="L413" s="1">
        <v>44065</v>
      </c>
      <c r="M413">
        <v>412</v>
      </c>
      <c r="N413">
        <v>5</v>
      </c>
      <c r="O413" t="s">
        <v>32</v>
      </c>
      <c r="P413" s="3">
        <v>0.09</v>
      </c>
      <c r="Q413" s="2">
        <v>339.06599999999997</v>
      </c>
      <c r="R413">
        <v>6</v>
      </c>
      <c r="S413" t="str">
        <f t="shared" si="6"/>
        <v>Agosto</v>
      </c>
    </row>
    <row r="414" spans="1:19">
      <c r="A414">
        <v>413</v>
      </c>
      <c r="B414" s="1">
        <v>44050</v>
      </c>
      <c r="C414">
        <v>39</v>
      </c>
      <c r="D414" t="s">
        <v>38</v>
      </c>
      <c r="E414" t="s">
        <v>50</v>
      </c>
      <c r="F414">
        <v>45</v>
      </c>
      <c r="G414" s="2">
        <v>113</v>
      </c>
      <c r="H414" s="2">
        <v>5085</v>
      </c>
      <c r="I414" s="4">
        <v>0</v>
      </c>
      <c r="J414" s="2">
        <v>5085</v>
      </c>
      <c r="K414" s="1">
        <v>44053</v>
      </c>
      <c r="L414" s="1">
        <v>44053</v>
      </c>
      <c r="M414">
        <v>413</v>
      </c>
      <c r="N414">
        <v>7</v>
      </c>
      <c r="O414" t="s">
        <v>34</v>
      </c>
      <c r="P414" s="3">
        <v>7.0000000000000007E-2</v>
      </c>
      <c r="Q414" s="2">
        <v>355.95000000000005</v>
      </c>
      <c r="R414">
        <v>7</v>
      </c>
      <c r="S414" t="str">
        <f t="shared" si="6"/>
        <v>Agosto</v>
      </c>
    </row>
    <row r="415" spans="1:19">
      <c r="A415">
        <v>414</v>
      </c>
      <c r="B415" s="1">
        <v>44053</v>
      </c>
      <c r="C415">
        <v>87</v>
      </c>
      <c r="D415" t="s">
        <v>40</v>
      </c>
      <c r="E415" t="s">
        <v>50</v>
      </c>
      <c r="F415">
        <v>15</v>
      </c>
      <c r="G415" s="2">
        <v>91</v>
      </c>
      <c r="H415" s="2">
        <v>1365</v>
      </c>
      <c r="I415" s="4">
        <v>0.06</v>
      </c>
      <c r="J415" s="2">
        <v>1283.0999999999999</v>
      </c>
      <c r="K415" s="1">
        <v>44066</v>
      </c>
      <c r="L415" s="1">
        <v>44066</v>
      </c>
      <c r="M415">
        <v>414</v>
      </c>
      <c r="N415">
        <v>3</v>
      </c>
      <c r="O415" t="s">
        <v>43</v>
      </c>
      <c r="P415" s="3">
        <v>0.05</v>
      </c>
      <c r="Q415" s="2">
        <v>64.155000000000001</v>
      </c>
      <c r="R415">
        <v>1</v>
      </c>
      <c r="S415" t="str">
        <f t="shared" si="6"/>
        <v>Agosto</v>
      </c>
    </row>
    <row r="416" spans="1:19">
      <c r="A416">
        <v>415</v>
      </c>
      <c r="B416" s="1">
        <v>44053</v>
      </c>
      <c r="C416">
        <v>24</v>
      </c>
      <c r="D416" t="s">
        <v>74</v>
      </c>
      <c r="E416" t="s">
        <v>31</v>
      </c>
      <c r="F416">
        <v>15</v>
      </c>
      <c r="G416" s="2">
        <v>110</v>
      </c>
      <c r="H416" s="2">
        <v>1650</v>
      </c>
      <c r="I416" s="4">
        <v>0.01</v>
      </c>
      <c r="J416" s="2">
        <v>1633.5</v>
      </c>
      <c r="K416" s="1">
        <v>44079</v>
      </c>
      <c r="L416" s="1">
        <v>44079</v>
      </c>
      <c r="M416">
        <v>415</v>
      </c>
      <c r="N416">
        <v>2</v>
      </c>
      <c r="O416" t="s">
        <v>37</v>
      </c>
      <c r="P416" s="3">
        <v>0.09</v>
      </c>
      <c r="Q416" s="2">
        <v>147.01499999999999</v>
      </c>
      <c r="R416">
        <v>2</v>
      </c>
      <c r="S416" t="str">
        <f t="shared" si="6"/>
        <v>Agosto</v>
      </c>
    </row>
    <row r="417" spans="1:19">
      <c r="A417">
        <v>416</v>
      </c>
      <c r="B417" s="1">
        <v>44054</v>
      </c>
      <c r="C417">
        <v>13</v>
      </c>
      <c r="D417" t="s">
        <v>75</v>
      </c>
      <c r="E417" t="s">
        <v>46</v>
      </c>
      <c r="F417">
        <v>38</v>
      </c>
      <c r="G417" s="2">
        <v>111</v>
      </c>
      <c r="H417" s="2">
        <v>4218</v>
      </c>
      <c r="I417" s="4">
        <v>0.08</v>
      </c>
      <c r="J417" s="2">
        <v>3880.56</v>
      </c>
      <c r="K417" s="1">
        <v>44082</v>
      </c>
      <c r="L417" s="1">
        <v>44082</v>
      </c>
      <c r="M417">
        <v>416</v>
      </c>
      <c r="N417">
        <v>4</v>
      </c>
      <c r="O417" t="s">
        <v>47</v>
      </c>
      <c r="P417" s="3">
        <v>0.06</v>
      </c>
      <c r="Q417" s="2">
        <v>232.83359999999999</v>
      </c>
      <c r="R417">
        <v>3</v>
      </c>
      <c r="S417" t="str">
        <f t="shared" si="6"/>
        <v>Agosto</v>
      </c>
    </row>
    <row r="418" spans="1:19">
      <c r="A418">
        <v>417</v>
      </c>
      <c r="B418" s="1">
        <v>44056</v>
      </c>
      <c r="C418">
        <v>25</v>
      </c>
      <c r="D418" t="s">
        <v>63</v>
      </c>
      <c r="E418" t="s">
        <v>28</v>
      </c>
      <c r="F418">
        <v>13</v>
      </c>
      <c r="G418" s="2">
        <v>115</v>
      </c>
      <c r="H418" s="2">
        <v>1495</v>
      </c>
      <c r="I418" s="4">
        <v>0.14000000000000001</v>
      </c>
      <c r="J418" s="2">
        <v>1285.7</v>
      </c>
      <c r="K418" s="1">
        <v>44076</v>
      </c>
      <c r="L418" s="1">
        <v>44076</v>
      </c>
      <c r="M418">
        <v>417</v>
      </c>
      <c r="N418">
        <v>7</v>
      </c>
      <c r="O418" t="s">
        <v>29</v>
      </c>
      <c r="P418" s="3">
        <v>0.1</v>
      </c>
      <c r="Q418" s="2">
        <v>128.57000000000002</v>
      </c>
      <c r="R418">
        <v>4</v>
      </c>
      <c r="S418" t="str">
        <f t="shared" si="6"/>
        <v>Agosto</v>
      </c>
    </row>
    <row r="419" spans="1:19">
      <c r="A419">
        <v>418</v>
      </c>
      <c r="B419" s="1">
        <v>44056</v>
      </c>
      <c r="C419">
        <v>88</v>
      </c>
      <c r="D419" t="s">
        <v>38</v>
      </c>
      <c r="E419" t="s">
        <v>24</v>
      </c>
      <c r="F419">
        <v>39</v>
      </c>
      <c r="G419" s="2">
        <v>112</v>
      </c>
      <c r="H419" s="2">
        <v>4368</v>
      </c>
      <c r="I419" s="4">
        <v>0.04</v>
      </c>
      <c r="J419" s="2">
        <v>4193.28</v>
      </c>
      <c r="K419" s="1">
        <v>44063</v>
      </c>
      <c r="L419" s="1">
        <v>44063</v>
      </c>
      <c r="M419">
        <v>418</v>
      </c>
      <c r="N419">
        <v>5</v>
      </c>
      <c r="O419" t="s">
        <v>22</v>
      </c>
      <c r="P419" s="3">
        <v>0.09</v>
      </c>
      <c r="Q419" s="2">
        <v>377.39519999999999</v>
      </c>
      <c r="R419">
        <v>5</v>
      </c>
      <c r="S419" t="str">
        <f t="shared" si="6"/>
        <v>Agosto</v>
      </c>
    </row>
    <row r="420" spans="1:19">
      <c r="A420">
        <v>419</v>
      </c>
      <c r="B420" s="1">
        <v>44056</v>
      </c>
      <c r="C420">
        <v>78</v>
      </c>
      <c r="D420" t="s">
        <v>36</v>
      </c>
      <c r="E420" t="s">
        <v>54</v>
      </c>
      <c r="F420">
        <v>19</v>
      </c>
      <c r="G420" s="2">
        <v>103</v>
      </c>
      <c r="H420" s="2">
        <v>1957</v>
      </c>
      <c r="I420" s="4">
        <v>0.01</v>
      </c>
      <c r="J420" s="2">
        <v>1937.43</v>
      </c>
      <c r="K420" s="1">
        <v>44080</v>
      </c>
      <c r="L420" s="1">
        <v>44080</v>
      </c>
      <c r="M420">
        <v>419</v>
      </c>
      <c r="N420">
        <v>5</v>
      </c>
      <c r="O420" t="s">
        <v>43</v>
      </c>
      <c r="P420" s="3">
        <v>0.06</v>
      </c>
      <c r="Q420" s="2">
        <v>116.2458</v>
      </c>
      <c r="R420">
        <v>6</v>
      </c>
      <c r="S420" t="str">
        <f t="shared" si="6"/>
        <v>Agosto</v>
      </c>
    </row>
    <row r="421" spans="1:19">
      <c r="A421">
        <v>420</v>
      </c>
      <c r="B421" s="1">
        <v>44056</v>
      </c>
      <c r="C421">
        <v>32</v>
      </c>
      <c r="D421" t="s">
        <v>77</v>
      </c>
      <c r="E421" t="s">
        <v>24</v>
      </c>
      <c r="F421">
        <v>46</v>
      </c>
      <c r="G421" s="2">
        <v>95</v>
      </c>
      <c r="H421" s="2">
        <v>4370</v>
      </c>
      <c r="I421" s="4">
        <v>0.05</v>
      </c>
      <c r="J421" s="2">
        <v>4151.5</v>
      </c>
      <c r="K421" s="1">
        <v>44070</v>
      </c>
      <c r="L421" s="1">
        <v>44070</v>
      </c>
      <c r="M421">
        <v>420</v>
      </c>
      <c r="N421">
        <v>7</v>
      </c>
      <c r="O421" t="s">
        <v>69</v>
      </c>
      <c r="P421" s="3">
        <v>0.05</v>
      </c>
      <c r="Q421" s="2">
        <v>207.57500000000002</v>
      </c>
      <c r="R421">
        <v>7</v>
      </c>
      <c r="S421" t="str">
        <f t="shared" si="6"/>
        <v>Agosto</v>
      </c>
    </row>
    <row r="422" spans="1:19">
      <c r="A422">
        <v>421</v>
      </c>
      <c r="B422" s="1">
        <v>44057</v>
      </c>
      <c r="C422">
        <v>39</v>
      </c>
      <c r="D422" t="s">
        <v>38</v>
      </c>
      <c r="E422" t="s">
        <v>24</v>
      </c>
      <c r="F422">
        <v>47</v>
      </c>
      <c r="G422" s="2">
        <v>110</v>
      </c>
      <c r="H422" s="2">
        <v>5170</v>
      </c>
      <c r="I422" s="4">
        <v>0.12</v>
      </c>
      <c r="J422" s="2">
        <v>4549.6000000000004</v>
      </c>
      <c r="K422" s="1">
        <v>44067</v>
      </c>
      <c r="L422" s="1">
        <v>44067</v>
      </c>
      <c r="M422">
        <v>421</v>
      </c>
      <c r="N422">
        <v>7</v>
      </c>
      <c r="O422" t="s">
        <v>43</v>
      </c>
      <c r="P422" s="3">
        <v>0.1</v>
      </c>
      <c r="Q422" s="2">
        <v>454.96000000000004</v>
      </c>
      <c r="R422">
        <v>1</v>
      </c>
      <c r="S422" t="str">
        <f t="shared" si="6"/>
        <v>Agosto</v>
      </c>
    </row>
    <row r="423" spans="1:19">
      <c r="A423">
        <v>422</v>
      </c>
      <c r="B423" s="1">
        <v>44057</v>
      </c>
      <c r="C423">
        <v>77</v>
      </c>
      <c r="D423" t="s">
        <v>65</v>
      </c>
      <c r="E423" t="s">
        <v>28</v>
      </c>
      <c r="F423">
        <v>21</v>
      </c>
      <c r="G423" s="2">
        <v>103</v>
      </c>
      <c r="H423" s="2">
        <v>2163</v>
      </c>
      <c r="I423" s="4">
        <v>0.12</v>
      </c>
      <c r="J423" s="2">
        <v>1903.44</v>
      </c>
      <c r="K423" s="1">
        <v>44075</v>
      </c>
      <c r="L423" s="1">
        <v>44075</v>
      </c>
      <c r="M423">
        <v>422</v>
      </c>
      <c r="N423">
        <v>4</v>
      </c>
      <c r="O423" t="s">
        <v>43</v>
      </c>
      <c r="P423" s="3">
        <v>0.1</v>
      </c>
      <c r="Q423" s="2">
        <v>190.34400000000002</v>
      </c>
      <c r="R423">
        <v>2</v>
      </c>
      <c r="S423" t="str">
        <f t="shared" si="6"/>
        <v>Agosto</v>
      </c>
    </row>
    <row r="424" spans="1:19">
      <c r="A424">
        <v>423</v>
      </c>
      <c r="B424" s="1">
        <v>44058</v>
      </c>
      <c r="C424">
        <v>94</v>
      </c>
      <c r="D424" t="s">
        <v>49</v>
      </c>
      <c r="E424" t="s">
        <v>28</v>
      </c>
      <c r="F424">
        <v>22</v>
      </c>
      <c r="G424" s="2">
        <v>113</v>
      </c>
      <c r="H424" s="2">
        <v>2486</v>
      </c>
      <c r="I424" s="4">
        <v>0.13</v>
      </c>
      <c r="J424" s="2">
        <v>2162.8200000000002</v>
      </c>
      <c r="K424" s="1">
        <v>44079</v>
      </c>
      <c r="L424" s="1">
        <v>44079</v>
      </c>
      <c r="M424">
        <v>423</v>
      </c>
      <c r="N424">
        <v>1</v>
      </c>
      <c r="O424" t="s">
        <v>47</v>
      </c>
      <c r="P424" s="3">
        <v>0.05</v>
      </c>
      <c r="Q424" s="2">
        <v>108.14100000000002</v>
      </c>
      <c r="R424">
        <v>3</v>
      </c>
      <c r="S424" t="str">
        <f t="shared" si="6"/>
        <v>Agosto</v>
      </c>
    </row>
    <row r="425" spans="1:19">
      <c r="A425">
        <v>424</v>
      </c>
      <c r="B425" s="1">
        <v>44058</v>
      </c>
      <c r="C425">
        <v>93</v>
      </c>
      <c r="D425" t="s">
        <v>33</v>
      </c>
      <c r="E425" t="s">
        <v>46</v>
      </c>
      <c r="F425">
        <v>36</v>
      </c>
      <c r="G425" s="2">
        <v>109</v>
      </c>
      <c r="H425" s="2">
        <v>3924</v>
      </c>
      <c r="I425" s="4">
        <v>0.03</v>
      </c>
      <c r="J425" s="2">
        <v>3806.28</v>
      </c>
      <c r="K425" s="1">
        <v>44085</v>
      </c>
      <c r="L425" s="1">
        <v>44085</v>
      </c>
      <c r="M425">
        <v>424</v>
      </c>
      <c r="N425">
        <v>3</v>
      </c>
      <c r="O425" t="s">
        <v>52</v>
      </c>
      <c r="P425" s="3">
        <v>0.06</v>
      </c>
      <c r="Q425" s="2">
        <v>228.3768</v>
      </c>
      <c r="R425">
        <v>4</v>
      </c>
      <c r="S425" t="str">
        <f t="shared" si="6"/>
        <v>Agosto</v>
      </c>
    </row>
    <row r="426" spans="1:19">
      <c r="A426">
        <v>425</v>
      </c>
      <c r="B426" s="1">
        <v>44059</v>
      </c>
      <c r="C426">
        <v>32</v>
      </c>
      <c r="D426" t="s">
        <v>77</v>
      </c>
      <c r="E426" t="s">
        <v>31</v>
      </c>
      <c r="F426">
        <v>17</v>
      </c>
      <c r="G426" s="2">
        <v>116</v>
      </c>
      <c r="H426" s="2">
        <v>1972</v>
      </c>
      <c r="I426" s="4">
        <v>0.05</v>
      </c>
      <c r="J426" s="2">
        <v>1873.4</v>
      </c>
      <c r="K426" s="1">
        <v>44060</v>
      </c>
      <c r="L426" s="1">
        <v>44060</v>
      </c>
      <c r="M426">
        <v>425</v>
      </c>
      <c r="N426">
        <v>3</v>
      </c>
      <c r="O426" t="s">
        <v>47</v>
      </c>
      <c r="P426" s="3">
        <v>0.05</v>
      </c>
      <c r="Q426" s="2">
        <v>93.670000000000016</v>
      </c>
      <c r="R426">
        <v>5</v>
      </c>
      <c r="S426" t="str">
        <f t="shared" si="6"/>
        <v>Agosto</v>
      </c>
    </row>
    <row r="427" spans="1:19">
      <c r="A427">
        <v>426</v>
      </c>
      <c r="B427" s="1">
        <v>44059</v>
      </c>
      <c r="C427">
        <v>14</v>
      </c>
      <c r="D427" t="s">
        <v>27</v>
      </c>
      <c r="E427" t="s">
        <v>28</v>
      </c>
      <c r="F427">
        <v>46</v>
      </c>
      <c r="G427" s="2">
        <v>100</v>
      </c>
      <c r="H427" s="2">
        <v>4600</v>
      </c>
      <c r="I427" s="4">
        <v>0.04</v>
      </c>
      <c r="J427" s="2">
        <v>4416</v>
      </c>
      <c r="K427" s="1">
        <v>44083</v>
      </c>
      <c r="L427" s="1">
        <v>44083</v>
      </c>
      <c r="M427">
        <v>426</v>
      </c>
      <c r="N427">
        <v>4</v>
      </c>
      <c r="O427" t="s">
        <v>29</v>
      </c>
      <c r="P427" s="3">
        <v>0.09</v>
      </c>
      <c r="Q427" s="2">
        <v>397.44</v>
      </c>
      <c r="R427">
        <v>6</v>
      </c>
      <c r="S427" t="str">
        <f t="shared" si="6"/>
        <v>Agosto</v>
      </c>
    </row>
    <row r="428" spans="1:19">
      <c r="A428">
        <v>427</v>
      </c>
      <c r="B428" s="1">
        <v>44060</v>
      </c>
      <c r="C428">
        <v>79</v>
      </c>
      <c r="D428" t="s">
        <v>33</v>
      </c>
      <c r="E428" t="s">
        <v>28</v>
      </c>
      <c r="F428">
        <v>20</v>
      </c>
      <c r="G428" s="2">
        <v>103</v>
      </c>
      <c r="H428" s="2">
        <v>2060</v>
      </c>
      <c r="I428" s="4">
        <v>7.0000000000000007E-2</v>
      </c>
      <c r="J428" s="2">
        <v>1915.8</v>
      </c>
      <c r="K428" s="1">
        <v>44066</v>
      </c>
      <c r="L428" s="1">
        <v>44066</v>
      </c>
      <c r="M428">
        <v>427</v>
      </c>
      <c r="N428">
        <v>2</v>
      </c>
      <c r="O428" t="s">
        <v>37</v>
      </c>
      <c r="P428" s="3">
        <v>0.1</v>
      </c>
      <c r="Q428" s="2">
        <v>191.58</v>
      </c>
      <c r="R428">
        <v>7</v>
      </c>
      <c r="S428" t="str">
        <f t="shared" si="6"/>
        <v>Agosto</v>
      </c>
    </row>
    <row r="429" spans="1:19">
      <c r="A429">
        <v>428</v>
      </c>
      <c r="B429" s="1">
        <v>44060</v>
      </c>
      <c r="C429">
        <v>31</v>
      </c>
      <c r="D429" t="s">
        <v>85</v>
      </c>
      <c r="E429" t="s">
        <v>59</v>
      </c>
      <c r="F429">
        <v>10</v>
      </c>
      <c r="G429" s="2">
        <v>94</v>
      </c>
      <c r="H429" s="2">
        <v>940</v>
      </c>
      <c r="I429" s="4">
        <v>0.04</v>
      </c>
      <c r="J429" s="2">
        <v>902.4</v>
      </c>
      <c r="K429" s="1">
        <v>44071</v>
      </c>
      <c r="L429" s="1">
        <v>44071</v>
      </c>
      <c r="M429">
        <v>428</v>
      </c>
      <c r="N429">
        <v>5</v>
      </c>
      <c r="O429" t="s">
        <v>69</v>
      </c>
      <c r="P429" s="3">
        <v>0.05</v>
      </c>
      <c r="Q429" s="2">
        <v>45.120000000000005</v>
      </c>
      <c r="R429">
        <v>1</v>
      </c>
      <c r="S429" t="str">
        <f t="shared" si="6"/>
        <v>Agosto</v>
      </c>
    </row>
    <row r="430" spans="1:19">
      <c r="A430">
        <v>429</v>
      </c>
      <c r="B430" s="1">
        <v>44060</v>
      </c>
      <c r="C430">
        <v>76</v>
      </c>
      <c r="D430" t="s">
        <v>104</v>
      </c>
      <c r="E430" t="s">
        <v>28</v>
      </c>
      <c r="F430">
        <v>37</v>
      </c>
      <c r="G430" s="2">
        <v>93</v>
      </c>
      <c r="H430" s="2">
        <v>3441</v>
      </c>
      <c r="I430" s="4">
        <v>0.06</v>
      </c>
      <c r="J430" s="2">
        <v>3234.54</v>
      </c>
      <c r="K430" s="1">
        <v>44088</v>
      </c>
      <c r="L430" s="1">
        <v>44088</v>
      </c>
      <c r="M430">
        <v>429</v>
      </c>
      <c r="N430">
        <v>1</v>
      </c>
      <c r="O430" t="s">
        <v>32</v>
      </c>
      <c r="P430" s="3">
        <v>0.1</v>
      </c>
      <c r="Q430" s="2">
        <v>323.45400000000001</v>
      </c>
      <c r="R430">
        <v>2</v>
      </c>
      <c r="S430" t="str">
        <f t="shared" si="6"/>
        <v>Agosto</v>
      </c>
    </row>
    <row r="431" spans="1:19">
      <c r="A431">
        <v>430</v>
      </c>
      <c r="B431" s="1">
        <v>44061</v>
      </c>
      <c r="C431">
        <v>32</v>
      </c>
      <c r="D431" t="s">
        <v>77</v>
      </c>
      <c r="E431" t="s">
        <v>59</v>
      </c>
      <c r="F431">
        <v>25</v>
      </c>
      <c r="G431" s="2">
        <v>111</v>
      </c>
      <c r="H431" s="2">
        <v>2775</v>
      </c>
      <c r="I431" s="4">
        <v>7.0000000000000007E-2</v>
      </c>
      <c r="J431" s="2">
        <v>2580.75</v>
      </c>
      <c r="K431" s="1">
        <v>44090</v>
      </c>
      <c r="L431" s="1">
        <v>44090</v>
      </c>
      <c r="M431">
        <v>430</v>
      </c>
      <c r="N431">
        <v>4</v>
      </c>
      <c r="O431" t="s">
        <v>47</v>
      </c>
      <c r="P431" s="3">
        <v>0.05</v>
      </c>
      <c r="Q431" s="2">
        <v>129.03749999999999</v>
      </c>
      <c r="R431">
        <v>3</v>
      </c>
      <c r="S431" t="str">
        <f t="shared" si="6"/>
        <v>Agosto</v>
      </c>
    </row>
    <row r="432" spans="1:19">
      <c r="A432">
        <v>431</v>
      </c>
      <c r="B432" s="1">
        <v>44061</v>
      </c>
      <c r="C432">
        <v>38</v>
      </c>
      <c r="D432" t="s">
        <v>73</v>
      </c>
      <c r="E432" t="s">
        <v>46</v>
      </c>
      <c r="F432">
        <v>25</v>
      </c>
      <c r="G432" s="2">
        <v>93</v>
      </c>
      <c r="H432" s="2">
        <v>2325</v>
      </c>
      <c r="I432" s="4">
        <v>0.04</v>
      </c>
      <c r="J432" s="2">
        <v>2232</v>
      </c>
      <c r="K432" s="1">
        <v>44077</v>
      </c>
      <c r="L432" s="1">
        <v>44077</v>
      </c>
      <c r="M432">
        <v>431</v>
      </c>
      <c r="N432">
        <v>7</v>
      </c>
      <c r="O432" t="s">
        <v>52</v>
      </c>
      <c r="P432" s="3">
        <v>0.05</v>
      </c>
      <c r="Q432" s="2">
        <v>111.60000000000001</v>
      </c>
      <c r="R432">
        <v>4</v>
      </c>
      <c r="S432" t="str">
        <f t="shared" si="6"/>
        <v>Agosto</v>
      </c>
    </row>
    <row r="433" spans="1:19">
      <c r="A433">
        <v>432</v>
      </c>
      <c r="B433" s="1">
        <v>44062</v>
      </c>
      <c r="C433">
        <v>72</v>
      </c>
      <c r="D433" t="s">
        <v>38</v>
      </c>
      <c r="E433" t="s">
        <v>50</v>
      </c>
      <c r="F433">
        <v>28</v>
      </c>
      <c r="G433" s="2">
        <v>111</v>
      </c>
      <c r="H433" s="2">
        <v>3108</v>
      </c>
      <c r="I433" s="4">
        <v>0.04</v>
      </c>
      <c r="J433" s="2">
        <v>2983.68</v>
      </c>
      <c r="K433" s="1">
        <v>44087</v>
      </c>
      <c r="L433" s="1">
        <v>44087</v>
      </c>
      <c r="M433">
        <v>432</v>
      </c>
      <c r="N433">
        <v>2</v>
      </c>
      <c r="O433" t="s">
        <v>47</v>
      </c>
      <c r="P433" s="3">
        <v>0.08</v>
      </c>
      <c r="Q433" s="2">
        <v>238.6944</v>
      </c>
      <c r="R433">
        <v>5</v>
      </c>
      <c r="S433" t="str">
        <f t="shared" si="6"/>
        <v>Agosto</v>
      </c>
    </row>
    <row r="434" spans="1:19">
      <c r="A434">
        <v>433</v>
      </c>
      <c r="B434" s="1">
        <v>44063</v>
      </c>
      <c r="C434">
        <v>38</v>
      </c>
      <c r="D434" t="s">
        <v>73</v>
      </c>
      <c r="E434" t="s">
        <v>31</v>
      </c>
      <c r="F434">
        <v>32</v>
      </c>
      <c r="G434" s="2">
        <v>90</v>
      </c>
      <c r="H434" s="2">
        <v>2880</v>
      </c>
      <c r="I434" s="4">
        <v>0.03</v>
      </c>
      <c r="J434" s="2">
        <v>2793.6</v>
      </c>
      <c r="K434" s="1">
        <v>44087</v>
      </c>
      <c r="L434" s="1">
        <v>44087</v>
      </c>
      <c r="M434">
        <v>433</v>
      </c>
      <c r="N434">
        <v>7</v>
      </c>
      <c r="O434" t="s">
        <v>47</v>
      </c>
      <c r="P434" s="3">
        <v>0.09</v>
      </c>
      <c r="Q434" s="2">
        <v>251.42399999999998</v>
      </c>
      <c r="R434">
        <v>6</v>
      </c>
      <c r="S434" t="str">
        <f t="shared" si="6"/>
        <v>Agosto</v>
      </c>
    </row>
    <row r="435" spans="1:19">
      <c r="A435">
        <v>434</v>
      </c>
      <c r="B435" s="1">
        <v>44064</v>
      </c>
      <c r="C435">
        <v>84</v>
      </c>
      <c r="D435" t="s">
        <v>44</v>
      </c>
      <c r="E435" t="s">
        <v>31</v>
      </c>
      <c r="F435">
        <v>15</v>
      </c>
      <c r="G435" s="2">
        <v>112</v>
      </c>
      <c r="H435" s="2">
        <v>1680</v>
      </c>
      <c r="I435" s="4">
        <v>0.12</v>
      </c>
      <c r="J435" s="2">
        <v>1478.4</v>
      </c>
      <c r="K435" s="1">
        <v>44064</v>
      </c>
      <c r="L435" s="1">
        <v>44064</v>
      </c>
      <c r="M435">
        <v>434</v>
      </c>
      <c r="N435">
        <v>2</v>
      </c>
      <c r="O435" t="s">
        <v>34</v>
      </c>
      <c r="P435" s="3">
        <v>0.05</v>
      </c>
      <c r="Q435" s="2">
        <v>73.92</v>
      </c>
      <c r="R435">
        <v>7</v>
      </c>
      <c r="S435" t="str">
        <f t="shared" si="6"/>
        <v>Agosto</v>
      </c>
    </row>
    <row r="436" spans="1:19">
      <c r="A436">
        <v>435</v>
      </c>
      <c r="B436" s="1">
        <v>44064</v>
      </c>
      <c r="C436">
        <v>95</v>
      </c>
      <c r="D436" t="s">
        <v>38</v>
      </c>
      <c r="E436" t="s">
        <v>28</v>
      </c>
      <c r="F436">
        <v>40</v>
      </c>
      <c r="G436" s="2">
        <v>120</v>
      </c>
      <c r="H436" s="2">
        <v>4800</v>
      </c>
      <c r="I436" s="4">
        <v>0.13</v>
      </c>
      <c r="J436" s="2">
        <v>4176</v>
      </c>
      <c r="K436" s="1">
        <v>44070</v>
      </c>
      <c r="L436" s="1">
        <v>44070</v>
      </c>
      <c r="M436">
        <v>435</v>
      </c>
      <c r="N436">
        <v>3</v>
      </c>
      <c r="O436" t="s">
        <v>43</v>
      </c>
      <c r="P436" s="3">
        <v>0.06</v>
      </c>
      <c r="Q436" s="2">
        <v>250.56</v>
      </c>
      <c r="R436">
        <v>1</v>
      </c>
      <c r="S436" t="str">
        <f t="shared" si="6"/>
        <v>Agosto</v>
      </c>
    </row>
    <row r="437" spans="1:19">
      <c r="A437">
        <v>436</v>
      </c>
      <c r="B437" s="1">
        <v>44064</v>
      </c>
      <c r="C437">
        <v>71</v>
      </c>
      <c r="D437" t="s">
        <v>20</v>
      </c>
      <c r="E437" t="s">
        <v>50</v>
      </c>
      <c r="F437">
        <v>28</v>
      </c>
      <c r="G437" s="2">
        <v>91</v>
      </c>
      <c r="H437" s="2">
        <v>2548</v>
      </c>
      <c r="I437" s="4">
        <v>0.04</v>
      </c>
      <c r="J437" s="2">
        <v>2446.08</v>
      </c>
      <c r="K437" s="1">
        <v>44086</v>
      </c>
      <c r="L437" s="1">
        <v>44086</v>
      </c>
      <c r="M437">
        <v>436</v>
      </c>
      <c r="N437">
        <v>1</v>
      </c>
      <c r="O437" t="s">
        <v>52</v>
      </c>
      <c r="P437" s="3">
        <v>7.0000000000000007E-2</v>
      </c>
      <c r="Q437" s="2">
        <v>171.22560000000001</v>
      </c>
      <c r="R437">
        <v>2</v>
      </c>
      <c r="S437" t="str">
        <f t="shared" si="6"/>
        <v>Agosto</v>
      </c>
    </row>
    <row r="438" spans="1:19">
      <c r="A438">
        <v>437</v>
      </c>
      <c r="B438" s="1">
        <v>44064</v>
      </c>
      <c r="C438">
        <v>31</v>
      </c>
      <c r="D438" t="s">
        <v>85</v>
      </c>
      <c r="E438" t="s">
        <v>41</v>
      </c>
      <c r="F438">
        <v>13</v>
      </c>
      <c r="G438" s="2">
        <v>114</v>
      </c>
      <c r="H438" s="2">
        <v>1482</v>
      </c>
      <c r="I438" s="4">
        <v>0.14000000000000001</v>
      </c>
      <c r="J438" s="2">
        <v>1274.52</v>
      </c>
      <c r="K438" s="1">
        <v>44076</v>
      </c>
      <c r="L438" s="1">
        <v>44076</v>
      </c>
      <c r="M438">
        <v>437</v>
      </c>
      <c r="N438">
        <v>4</v>
      </c>
      <c r="O438" t="s">
        <v>29</v>
      </c>
      <c r="P438" s="3">
        <v>7.0000000000000007E-2</v>
      </c>
      <c r="Q438" s="2">
        <v>89.216400000000007</v>
      </c>
      <c r="R438">
        <v>3</v>
      </c>
      <c r="S438" t="str">
        <f t="shared" si="6"/>
        <v>Agosto</v>
      </c>
    </row>
    <row r="439" spans="1:19">
      <c r="A439">
        <v>438</v>
      </c>
      <c r="B439" s="1">
        <v>44065</v>
      </c>
      <c r="C439">
        <v>44</v>
      </c>
      <c r="D439" t="s">
        <v>71</v>
      </c>
      <c r="E439" t="s">
        <v>50</v>
      </c>
      <c r="F439">
        <v>28</v>
      </c>
      <c r="G439" s="2">
        <v>104</v>
      </c>
      <c r="H439" s="2">
        <v>2912</v>
      </c>
      <c r="I439" s="4">
        <v>0.12</v>
      </c>
      <c r="J439" s="2">
        <v>2562.56</v>
      </c>
      <c r="K439" s="1">
        <v>44086</v>
      </c>
      <c r="L439" s="1">
        <v>44086</v>
      </c>
      <c r="M439">
        <v>438</v>
      </c>
      <c r="N439">
        <v>2</v>
      </c>
      <c r="O439" t="s">
        <v>25</v>
      </c>
      <c r="P439" s="3">
        <v>0.08</v>
      </c>
      <c r="Q439" s="2">
        <v>205.00479999999999</v>
      </c>
      <c r="R439">
        <v>4</v>
      </c>
      <c r="S439" t="str">
        <f t="shared" si="6"/>
        <v>Agosto</v>
      </c>
    </row>
    <row r="440" spans="1:19">
      <c r="A440">
        <v>439</v>
      </c>
      <c r="B440" s="1">
        <v>44065</v>
      </c>
      <c r="C440">
        <v>54</v>
      </c>
      <c r="D440" t="s">
        <v>79</v>
      </c>
      <c r="E440" t="s">
        <v>28</v>
      </c>
      <c r="F440">
        <v>16</v>
      </c>
      <c r="G440" s="2">
        <v>104</v>
      </c>
      <c r="H440" s="2">
        <v>1664</v>
      </c>
      <c r="I440" s="4">
        <v>0.15</v>
      </c>
      <c r="J440" s="2">
        <v>1414.4</v>
      </c>
      <c r="K440" s="1">
        <v>44086</v>
      </c>
      <c r="L440" s="1">
        <v>44086</v>
      </c>
      <c r="M440">
        <v>439</v>
      </c>
      <c r="N440">
        <v>4</v>
      </c>
      <c r="O440" t="s">
        <v>25</v>
      </c>
      <c r="P440" s="3">
        <v>0.1</v>
      </c>
      <c r="Q440" s="2">
        <v>141.44000000000003</v>
      </c>
      <c r="R440">
        <v>5</v>
      </c>
      <c r="S440" t="str">
        <f t="shared" si="6"/>
        <v>Agosto</v>
      </c>
    </row>
    <row r="441" spans="1:19">
      <c r="A441">
        <v>440</v>
      </c>
      <c r="B441" s="1">
        <v>44066</v>
      </c>
      <c r="C441">
        <v>24</v>
      </c>
      <c r="D441" t="s">
        <v>74</v>
      </c>
      <c r="E441" t="s">
        <v>46</v>
      </c>
      <c r="F441">
        <v>35</v>
      </c>
      <c r="G441" s="2">
        <v>90</v>
      </c>
      <c r="H441" s="2">
        <v>3150</v>
      </c>
      <c r="I441" s="4">
        <v>0.01</v>
      </c>
      <c r="J441" s="2">
        <v>3118.5</v>
      </c>
      <c r="K441" s="1">
        <v>44076</v>
      </c>
      <c r="L441" s="1">
        <v>44076</v>
      </c>
      <c r="M441">
        <v>440</v>
      </c>
      <c r="N441">
        <v>2</v>
      </c>
      <c r="O441" t="s">
        <v>52</v>
      </c>
      <c r="P441" s="3">
        <v>0.05</v>
      </c>
      <c r="Q441" s="2">
        <v>155.92500000000001</v>
      </c>
      <c r="R441">
        <v>6</v>
      </c>
      <c r="S441" t="str">
        <f t="shared" si="6"/>
        <v>Agosto</v>
      </c>
    </row>
    <row r="442" spans="1:19">
      <c r="A442">
        <v>441</v>
      </c>
      <c r="B442" s="1">
        <v>44066</v>
      </c>
      <c r="C442">
        <v>71</v>
      </c>
      <c r="D442" t="s">
        <v>20</v>
      </c>
      <c r="E442" t="s">
        <v>24</v>
      </c>
      <c r="F442">
        <v>21</v>
      </c>
      <c r="G442" s="2">
        <v>92</v>
      </c>
      <c r="H442" s="2">
        <v>1932</v>
      </c>
      <c r="I442" s="4">
        <v>0.12</v>
      </c>
      <c r="J442" s="2">
        <v>1700.16</v>
      </c>
      <c r="K442" s="1">
        <v>44079</v>
      </c>
      <c r="L442" s="1">
        <v>44079</v>
      </c>
      <c r="M442">
        <v>441</v>
      </c>
      <c r="N442">
        <v>3</v>
      </c>
      <c r="O442" t="s">
        <v>34</v>
      </c>
      <c r="P442" s="3">
        <v>0.08</v>
      </c>
      <c r="Q442" s="2">
        <v>136.0128</v>
      </c>
      <c r="R442">
        <v>7</v>
      </c>
      <c r="S442" t="str">
        <f t="shared" si="6"/>
        <v>Agosto</v>
      </c>
    </row>
    <row r="443" spans="1:19">
      <c r="A443">
        <v>442</v>
      </c>
      <c r="B443" s="1">
        <v>44066</v>
      </c>
      <c r="C443">
        <v>30</v>
      </c>
      <c r="D443" t="s">
        <v>96</v>
      </c>
      <c r="E443" t="s">
        <v>31</v>
      </c>
      <c r="F443">
        <v>29</v>
      </c>
      <c r="G443" s="2">
        <v>95</v>
      </c>
      <c r="H443" s="2">
        <v>2755</v>
      </c>
      <c r="I443" s="4">
        <v>0.06</v>
      </c>
      <c r="J443" s="2">
        <v>2589.6999999999998</v>
      </c>
      <c r="K443" s="1">
        <v>44073</v>
      </c>
      <c r="L443" s="1">
        <v>44073</v>
      </c>
      <c r="M443">
        <v>442</v>
      </c>
      <c r="N443">
        <v>2</v>
      </c>
      <c r="O443" t="s">
        <v>69</v>
      </c>
      <c r="P443" s="3">
        <v>0.06</v>
      </c>
      <c r="Q443" s="2">
        <v>155.38199999999998</v>
      </c>
      <c r="R443">
        <v>1</v>
      </c>
      <c r="S443" t="str">
        <f t="shared" si="6"/>
        <v>Agosto</v>
      </c>
    </row>
    <row r="444" spans="1:19">
      <c r="A444">
        <v>443</v>
      </c>
      <c r="B444" s="1">
        <v>44067</v>
      </c>
      <c r="C444">
        <v>62</v>
      </c>
      <c r="D444" t="s">
        <v>38</v>
      </c>
      <c r="E444" t="s">
        <v>31</v>
      </c>
      <c r="F444">
        <v>32</v>
      </c>
      <c r="G444" s="2">
        <v>113</v>
      </c>
      <c r="H444" s="2">
        <v>3616</v>
      </c>
      <c r="I444" s="4">
        <v>0.1</v>
      </c>
      <c r="J444" s="2">
        <v>3254.4</v>
      </c>
      <c r="K444" s="1">
        <v>44082</v>
      </c>
      <c r="L444" s="1">
        <v>44082</v>
      </c>
      <c r="M444">
        <v>443</v>
      </c>
      <c r="N444">
        <v>4</v>
      </c>
      <c r="O444" t="s">
        <v>25</v>
      </c>
      <c r="P444" s="3">
        <v>0.1</v>
      </c>
      <c r="Q444" s="2">
        <v>325.44000000000005</v>
      </c>
      <c r="R444">
        <v>2</v>
      </c>
      <c r="S444" t="str">
        <f t="shared" si="6"/>
        <v>Agosto</v>
      </c>
    </row>
    <row r="445" spans="1:19">
      <c r="A445">
        <v>444</v>
      </c>
      <c r="B445" s="1">
        <v>44068</v>
      </c>
      <c r="C445">
        <v>100</v>
      </c>
      <c r="D445" t="s">
        <v>38</v>
      </c>
      <c r="E445" t="s">
        <v>31</v>
      </c>
      <c r="F445">
        <v>14</v>
      </c>
      <c r="G445" s="2">
        <v>102</v>
      </c>
      <c r="H445" s="2">
        <v>1428</v>
      </c>
      <c r="I445" s="4">
        <v>0.08</v>
      </c>
      <c r="J445" s="2">
        <v>1313.76</v>
      </c>
      <c r="K445" s="1">
        <v>44078</v>
      </c>
      <c r="L445" s="1">
        <v>44078</v>
      </c>
      <c r="M445">
        <v>444</v>
      </c>
      <c r="N445">
        <v>1</v>
      </c>
      <c r="O445" t="s">
        <v>43</v>
      </c>
      <c r="P445" s="3">
        <v>0.1</v>
      </c>
      <c r="Q445" s="2">
        <v>131.376</v>
      </c>
      <c r="R445">
        <v>3</v>
      </c>
      <c r="S445" t="str">
        <f t="shared" si="6"/>
        <v>Agosto</v>
      </c>
    </row>
    <row r="446" spans="1:19">
      <c r="A446">
        <v>445</v>
      </c>
      <c r="B446" s="1">
        <v>44068</v>
      </c>
      <c r="C446">
        <v>84</v>
      </c>
      <c r="D446" t="s">
        <v>44</v>
      </c>
      <c r="E446" t="s">
        <v>24</v>
      </c>
      <c r="F446">
        <v>15</v>
      </c>
      <c r="G446" s="2">
        <v>111</v>
      </c>
      <c r="H446" s="2">
        <v>1665</v>
      </c>
      <c r="I446" s="4">
        <v>0.13</v>
      </c>
      <c r="J446" s="2">
        <v>1448.55</v>
      </c>
      <c r="K446" s="1">
        <v>44085</v>
      </c>
      <c r="L446" s="1">
        <v>44085</v>
      </c>
      <c r="M446">
        <v>445</v>
      </c>
      <c r="N446">
        <v>7</v>
      </c>
      <c r="O446" t="s">
        <v>37</v>
      </c>
      <c r="P446" s="3">
        <v>0.08</v>
      </c>
      <c r="Q446" s="2">
        <v>115.884</v>
      </c>
      <c r="R446">
        <v>4</v>
      </c>
      <c r="S446" t="str">
        <f t="shared" si="6"/>
        <v>Agosto</v>
      </c>
    </row>
    <row r="447" spans="1:19">
      <c r="A447">
        <v>446</v>
      </c>
      <c r="B447" s="1">
        <v>44068</v>
      </c>
      <c r="C447">
        <v>63</v>
      </c>
      <c r="D447" t="s">
        <v>80</v>
      </c>
      <c r="E447" t="s">
        <v>28</v>
      </c>
      <c r="F447">
        <v>39</v>
      </c>
      <c r="G447" s="2">
        <v>102</v>
      </c>
      <c r="H447" s="2">
        <v>3978</v>
      </c>
      <c r="I447" s="4">
        <v>0</v>
      </c>
      <c r="J447" s="2">
        <v>3978</v>
      </c>
      <c r="K447" s="1">
        <v>44092</v>
      </c>
      <c r="L447" s="1">
        <v>44092</v>
      </c>
      <c r="M447">
        <v>446</v>
      </c>
      <c r="N447">
        <v>3</v>
      </c>
      <c r="O447" t="s">
        <v>32</v>
      </c>
      <c r="P447" s="3">
        <v>0.09</v>
      </c>
      <c r="Q447" s="2">
        <v>358.02</v>
      </c>
      <c r="R447">
        <v>5</v>
      </c>
      <c r="S447" t="str">
        <f t="shared" si="6"/>
        <v>Agosto</v>
      </c>
    </row>
    <row r="448" spans="1:19">
      <c r="A448">
        <v>447</v>
      </c>
      <c r="B448" s="1">
        <v>44069</v>
      </c>
      <c r="C448">
        <v>81</v>
      </c>
      <c r="D448" t="s">
        <v>103</v>
      </c>
      <c r="E448" t="s">
        <v>24</v>
      </c>
      <c r="F448">
        <v>20</v>
      </c>
      <c r="G448" s="2">
        <v>112</v>
      </c>
      <c r="H448" s="2">
        <v>2240</v>
      </c>
      <c r="I448" s="4">
        <v>0.14000000000000001</v>
      </c>
      <c r="J448" s="2">
        <v>1926.4</v>
      </c>
      <c r="K448" s="1">
        <v>44093</v>
      </c>
      <c r="L448" s="1">
        <v>44093</v>
      </c>
      <c r="M448">
        <v>447</v>
      </c>
      <c r="N448">
        <v>6</v>
      </c>
      <c r="O448" t="s">
        <v>32</v>
      </c>
      <c r="P448" s="3">
        <v>0.06</v>
      </c>
      <c r="Q448" s="2">
        <v>115.584</v>
      </c>
      <c r="R448">
        <v>6</v>
      </c>
      <c r="S448" t="str">
        <f t="shared" si="6"/>
        <v>Agosto</v>
      </c>
    </row>
    <row r="449" spans="1:19">
      <c r="A449">
        <v>448</v>
      </c>
      <c r="B449" s="1">
        <v>44069</v>
      </c>
      <c r="C449">
        <v>43</v>
      </c>
      <c r="D449" t="s">
        <v>99</v>
      </c>
      <c r="E449" t="s">
        <v>31</v>
      </c>
      <c r="F449">
        <v>37</v>
      </c>
      <c r="G449" s="2">
        <v>107</v>
      </c>
      <c r="H449" s="2">
        <v>3959</v>
      </c>
      <c r="I449" s="4">
        <v>0.01</v>
      </c>
      <c r="J449" s="2">
        <v>3919.41</v>
      </c>
      <c r="K449" s="1">
        <v>44084</v>
      </c>
      <c r="L449" s="1">
        <v>44084</v>
      </c>
      <c r="M449">
        <v>448</v>
      </c>
      <c r="N449">
        <v>5</v>
      </c>
      <c r="O449" t="s">
        <v>34</v>
      </c>
      <c r="P449" s="3">
        <v>7.0000000000000007E-2</v>
      </c>
      <c r="Q449" s="2">
        <v>274.3587</v>
      </c>
      <c r="R449">
        <v>7</v>
      </c>
      <c r="S449" t="str">
        <f t="shared" si="6"/>
        <v>Agosto</v>
      </c>
    </row>
    <row r="450" spans="1:19">
      <c r="A450">
        <v>449</v>
      </c>
      <c r="B450" s="1">
        <v>44070</v>
      </c>
      <c r="C450">
        <v>7</v>
      </c>
      <c r="D450" t="s">
        <v>102</v>
      </c>
      <c r="E450" t="s">
        <v>41</v>
      </c>
      <c r="F450">
        <v>42</v>
      </c>
      <c r="G450" s="2">
        <v>113</v>
      </c>
      <c r="H450" s="2">
        <v>4746</v>
      </c>
      <c r="I450" s="4">
        <v>0.12</v>
      </c>
      <c r="J450" s="2">
        <v>4176.4799999999996</v>
      </c>
      <c r="K450" s="1">
        <v>44087</v>
      </c>
      <c r="L450" s="1">
        <v>44087</v>
      </c>
      <c r="M450">
        <v>449</v>
      </c>
      <c r="N450">
        <v>1</v>
      </c>
      <c r="O450" t="s">
        <v>29</v>
      </c>
      <c r="P450" s="3">
        <v>0.08</v>
      </c>
      <c r="Q450" s="2">
        <v>334.11839999999995</v>
      </c>
      <c r="R450">
        <v>1</v>
      </c>
      <c r="S450" t="str">
        <f t="shared" si="6"/>
        <v>Agosto</v>
      </c>
    </row>
    <row r="451" spans="1:19">
      <c r="A451">
        <v>450</v>
      </c>
      <c r="B451" s="1">
        <v>44070</v>
      </c>
      <c r="C451">
        <v>66</v>
      </c>
      <c r="D451" t="s">
        <v>30</v>
      </c>
      <c r="E451" t="s">
        <v>59</v>
      </c>
      <c r="F451">
        <v>44</v>
      </c>
      <c r="G451" s="2">
        <v>109</v>
      </c>
      <c r="H451" s="2">
        <v>4796</v>
      </c>
      <c r="I451" s="4">
        <v>0.02</v>
      </c>
      <c r="J451" s="2">
        <v>4700.08</v>
      </c>
      <c r="K451" s="1">
        <v>44075</v>
      </c>
      <c r="L451" s="1">
        <v>44075</v>
      </c>
      <c r="M451">
        <v>450</v>
      </c>
      <c r="N451">
        <v>4</v>
      </c>
      <c r="O451" t="s">
        <v>43</v>
      </c>
      <c r="P451" s="3">
        <v>0.06</v>
      </c>
      <c r="Q451" s="2">
        <v>282.00479999999999</v>
      </c>
      <c r="R451">
        <v>2</v>
      </c>
      <c r="S451" t="str">
        <f t="shared" ref="S451:S514" si="7">PROPER(TEXT(B451,"mmmm"))</f>
        <v>Agosto</v>
      </c>
    </row>
    <row r="452" spans="1:19">
      <c r="A452">
        <v>451</v>
      </c>
      <c r="B452" s="1">
        <v>44070</v>
      </c>
      <c r="C452">
        <v>76</v>
      </c>
      <c r="D452" t="s">
        <v>104</v>
      </c>
      <c r="E452" t="s">
        <v>46</v>
      </c>
      <c r="F452">
        <v>33</v>
      </c>
      <c r="G452" s="2">
        <v>97</v>
      </c>
      <c r="H452" s="2">
        <v>3201</v>
      </c>
      <c r="I452" s="4">
        <v>0.1</v>
      </c>
      <c r="J452" s="2">
        <v>2880.9</v>
      </c>
      <c r="K452" s="1">
        <v>44085</v>
      </c>
      <c r="L452" s="1">
        <v>44085</v>
      </c>
      <c r="M452">
        <v>451</v>
      </c>
      <c r="N452">
        <v>5</v>
      </c>
      <c r="O452" t="s">
        <v>32</v>
      </c>
      <c r="P452" s="3">
        <v>0.08</v>
      </c>
      <c r="Q452" s="2">
        <v>230.47200000000001</v>
      </c>
      <c r="R452">
        <v>3</v>
      </c>
      <c r="S452" t="str">
        <f t="shared" si="7"/>
        <v>Agosto</v>
      </c>
    </row>
    <row r="453" spans="1:19">
      <c r="A453">
        <v>452</v>
      </c>
      <c r="B453" s="1">
        <v>44071</v>
      </c>
      <c r="C453">
        <v>37</v>
      </c>
      <c r="D453" t="s">
        <v>48</v>
      </c>
      <c r="E453" t="s">
        <v>31</v>
      </c>
      <c r="F453">
        <v>29</v>
      </c>
      <c r="G453" s="2">
        <v>116</v>
      </c>
      <c r="H453" s="2">
        <v>3364</v>
      </c>
      <c r="I453" s="4">
        <v>0</v>
      </c>
      <c r="J453" s="2">
        <v>3364</v>
      </c>
      <c r="K453" s="1">
        <v>44097</v>
      </c>
      <c r="L453" s="1">
        <v>44097</v>
      </c>
      <c r="M453">
        <v>452</v>
      </c>
      <c r="N453">
        <v>4</v>
      </c>
      <c r="O453" t="s">
        <v>29</v>
      </c>
      <c r="P453" s="3">
        <v>0.06</v>
      </c>
      <c r="Q453" s="2">
        <v>201.84</v>
      </c>
      <c r="R453">
        <v>4</v>
      </c>
      <c r="S453" t="str">
        <f t="shared" si="7"/>
        <v>Agosto</v>
      </c>
    </row>
    <row r="454" spans="1:19">
      <c r="A454">
        <v>453</v>
      </c>
      <c r="B454" s="1">
        <v>44071</v>
      </c>
      <c r="C454">
        <v>13</v>
      </c>
      <c r="D454" t="s">
        <v>75</v>
      </c>
      <c r="E454" t="s">
        <v>54</v>
      </c>
      <c r="F454">
        <v>32</v>
      </c>
      <c r="G454" s="2">
        <v>108</v>
      </c>
      <c r="H454" s="2">
        <v>3456</v>
      </c>
      <c r="I454" s="4">
        <v>0.11</v>
      </c>
      <c r="J454" s="2">
        <v>3075.84</v>
      </c>
      <c r="K454" s="1">
        <v>44087</v>
      </c>
      <c r="L454" s="1">
        <v>44087</v>
      </c>
      <c r="M454">
        <v>453</v>
      </c>
      <c r="N454">
        <v>5</v>
      </c>
      <c r="O454" t="s">
        <v>29</v>
      </c>
      <c r="P454" s="3">
        <v>7.0000000000000007E-2</v>
      </c>
      <c r="Q454" s="2">
        <v>215.30880000000002</v>
      </c>
      <c r="R454">
        <v>5</v>
      </c>
      <c r="S454" t="str">
        <f t="shared" si="7"/>
        <v>Agosto</v>
      </c>
    </row>
    <row r="455" spans="1:19">
      <c r="A455">
        <v>454</v>
      </c>
      <c r="B455" s="1">
        <v>44072</v>
      </c>
      <c r="C455">
        <v>30</v>
      </c>
      <c r="D455" t="s">
        <v>96</v>
      </c>
      <c r="E455" t="s">
        <v>21</v>
      </c>
      <c r="F455">
        <v>40</v>
      </c>
      <c r="G455" s="2">
        <v>106</v>
      </c>
      <c r="H455" s="2">
        <v>4240</v>
      </c>
      <c r="I455" s="4">
        <v>0.11</v>
      </c>
      <c r="J455" s="2">
        <v>3773.6</v>
      </c>
      <c r="K455" s="1">
        <v>44093</v>
      </c>
      <c r="L455" s="1">
        <v>44093</v>
      </c>
      <c r="M455">
        <v>454</v>
      </c>
      <c r="N455">
        <v>1</v>
      </c>
      <c r="O455" t="s">
        <v>43</v>
      </c>
      <c r="P455" s="3">
        <v>0.06</v>
      </c>
      <c r="Q455" s="2">
        <v>226.416</v>
      </c>
      <c r="R455">
        <v>6</v>
      </c>
      <c r="S455" t="str">
        <f t="shared" si="7"/>
        <v>Agosto</v>
      </c>
    </row>
    <row r="456" spans="1:19">
      <c r="A456">
        <v>455</v>
      </c>
      <c r="B456" s="1">
        <v>44072</v>
      </c>
      <c r="C456">
        <v>52</v>
      </c>
      <c r="D456" t="s">
        <v>23</v>
      </c>
      <c r="E456" t="s">
        <v>41</v>
      </c>
      <c r="F456">
        <v>49</v>
      </c>
      <c r="G456" s="2">
        <v>92</v>
      </c>
      <c r="H456" s="2">
        <v>4508</v>
      </c>
      <c r="I456" s="4">
        <v>7.0000000000000007E-2</v>
      </c>
      <c r="J456" s="2">
        <v>4192.4399999999996</v>
      </c>
      <c r="K456" s="1">
        <v>44089</v>
      </c>
      <c r="L456" s="1">
        <v>44089</v>
      </c>
      <c r="M456">
        <v>455</v>
      </c>
      <c r="N456">
        <v>3</v>
      </c>
      <c r="O456" t="s">
        <v>52</v>
      </c>
      <c r="P456" s="3">
        <v>0.1</v>
      </c>
      <c r="Q456" s="2">
        <v>419.24399999999997</v>
      </c>
      <c r="R456">
        <v>7</v>
      </c>
      <c r="S456" t="str">
        <f t="shared" si="7"/>
        <v>Agosto</v>
      </c>
    </row>
    <row r="457" spans="1:19">
      <c r="A457">
        <v>456</v>
      </c>
      <c r="B457" s="1">
        <v>44072</v>
      </c>
      <c r="C457">
        <v>3</v>
      </c>
      <c r="D457" t="s">
        <v>91</v>
      </c>
      <c r="E457" t="s">
        <v>28</v>
      </c>
      <c r="F457">
        <v>26</v>
      </c>
      <c r="G457" s="2">
        <v>93</v>
      </c>
      <c r="H457" s="2">
        <v>2418</v>
      </c>
      <c r="I457" s="4">
        <v>0.15</v>
      </c>
      <c r="J457" s="2">
        <v>2055.3000000000002</v>
      </c>
      <c r="K457" s="1">
        <v>44092</v>
      </c>
      <c r="L457" s="1">
        <v>44092</v>
      </c>
      <c r="M457">
        <v>456</v>
      </c>
      <c r="N457">
        <v>4</v>
      </c>
      <c r="O457" t="s">
        <v>22</v>
      </c>
      <c r="P457" s="3">
        <v>0.1</v>
      </c>
      <c r="Q457" s="2">
        <v>205.53000000000003</v>
      </c>
      <c r="R457">
        <v>1</v>
      </c>
      <c r="S457" t="str">
        <f t="shared" si="7"/>
        <v>Agosto</v>
      </c>
    </row>
    <row r="458" spans="1:19">
      <c r="A458">
        <v>457</v>
      </c>
      <c r="B458" s="1">
        <v>44073</v>
      </c>
      <c r="C458">
        <v>37</v>
      </c>
      <c r="D458" t="s">
        <v>48</v>
      </c>
      <c r="E458" t="s">
        <v>28</v>
      </c>
      <c r="F458">
        <v>39</v>
      </c>
      <c r="G458" s="2">
        <v>96</v>
      </c>
      <c r="H458" s="2">
        <v>3744</v>
      </c>
      <c r="I458" s="4">
        <v>7.0000000000000007E-2</v>
      </c>
      <c r="J458" s="2">
        <v>3481.92</v>
      </c>
      <c r="K458" s="1">
        <v>44090</v>
      </c>
      <c r="L458" s="1">
        <v>44090</v>
      </c>
      <c r="M458">
        <v>457</v>
      </c>
      <c r="N458">
        <v>2</v>
      </c>
      <c r="O458" t="s">
        <v>37</v>
      </c>
      <c r="P458" s="3">
        <v>0.05</v>
      </c>
      <c r="Q458" s="2">
        <v>174.096</v>
      </c>
      <c r="R458">
        <v>2</v>
      </c>
      <c r="S458" t="str">
        <f t="shared" si="7"/>
        <v>Agosto</v>
      </c>
    </row>
    <row r="459" spans="1:19">
      <c r="A459">
        <v>458</v>
      </c>
      <c r="B459" s="1">
        <v>44073</v>
      </c>
      <c r="C459">
        <v>23</v>
      </c>
      <c r="D459" t="s">
        <v>105</v>
      </c>
      <c r="E459" t="s">
        <v>24</v>
      </c>
      <c r="F459">
        <v>45</v>
      </c>
      <c r="G459" s="2">
        <v>114</v>
      </c>
      <c r="H459" s="2">
        <v>5130</v>
      </c>
      <c r="I459" s="4">
        <v>0.03</v>
      </c>
      <c r="J459" s="2">
        <v>4976.1000000000004</v>
      </c>
      <c r="K459" s="1">
        <v>44101</v>
      </c>
      <c r="L459" s="1">
        <v>44101</v>
      </c>
      <c r="M459">
        <v>458</v>
      </c>
      <c r="N459">
        <v>4</v>
      </c>
      <c r="O459" t="s">
        <v>32</v>
      </c>
      <c r="P459" s="3">
        <v>0.1</v>
      </c>
      <c r="Q459" s="2">
        <v>497.61000000000007</v>
      </c>
      <c r="R459">
        <v>3</v>
      </c>
      <c r="S459" t="str">
        <f t="shared" si="7"/>
        <v>Agosto</v>
      </c>
    </row>
    <row r="460" spans="1:19">
      <c r="A460">
        <v>459</v>
      </c>
      <c r="B460" s="1">
        <v>44073</v>
      </c>
      <c r="C460">
        <v>7</v>
      </c>
      <c r="D460" t="s">
        <v>102</v>
      </c>
      <c r="E460" t="s">
        <v>21</v>
      </c>
      <c r="F460">
        <v>48</v>
      </c>
      <c r="G460" s="2">
        <v>100</v>
      </c>
      <c r="H460" s="2">
        <v>4800</v>
      </c>
      <c r="I460" s="4">
        <v>0.03</v>
      </c>
      <c r="J460" s="2">
        <v>4656</v>
      </c>
      <c r="K460" s="1">
        <v>44102</v>
      </c>
      <c r="L460" s="1">
        <v>44102</v>
      </c>
      <c r="M460">
        <v>459</v>
      </c>
      <c r="N460">
        <v>1</v>
      </c>
      <c r="O460" t="s">
        <v>69</v>
      </c>
      <c r="P460" s="3">
        <v>0.05</v>
      </c>
      <c r="Q460" s="2">
        <v>232.8</v>
      </c>
      <c r="R460">
        <v>4</v>
      </c>
      <c r="S460" t="str">
        <f t="shared" si="7"/>
        <v>Agosto</v>
      </c>
    </row>
    <row r="461" spans="1:19">
      <c r="A461">
        <v>460</v>
      </c>
      <c r="B461" s="1">
        <v>44073</v>
      </c>
      <c r="C461">
        <v>87</v>
      </c>
      <c r="D461" t="s">
        <v>40</v>
      </c>
      <c r="E461" t="s">
        <v>24</v>
      </c>
      <c r="F461">
        <v>45</v>
      </c>
      <c r="G461" s="2">
        <v>109</v>
      </c>
      <c r="H461" s="2">
        <v>4905</v>
      </c>
      <c r="I461" s="4">
        <v>0.03</v>
      </c>
      <c r="J461" s="2">
        <v>4757.8500000000004</v>
      </c>
      <c r="K461" s="1">
        <v>44079</v>
      </c>
      <c r="L461" s="1">
        <v>44079</v>
      </c>
      <c r="M461">
        <v>460</v>
      </c>
      <c r="N461">
        <v>2</v>
      </c>
      <c r="O461" t="s">
        <v>47</v>
      </c>
      <c r="P461" s="3">
        <v>0.05</v>
      </c>
      <c r="Q461" s="2">
        <v>237.89250000000004</v>
      </c>
      <c r="R461">
        <v>5</v>
      </c>
      <c r="S461" t="str">
        <f t="shared" si="7"/>
        <v>Agosto</v>
      </c>
    </row>
    <row r="462" spans="1:19">
      <c r="A462">
        <v>461</v>
      </c>
      <c r="B462" s="1">
        <v>44074</v>
      </c>
      <c r="C462">
        <v>98</v>
      </c>
      <c r="D462" t="s">
        <v>26</v>
      </c>
      <c r="E462" t="s">
        <v>50</v>
      </c>
      <c r="F462">
        <v>31</v>
      </c>
      <c r="G462" s="2">
        <v>99</v>
      </c>
      <c r="H462" s="2">
        <v>3069</v>
      </c>
      <c r="I462" s="4">
        <v>0.11</v>
      </c>
      <c r="J462" s="2">
        <v>2731.41</v>
      </c>
      <c r="K462" s="1">
        <v>44081</v>
      </c>
      <c r="L462" s="1">
        <v>44081</v>
      </c>
      <c r="M462">
        <v>461</v>
      </c>
      <c r="N462">
        <v>7</v>
      </c>
      <c r="O462" t="s">
        <v>43</v>
      </c>
      <c r="P462" s="3">
        <v>0.09</v>
      </c>
      <c r="Q462" s="2">
        <v>245.82689999999997</v>
      </c>
      <c r="R462">
        <v>6</v>
      </c>
      <c r="S462" t="str">
        <f t="shared" si="7"/>
        <v>Agosto</v>
      </c>
    </row>
    <row r="463" spans="1:19">
      <c r="A463">
        <v>462</v>
      </c>
      <c r="B463" s="1">
        <v>44075</v>
      </c>
      <c r="C463">
        <v>41</v>
      </c>
      <c r="D463" t="s">
        <v>68</v>
      </c>
      <c r="E463" t="s">
        <v>54</v>
      </c>
      <c r="F463">
        <v>36</v>
      </c>
      <c r="G463" s="2">
        <v>108</v>
      </c>
      <c r="H463" s="2">
        <v>3888</v>
      </c>
      <c r="I463" s="4">
        <v>0.02</v>
      </c>
      <c r="J463" s="2">
        <v>3810.24</v>
      </c>
      <c r="K463" s="1">
        <v>44094</v>
      </c>
      <c r="L463" s="1">
        <v>44094</v>
      </c>
      <c r="M463">
        <v>462</v>
      </c>
      <c r="N463">
        <v>4</v>
      </c>
      <c r="O463" t="s">
        <v>32</v>
      </c>
      <c r="P463" s="3">
        <v>7.0000000000000007E-2</v>
      </c>
      <c r="Q463" s="2">
        <v>266.71680000000003</v>
      </c>
      <c r="R463">
        <v>7</v>
      </c>
      <c r="S463" t="str">
        <f t="shared" si="7"/>
        <v>Setembro</v>
      </c>
    </row>
    <row r="464" spans="1:19">
      <c r="A464">
        <v>463</v>
      </c>
      <c r="B464" s="1">
        <v>44075</v>
      </c>
      <c r="C464">
        <v>51</v>
      </c>
      <c r="D464" t="s">
        <v>53</v>
      </c>
      <c r="E464" t="s">
        <v>24</v>
      </c>
      <c r="F464">
        <v>17</v>
      </c>
      <c r="G464" s="2">
        <v>99</v>
      </c>
      <c r="H464" s="2">
        <v>1683</v>
      </c>
      <c r="I464" s="4">
        <v>0.12</v>
      </c>
      <c r="J464" s="2">
        <v>1481.04</v>
      </c>
      <c r="K464" s="1">
        <v>44080</v>
      </c>
      <c r="L464" s="1">
        <v>44080</v>
      </c>
      <c r="M464">
        <v>463</v>
      </c>
      <c r="N464">
        <v>3</v>
      </c>
      <c r="O464" t="s">
        <v>32</v>
      </c>
      <c r="P464" s="3">
        <v>0.05</v>
      </c>
      <c r="Q464" s="2">
        <v>74.052000000000007</v>
      </c>
      <c r="R464">
        <v>1</v>
      </c>
      <c r="S464" t="str">
        <f t="shared" si="7"/>
        <v>Setembro</v>
      </c>
    </row>
    <row r="465" spans="1:19">
      <c r="A465">
        <v>464</v>
      </c>
      <c r="B465" s="1">
        <v>44075</v>
      </c>
      <c r="C465">
        <v>10</v>
      </c>
      <c r="D465" t="s">
        <v>89</v>
      </c>
      <c r="E465" t="s">
        <v>31</v>
      </c>
      <c r="F465">
        <v>16</v>
      </c>
      <c r="G465" s="2">
        <v>114</v>
      </c>
      <c r="H465" s="2">
        <v>1824</v>
      </c>
      <c r="I465" s="4">
        <v>0.08</v>
      </c>
      <c r="J465" s="2">
        <v>1678.08</v>
      </c>
      <c r="K465" s="1">
        <v>44094</v>
      </c>
      <c r="L465" s="1">
        <v>44094</v>
      </c>
      <c r="M465">
        <v>464</v>
      </c>
      <c r="N465">
        <v>4</v>
      </c>
      <c r="O465" t="s">
        <v>52</v>
      </c>
      <c r="P465" s="3">
        <v>0.09</v>
      </c>
      <c r="Q465" s="2">
        <v>151.02719999999999</v>
      </c>
      <c r="R465">
        <v>2</v>
      </c>
      <c r="S465" t="str">
        <f t="shared" si="7"/>
        <v>Setembro</v>
      </c>
    </row>
    <row r="466" spans="1:19">
      <c r="A466">
        <v>465</v>
      </c>
      <c r="B466" s="1">
        <v>44075</v>
      </c>
      <c r="C466">
        <v>96</v>
      </c>
      <c r="D466" t="s">
        <v>42</v>
      </c>
      <c r="E466" t="s">
        <v>21</v>
      </c>
      <c r="F466">
        <v>12</v>
      </c>
      <c r="G466" s="2">
        <v>91</v>
      </c>
      <c r="H466" s="2">
        <v>1092</v>
      </c>
      <c r="I466" s="4">
        <v>0.12</v>
      </c>
      <c r="J466" s="2">
        <v>960.96</v>
      </c>
      <c r="K466" s="1">
        <v>44079</v>
      </c>
      <c r="L466" s="1">
        <v>44079</v>
      </c>
      <c r="M466">
        <v>465</v>
      </c>
      <c r="N466">
        <v>4</v>
      </c>
      <c r="O466" t="s">
        <v>34</v>
      </c>
      <c r="P466" s="3">
        <v>0.08</v>
      </c>
      <c r="Q466" s="2">
        <v>76.876800000000003</v>
      </c>
      <c r="R466">
        <v>3</v>
      </c>
      <c r="S466" t="str">
        <f t="shared" si="7"/>
        <v>Setembro</v>
      </c>
    </row>
    <row r="467" spans="1:19">
      <c r="A467">
        <v>466</v>
      </c>
      <c r="B467" s="1">
        <v>44076</v>
      </c>
      <c r="C467">
        <v>100</v>
      </c>
      <c r="D467" t="s">
        <v>38</v>
      </c>
      <c r="E467" t="s">
        <v>41</v>
      </c>
      <c r="F467">
        <v>28</v>
      </c>
      <c r="G467" s="2">
        <v>95</v>
      </c>
      <c r="H467" s="2">
        <v>2660</v>
      </c>
      <c r="I467" s="4">
        <v>0</v>
      </c>
      <c r="J467" s="2">
        <v>2660</v>
      </c>
      <c r="K467" s="1">
        <v>44099</v>
      </c>
      <c r="L467" s="1">
        <v>44099</v>
      </c>
      <c r="M467">
        <v>466</v>
      </c>
      <c r="N467">
        <v>4</v>
      </c>
      <c r="O467" t="s">
        <v>47</v>
      </c>
      <c r="P467" s="3">
        <v>0.06</v>
      </c>
      <c r="Q467" s="2">
        <v>159.6</v>
      </c>
      <c r="R467">
        <v>4</v>
      </c>
      <c r="S467" t="str">
        <f t="shared" si="7"/>
        <v>Setembro</v>
      </c>
    </row>
    <row r="468" spans="1:19">
      <c r="A468">
        <v>467</v>
      </c>
      <c r="B468" s="1">
        <v>44076</v>
      </c>
      <c r="C468">
        <v>52</v>
      </c>
      <c r="D468" t="s">
        <v>23</v>
      </c>
      <c r="E468" t="s">
        <v>28</v>
      </c>
      <c r="F468">
        <v>34</v>
      </c>
      <c r="G468" s="2">
        <v>99</v>
      </c>
      <c r="H468" s="2">
        <v>3366</v>
      </c>
      <c r="I468" s="4">
        <v>0.11</v>
      </c>
      <c r="J468" s="2">
        <v>2995.74</v>
      </c>
      <c r="K468" s="1">
        <v>44082</v>
      </c>
      <c r="L468" s="1">
        <v>44082</v>
      </c>
      <c r="M468">
        <v>467</v>
      </c>
      <c r="N468">
        <v>4</v>
      </c>
      <c r="O468" t="s">
        <v>47</v>
      </c>
      <c r="P468" s="3">
        <v>0.05</v>
      </c>
      <c r="Q468" s="2">
        <v>149.78700000000001</v>
      </c>
      <c r="R468">
        <v>5</v>
      </c>
      <c r="S468" t="str">
        <f t="shared" si="7"/>
        <v>Setembro</v>
      </c>
    </row>
    <row r="469" spans="1:19">
      <c r="A469">
        <v>468</v>
      </c>
      <c r="B469" s="1">
        <v>44077</v>
      </c>
      <c r="C469">
        <v>40</v>
      </c>
      <c r="D469" t="s">
        <v>49</v>
      </c>
      <c r="E469" t="s">
        <v>21</v>
      </c>
      <c r="F469">
        <v>48</v>
      </c>
      <c r="G469" s="2">
        <v>112</v>
      </c>
      <c r="H469" s="2">
        <v>5376</v>
      </c>
      <c r="I469" s="4">
        <v>0.01</v>
      </c>
      <c r="J469" s="2">
        <v>5322.24</v>
      </c>
      <c r="K469" s="1">
        <v>44107</v>
      </c>
      <c r="L469" s="1">
        <v>44107</v>
      </c>
      <c r="M469">
        <v>468</v>
      </c>
      <c r="N469">
        <v>4</v>
      </c>
      <c r="O469" t="s">
        <v>22</v>
      </c>
      <c r="P469" s="3">
        <v>0.05</v>
      </c>
      <c r="Q469" s="2">
        <v>266.11200000000002</v>
      </c>
      <c r="R469">
        <v>6</v>
      </c>
      <c r="S469" t="str">
        <f t="shared" si="7"/>
        <v>Setembro</v>
      </c>
    </row>
    <row r="470" spans="1:19">
      <c r="A470">
        <v>469</v>
      </c>
      <c r="B470" s="1">
        <v>44077</v>
      </c>
      <c r="C470">
        <v>6</v>
      </c>
      <c r="D470" t="s">
        <v>88</v>
      </c>
      <c r="E470" t="s">
        <v>28</v>
      </c>
      <c r="F470">
        <v>45</v>
      </c>
      <c r="G470" s="2">
        <v>118</v>
      </c>
      <c r="H470" s="2">
        <v>5310</v>
      </c>
      <c r="I470" s="4">
        <v>0.01</v>
      </c>
      <c r="J470" s="2">
        <v>5256.9</v>
      </c>
      <c r="K470" s="1">
        <v>44080</v>
      </c>
      <c r="L470" s="1">
        <v>44080</v>
      </c>
      <c r="M470">
        <v>469</v>
      </c>
      <c r="N470">
        <v>4</v>
      </c>
      <c r="O470" t="s">
        <v>25</v>
      </c>
      <c r="P470" s="3">
        <v>0.05</v>
      </c>
      <c r="Q470" s="2">
        <v>262.84499999999997</v>
      </c>
      <c r="R470">
        <v>7</v>
      </c>
      <c r="S470" t="str">
        <f t="shared" si="7"/>
        <v>Setembro</v>
      </c>
    </row>
    <row r="471" spans="1:19">
      <c r="A471">
        <v>470</v>
      </c>
      <c r="B471" s="1">
        <v>44079</v>
      </c>
      <c r="C471">
        <v>59</v>
      </c>
      <c r="D471" t="s">
        <v>97</v>
      </c>
      <c r="E471" t="s">
        <v>24</v>
      </c>
      <c r="F471">
        <v>19</v>
      </c>
      <c r="G471" s="2">
        <v>108</v>
      </c>
      <c r="H471" s="2">
        <v>2052</v>
      </c>
      <c r="I471" s="4">
        <v>0.09</v>
      </c>
      <c r="J471" s="2">
        <v>1867.32</v>
      </c>
      <c r="K471" s="1">
        <v>44097</v>
      </c>
      <c r="L471" s="1">
        <v>44097</v>
      </c>
      <c r="M471">
        <v>470</v>
      </c>
      <c r="N471">
        <v>3</v>
      </c>
      <c r="O471" t="s">
        <v>22</v>
      </c>
      <c r="P471" s="3">
        <v>7.0000000000000007E-2</v>
      </c>
      <c r="Q471" s="2">
        <v>130.7124</v>
      </c>
      <c r="R471">
        <v>1</v>
      </c>
      <c r="S471" t="str">
        <f t="shared" si="7"/>
        <v>Setembro</v>
      </c>
    </row>
    <row r="472" spans="1:19">
      <c r="A472">
        <v>471</v>
      </c>
      <c r="B472" s="1">
        <v>44080</v>
      </c>
      <c r="C472">
        <v>20</v>
      </c>
      <c r="D472" t="s">
        <v>39</v>
      </c>
      <c r="E472" t="s">
        <v>46</v>
      </c>
      <c r="F472">
        <v>47</v>
      </c>
      <c r="G472" s="2">
        <v>91</v>
      </c>
      <c r="H472" s="2">
        <v>4277</v>
      </c>
      <c r="I472" s="4">
        <v>0.13</v>
      </c>
      <c r="J472" s="2">
        <v>3720.99</v>
      </c>
      <c r="K472" s="1">
        <v>44080</v>
      </c>
      <c r="L472" s="1">
        <v>44080</v>
      </c>
      <c r="M472">
        <v>471</v>
      </c>
      <c r="N472">
        <v>5</v>
      </c>
      <c r="O472" t="s">
        <v>25</v>
      </c>
      <c r="P472" s="3">
        <v>7.0000000000000007E-2</v>
      </c>
      <c r="Q472" s="2">
        <v>260.46930000000003</v>
      </c>
      <c r="R472">
        <v>2</v>
      </c>
      <c r="S472" t="str">
        <f t="shared" si="7"/>
        <v>Setembro</v>
      </c>
    </row>
    <row r="473" spans="1:19">
      <c r="A473">
        <v>472</v>
      </c>
      <c r="B473" s="1">
        <v>44080</v>
      </c>
      <c r="C473">
        <v>49</v>
      </c>
      <c r="D473" t="s">
        <v>38</v>
      </c>
      <c r="E473" t="s">
        <v>41</v>
      </c>
      <c r="F473">
        <v>20</v>
      </c>
      <c r="G473" s="2">
        <v>100</v>
      </c>
      <c r="H473" s="2">
        <v>2000</v>
      </c>
      <c r="I473" s="4">
        <v>0.14000000000000001</v>
      </c>
      <c r="J473" s="2">
        <v>1720</v>
      </c>
      <c r="K473" s="1">
        <v>44102</v>
      </c>
      <c r="L473" s="1">
        <v>44102</v>
      </c>
      <c r="M473">
        <v>472</v>
      </c>
      <c r="N473">
        <v>4</v>
      </c>
      <c r="O473" t="s">
        <v>47</v>
      </c>
      <c r="P473" s="3">
        <v>0.09</v>
      </c>
      <c r="Q473" s="2">
        <v>154.79999999999998</v>
      </c>
      <c r="R473">
        <v>3</v>
      </c>
      <c r="S473" t="str">
        <f t="shared" si="7"/>
        <v>Setembro</v>
      </c>
    </row>
    <row r="474" spans="1:19">
      <c r="A474">
        <v>473</v>
      </c>
      <c r="B474" s="1">
        <v>44081</v>
      </c>
      <c r="C474">
        <v>29</v>
      </c>
      <c r="D474" t="s">
        <v>98</v>
      </c>
      <c r="E474" t="s">
        <v>28</v>
      </c>
      <c r="F474">
        <v>37</v>
      </c>
      <c r="G474" s="2">
        <v>117</v>
      </c>
      <c r="H474" s="2">
        <v>4329</v>
      </c>
      <c r="I474" s="4">
        <v>0.11</v>
      </c>
      <c r="J474" s="2">
        <v>3852.81</v>
      </c>
      <c r="K474" s="1">
        <v>44097</v>
      </c>
      <c r="L474" s="1">
        <v>44097</v>
      </c>
      <c r="M474">
        <v>473</v>
      </c>
      <c r="N474">
        <v>4</v>
      </c>
      <c r="O474" t="s">
        <v>37</v>
      </c>
      <c r="P474" s="3">
        <v>7.0000000000000007E-2</v>
      </c>
      <c r="Q474" s="2">
        <v>269.69670000000002</v>
      </c>
      <c r="R474">
        <v>4</v>
      </c>
      <c r="S474" t="str">
        <f t="shared" si="7"/>
        <v>Setembro</v>
      </c>
    </row>
    <row r="475" spans="1:19">
      <c r="A475">
        <v>474</v>
      </c>
      <c r="B475" s="1">
        <v>44082</v>
      </c>
      <c r="C475">
        <v>45</v>
      </c>
      <c r="D475" t="s">
        <v>38</v>
      </c>
      <c r="E475" t="s">
        <v>31</v>
      </c>
      <c r="F475">
        <v>49</v>
      </c>
      <c r="G475" s="2">
        <v>93</v>
      </c>
      <c r="H475" s="2">
        <v>4557</v>
      </c>
      <c r="I475" s="4">
        <v>0</v>
      </c>
      <c r="J475" s="2">
        <v>4557</v>
      </c>
      <c r="K475" s="1">
        <v>44103</v>
      </c>
      <c r="L475" s="1">
        <v>44103</v>
      </c>
      <c r="M475">
        <v>474</v>
      </c>
      <c r="N475">
        <v>4</v>
      </c>
      <c r="O475" t="s">
        <v>52</v>
      </c>
      <c r="P475" s="3">
        <v>0.1</v>
      </c>
      <c r="Q475" s="2">
        <v>455.70000000000005</v>
      </c>
      <c r="R475">
        <v>5</v>
      </c>
      <c r="S475" t="str">
        <f t="shared" si="7"/>
        <v>Setembro</v>
      </c>
    </row>
    <row r="476" spans="1:19">
      <c r="A476">
        <v>475</v>
      </c>
      <c r="B476" s="1">
        <v>44083</v>
      </c>
      <c r="C476">
        <v>8</v>
      </c>
      <c r="D476" t="s">
        <v>38</v>
      </c>
      <c r="E476" t="s">
        <v>31</v>
      </c>
      <c r="F476">
        <v>21</v>
      </c>
      <c r="G476" s="2">
        <v>117</v>
      </c>
      <c r="H476" s="2">
        <v>2457</v>
      </c>
      <c r="I476" s="4">
        <v>0.12</v>
      </c>
      <c r="J476" s="2">
        <v>2162.16</v>
      </c>
      <c r="K476" s="1">
        <v>44098</v>
      </c>
      <c r="L476" s="1">
        <v>44098</v>
      </c>
      <c r="M476">
        <v>475</v>
      </c>
      <c r="N476">
        <v>4</v>
      </c>
      <c r="O476" t="s">
        <v>25</v>
      </c>
      <c r="P476" s="3">
        <v>0.08</v>
      </c>
      <c r="Q476" s="2">
        <v>172.97279999999998</v>
      </c>
      <c r="R476">
        <v>6</v>
      </c>
      <c r="S476" t="str">
        <f t="shared" si="7"/>
        <v>Setembro</v>
      </c>
    </row>
    <row r="477" spans="1:19">
      <c r="A477">
        <v>476</v>
      </c>
      <c r="B477" s="1">
        <v>44083</v>
      </c>
      <c r="C477">
        <v>71</v>
      </c>
      <c r="D477" t="s">
        <v>20</v>
      </c>
      <c r="E477" t="s">
        <v>28</v>
      </c>
      <c r="F477">
        <v>27</v>
      </c>
      <c r="G477" s="2">
        <v>111</v>
      </c>
      <c r="H477" s="2">
        <v>2997</v>
      </c>
      <c r="I477" s="4">
        <v>0.15</v>
      </c>
      <c r="J477" s="2">
        <v>2547.4499999999998</v>
      </c>
      <c r="K477" s="1">
        <v>44103</v>
      </c>
      <c r="L477" s="1">
        <v>44103</v>
      </c>
      <c r="M477">
        <v>476</v>
      </c>
      <c r="N477">
        <v>7</v>
      </c>
      <c r="O477" t="s">
        <v>52</v>
      </c>
      <c r="P477" s="3">
        <v>0.05</v>
      </c>
      <c r="Q477" s="2">
        <v>127.3725</v>
      </c>
      <c r="R477">
        <v>7</v>
      </c>
      <c r="S477" t="str">
        <f t="shared" si="7"/>
        <v>Setembro</v>
      </c>
    </row>
    <row r="478" spans="1:19">
      <c r="A478">
        <v>477</v>
      </c>
      <c r="B478" s="1">
        <v>44083</v>
      </c>
      <c r="C478">
        <v>17</v>
      </c>
      <c r="D478" t="s">
        <v>67</v>
      </c>
      <c r="E478" t="s">
        <v>24</v>
      </c>
      <c r="F478">
        <v>34</v>
      </c>
      <c r="G478" s="2">
        <v>98</v>
      </c>
      <c r="H478" s="2">
        <v>3332</v>
      </c>
      <c r="I478" s="4">
        <v>0.15</v>
      </c>
      <c r="J478" s="2">
        <v>2832.2</v>
      </c>
      <c r="K478" s="1">
        <v>44093</v>
      </c>
      <c r="L478" s="1">
        <v>44093</v>
      </c>
      <c r="M478">
        <v>477</v>
      </c>
      <c r="N478">
        <v>7</v>
      </c>
      <c r="O478" t="s">
        <v>47</v>
      </c>
      <c r="P478" s="3">
        <v>0.1</v>
      </c>
      <c r="Q478" s="2">
        <v>283.21999999999997</v>
      </c>
      <c r="R478">
        <v>1</v>
      </c>
      <c r="S478" t="str">
        <f t="shared" si="7"/>
        <v>Setembro</v>
      </c>
    </row>
    <row r="479" spans="1:19">
      <c r="A479">
        <v>478</v>
      </c>
      <c r="B479" s="1">
        <v>44084</v>
      </c>
      <c r="C479">
        <v>22</v>
      </c>
      <c r="D479" t="s">
        <v>51</v>
      </c>
      <c r="E479" t="s">
        <v>50</v>
      </c>
      <c r="F479">
        <v>35</v>
      </c>
      <c r="G479" s="2">
        <v>118</v>
      </c>
      <c r="H479" s="2">
        <v>4130</v>
      </c>
      <c r="I479" s="4">
        <v>0.15</v>
      </c>
      <c r="J479" s="2">
        <v>3510.5</v>
      </c>
      <c r="K479" s="1">
        <v>44104</v>
      </c>
      <c r="L479" s="1">
        <v>44104</v>
      </c>
      <c r="M479">
        <v>478</v>
      </c>
      <c r="N479">
        <v>7</v>
      </c>
      <c r="O479" t="s">
        <v>47</v>
      </c>
      <c r="P479" s="3">
        <v>0.09</v>
      </c>
      <c r="Q479" s="2">
        <v>315.94499999999999</v>
      </c>
      <c r="R479">
        <v>2</v>
      </c>
      <c r="S479" t="str">
        <f t="shared" si="7"/>
        <v>Setembro</v>
      </c>
    </row>
    <row r="480" spans="1:19">
      <c r="A480">
        <v>479</v>
      </c>
      <c r="B480" s="1">
        <v>44084</v>
      </c>
      <c r="C480">
        <v>3</v>
      </c>
      <c r="D480" t="s">
        <v>91</v>
      </c>
      <c r="E480" t="s">
        <v>24</v>
      </c>
      <c r="F480">
        <v>34</v>
      </c>
      <c r="G480" s="2">
        <v>96</v>
      </c>
      <c r="H480" s="2">
        <v>3264</v>
      </c>
      <c r="I480" s="4">
        <v>0.1</v>
      </c>
      <c r="J480" s="2">
        <v>2937.6</v>
      </c>
      <c r="K480" s="1">
        <v>44091</v>
      </c>
      <c r="L480" s="1">
        <v>44091</v>
      </c>
      <c r="M480">
        <v>479</v>
      </c>
      <c r="N480">
        <v>7</v>
      </c>
      <c r="O480" t="s">
        <v>22</v>
      </c>
      <c r="P480" s="3">
        <v>0.1</v>
      </c>
      <c r="Q480" s="2">
        <v>293.76</v>
      </c>
      <c r="R480">
        <v>3</v>
      </c>
      <c r="S480" t="str">
        <f t="shared" si="7"/>
        <v>Setembro</v>
      </c>
    </row>
    <row r="481" spans="1:19">
      <c r="A481">
        <v>480</v>
      </c>
      <c r="B481" s="1">
        <v>44085</v>
      </c>
      <c r="C481">
        <v>19</v>
      </c>
      <c r="D481" t="s">
        <v>38</v>
      </c>
      <c r="E481" t="s">
        <v>28</v>
      </c>
      <c r="F481">
        <v>12</v>
      </c>
      <c r="G481" s="2">
        <v>106</v>
      </c>
      <c r="H481" s="2">
        <v>1272</v>
      </c>
      <c r="I481" s="4">
        <v>0.12</v>
      </c>
      <c r="J481" s="2">
        <v>1119.3600000000001</v>
      </c>
      <c r="K481" s="1">
        <v>44115</v>
      </c>
      <c r="L481" s="1">
        <v>44115</v>
      </c>
      <c r="M481">
        <v>480</v>
      </c>
      <c r="N481">
        <v>1</v>
      </c>
      <c r="O481" t="s">
        <v>37</v>
      </c>
      <c r="P481" s="3">
        <v>0.1</v>
      </c>
      <c r="Q481" s="2">
        <v>111.93600000000002</v>
      </c>
      <c r="R481">
        <v>4</v>
      </c>
      <c r="S481" t="str">
        <f t="shared" si="7"/>
        <v>Setembro</v>
      </c>
    </row>
    <row r="482" spans="1:19">
      <c r="A482">
        <v>481</v>
      </c>
      <c r="B482" s="1">
        <v>44085</v>
      </c>
      <c r="C482">
        <v>18</v>
      </c>
      <c r="D482" t="s">
        <v>83</v>
      </c>
      <c r="E482" t="s">
        <v>50</v>
      </c>
      <c r="F482">
        <v>46</v>
      </c>
      <c r="G482" s="2">
        <v>105</v>
      </c>
      <c r="H482" s="2">
        <v>4830</v>
      </c>
      <c r="I482" s="4">
        <v>0.06</v>
      </c>
      <c r="J482" s="2">
        <v>4540.2</v>
      </c>
      <c r="K482" s="1">
        <v>44114</v>
      </c>
      <c r="L482" s="1">
        <v>44114</v>
      </c>
      <c r="M482">
        <v>481</v>
      </c>
      <c r="N482">
        <v>1</v>
      </c>
      <c r="O482" t="s">
        <v>37</v>
      </c>
      <c r="P482" s="3">
        <v>7.0000000000000007E-2</v>
      </c>
      <c r="Q482" s="2">
        <v>317.81400000000002</v>
      </c>
      <c r="R482">
        <v>5</v>
      </c>
      <c r="S482" t="str">
        <f t="shared" si="7"/>
        <v>Setembro</v>
      </c>
    </row>
    <row r="483" spans="1:19">
      <c r="A483">
        <v>482</v>
      </c>
      <c r="B483" s="1">
        <v>44086</v>
      </c>
      <c r="C483">
        <v>27</v>
      </c>
      <c r="D483" t="s">
        <v>101</v>
      </c>
      <c r="E483" t="s">
        <v>55</v>
      </c>
      <c r="F483">
        <v>42</v>
      </c>
      <c r="G483" s="2">
        <v>95</v>
      </c>
      <c r="H483" s="2">
        <v>3990</v>
      </c>
      <c r="I483" s="4">
        <v>0.02</v>
      </c>
      <c r="J483" s="2">
        <v>3910.2</v>
      </c>
      <c r="K483" s="1">
        <v>44095</v>
      </c>
      <c r="L483" s="1">
        <v>44095</v>
      </c>
      <c r="M483">
        <v>482</v>
      </c>
      <c r="N483">
        <v>4</v>
      </c>
      <c r="O483" t="s">
        <v>43</v>
      </c>
      <c r="P483" s="3">
        <v>0.05</v>
      </c>
      <c r="Q483" s="2">
        <v>195.51</v>
      </c>
      <c r="R483">
        <v>6</v>
      </c>
      <c r="S483" t="str">
        <f t="shared" si="7"/>
        <v>Setembro</v>
      </c>
    </row>
    <row r="484" spans="1:19">
      <c r="A484">
        <v>483</v>
      </c>
      <c r="B484" s="1">
        <v>44086</v>
      </c>
      <c r="C484">
        <v>61</v>
      </c>
      <c r="D484" t="s">
        <v>56</v>
      </c>
      <c r="E484" t="s">
        <v>46</v>
      </c>
      <c r="F484">
        <v>36</v>
      </c>
      <c r="G484" s="2">
        <v>104</v>
      </c>
      <c r="H484" s="2">
        <v>3744</v>
      </c>
      <c r="I484" s="4">
        <v>0.13</v>
      </c>
      <c r="J484" s="2">
        <v>3257.2799999999997</v>
      </c>
      <c r="K484" s="1">
        <v>44097</v>
      </c>
      <c r="L484" s="1">
        <v>44097</v>
      </c>
      <c r="M484">
        <v>483</v>
      </c>
      <c r="N484">
        <v>6</v>
      </c>
      <c r="O484" t="s">
        <v>25</v>
      </c>
      <c r="P484" s="3">
        <v>0.09</v>
      </c>
      <c r="Q484" s="2">
        <v>293.15519999999998</v>
      </c>
      <c r="R484">
        <v>7</v>
      </c>
      <c r="S484" t="str">
        <f t="shared" si="7"/>
        <v>Setembro</v>
      </c>
    </row>
    <row r="485" spans="1:19">
      <c r="A485">
        <v>484</v>
      </c>
      <c r="B485" s="1">
        <v>44086</v>
      </c>
      <c r="C485">
        <v>72</v>
      </c>
      <c r="D485" t="s">
        <v>38</v>
      </c>
      <c r="E485" t="s">
        <v>50</v>
      </c>
      <c r="F485">
        <v>24</v>
      </c>
      <c r="G485" s="2">
        <v>112</v>
      </c>
      <c r="H485" s="2">
        <v>2688</v>
      </c>
      <c r="I485" s="4">
        <v>7.0000000000000007E-2</v>
      </c>
      <c r="J485" s="2">
        <v>2499.84</v>
      </c>
      <c r="K485" s="1">
        <v>44109</v>
      </c>
      <c r="L485" s="1">
        <v>44109</v>
      </c>
      <c r="M485">
        <v>484</v>
      </c>
      <c r="N485">
        <v>7</v>
      </c>
      <c r="O485" t="s">
        <v>32</v>
      </c>
      <c r="P485" s="3">
        <v>0.08</v>
      </c>
      <c r="Q485" s="2">
        <v>199.98720000000003</v>
      </c>
      <c r="R485">
        <v>1</v>
      </c>
      <c r="S485" t="str">
        <f t="shared" si="7"/>
        <v>Setembro</v>
      </c>
    </row>
    <row r="486" spans="1:19">
      <c r="A486">
        <v>485</v>
      </c>
      <c r="B486" s="1">
        <v>44087</v>
      </c>
      <c r="C486">
        <v>77</v>
      </c>
      <c r="D486" t="s">
        <v>65</v>
      </c>
      <c r="E486" t="s">
        <v>46</v>
      </c>
      <c r="F486">
        <v>11</v>
      </c>
      <c r="G486" s="2">
        <v>90</v>
      </c>
      <c r="H486" s="2">
        <v>990</v>
      </c>
      <c r="I486" s="4">
        <v>0.08</v>
      </c>
      <c r="J486" s="2">
        <v>910.8</v>
      </c>
      <c r="K486" s="1">
        <v>44102</v>
      </c>
      <c r="L486" s="1">
        <v>44102</v>
      </c>
      <c r="M486">
        <v>485</v>
      </c>
      <c r="N486">
        <v>5</v>
      </c>
      <c r="O486" t="s">
        <v>34</v>
      </c>
      <c r="P486" s="3">
        <v>0.09</v>
      </c>
      <c r="Q486" s="2">
        <v>81.971999999999994</v>
      </c>
      <c r="R486">
        <v>2</v>
      </c>
      <c r="S486" t="str">
        <f t="shared" si="7"/>
        <v>Setembro</v>
      </c>
    </row>
    <row r="487" spans="1:19">
      <c r="A487">
        <v>486</v>
      </c>
      <c r="B487" s="1">
        <v>44088</v>
      </c>
      <c r="C487">
        <v>77</v>
      </c>
      <c r="D487" t="s">
        <v>65</v>
      </c>
      <c r="E487" t="s">
        <v>31</v>
      </c>
      <c r="F487">
        <v>44</v>
      </c>
      <c r="G487" s="2">
        <v>98</v>
      </c>
      <c r="H487" s="2">
        <v>4312</v>
      </c>
      <c r="I487" s="4">
        <v>0.13</v>
      </c>
      <c r="J487" s="2">
        <v>3751.44</v>
      </c>
      <c r="K487" s="1">
        <v>44106</v>
      </c>
      <c r="L487" s="1">
        <v>44106</v>
      </c>
      <c r="M487">
        <v>486</v>
      </c>
      <c r="N487">
        <v>4</v>
      </c>
      <c r="O487" t="s">
        <v>47</v>
      </c>
      <c r="P487" s="3">
        <v>0.05</v>
      </c>
      <c r="Q487" s="2">
        <v>187.572</v>
      </c>
      <c r="R487">
        <v>3</v>
      </c>
      <c r="S487" t="str">
        <f t="shared" si="7"/>
        <v>Setembro</v>
      </c>
    </row>
    <row r="488" spans="1:19">
      <c r="A488">
        <v>487</v>
      </c>
      <c r="B488" s="1">
        <v>44088</v>
      </c>
      <c r="C488">
        <v>70</v>
      </c>
      <c r="D488" t="s">
        <v>67</v>
      </c>
      <c r="E488" t="s">
        <v>28</v>
      </c>
      <c r="F488">
        <v>41</v>
      </c>
      <c r="G488" s="2">
        <v>99</v>
      </c>
      <c r="H488" s="2">
        <v>4059</v>
      </c>
      <c r="I488" s="4">
        <v>0.01</v>
      </c>
      <c r="J488" s="2">
        <v>4018.41</v>
      </c>
      <c r="K488" s="1">
        <v>44109</v>
      </c>
      <c r="L488" s="1">
        <v>44109</v>
      </c>
      <c r="M488">
        <v>487</v>
      </c>
      <c r="N488">
        <v>1</v>
      </c>
      <c r="O488" t="s">
        <v>69</v>
      </c>
      <c r="P488" s="3">
        <v>0.08</v>
      </c>
      <c r="Q488" s="2">
        <v>321.47280000000001</v>
      </c>
      <c r="R488">
        <v>4</v>
      </c>
      <c r="S488" t="str">
        <f t="shared" si="7"/>
        <v>Setembro</v>
      </c>
    </row>
    <row r="489" spans="1:19">
      <c r="A489">
        <v>488</v>
      </c>
      <c r="B489" s="1">
        <v>44088</v>
      </c>
      <c r="C489">
        <v>35</v>
      </c>
      <c r="D489" t="s">
        <v>38</v>
      </c>
      <c r="E489" t="s">
        <v>41</v>
      </c>
      <c r="F489">
        <v>45</v>
      </c>
      <c r="G489" s="2">
        <v>117</v>
      </c>
      <c r="H489" s="2">
        <v>5265</v>
      </c>
      <c r="I489" s="4">
        <v>0.09</v>
      </c>
      <c r="J489" s="2">
        <v>4791.1499999999996</v>
      </c>
      <c r="K489" s="1">
        <v>44108</v>
      </c>
      <c r="L489" s="1">
        <v>44108</v>
      </c>
      <c r="M489">
        <v>488</v>
      </c>
      <c r="N489">
        <v>2</v>
      </c>
      <c r="O489" t="s">
        <v>69</v>
      </c>
      <c r="P489" s="3">
        <v>0.1</v>
      </c>
      <c r="Q489" s="2">
        <v>479.11500000000001</v>
      </c>
      <c r="R489">
        <v>5</v>
      </c>
      <c r="S489" t="str">
        <f t="shared" si="7"/>
        <v>Setembro</v>
      </c>
    </row>
    <row r="490" spans="1:19">
      <c r="A490">
        <v>489</v>
      </c>
      <c r="B490" s="1">
        <v>44089</v>
      </c>
      <c r="C490">
        <v>89</v>
      </c>
      <c r="D490" t="s">
        <v>49</v>
      </c>
      <c r="E490" t="s">
        <v>50</v>
      </c>
      <c r="F490">
        <v>21</v>
      </c>
      <c r="G490" s="2">
        <v>95</v>
      </c>
      <c r="H490" s="2">
        <v>1995</v>
      </c>
      <c r="I490" s="4">
        <v>0.01</v>
      </c>
      <c r="J490" s="2">
        <v>1975.05</v>
      </c>
      <c r="K490" s="1">
        <v>44113</v>
      </c>
      <c r="L490" s="1">
        <v>44113</v>
      </c>
      <c r="M490">
        <v>489</v>
      </c>
      <c r="N490">
        <v>3</v>
      </c>
      <c r="O490" t="s">
        <v>69</v>
      </c>
      <c r="P490" s="3">
        <v>0.08</v>
      </c>
      <c r="Q490" s="2">
        <v>158.00399999999999</v>
      </c>
      <c r="R490">
        <v>6</v>
      </c>
      <c r="S490" t="str">
        <f t="shared" si="7"/>
        <v>Setembro</v>
      </c>
    </row>
    <row r="491" spans="1:19">
      <c r="A491">
        <v>490</v>
      </c>
      <c r="B491" s="1">
        <v>44090</v>
      </c>
      <c r="C491">
        <v>85</v>
      </c>
      <c r="D491" t="s">
        <v>57</v>
      </c>
      <c r="E491" t="s">
        <v>46</v>
      </c>
      <c r="F491">
        <v>17</v>
      </c>
      <c r="G491" s="2">
        <v>114</v>
      </c>
      <c r="H491" s="2">
        <v>1938</v>
      </c>
      <c r="I491" s="4">
        <v>0.06</v>
      </c>
      <c r="J491" s="2">
        <v>1821.72</v>
      </c>
      <c r="K491" s="1">
        <v>44093</v>
      </c>
      <c r="L491" s="1">
        <v>44093</v>
      </c>
      <c r="M491">
        <v>490</v>
      </c>
      <c r="N491">
        <v>6</v>
      </c>
      <c r="O491" t="s">
        <v>32</v>
      </c>
      <c r="P491" s="3">
        <v>0.1</v>
      </c>
      <c r="Q491" s="2">
        <v>182.17200000000003</v>
      </c>
      <c r="R491">
        <v>7</v>
      </c>
      <c r="S491" t="str">
        <f t="shared" si="7"/>
        <v>Setembro</v>
      </c>
    </row>
    <row r="492" spans="1:19">
      <c r="A492">
        <v>491</v>
      </c>
      <c r="B492" s="1">
        <v>44091</v>
      </c>
      <c r="C492">
        <v>84</v>
      </c>
      <c r="D492" t="s">
        <v>44</v>
      </c>
      <c r="E492" t="s">
        <v>46</v>
      </c>
      <c r="F492">
        <v>44</v>
      </c>
      <c r="G492" s="2">
        <v>93</v>
      </c>
      <c r="H492" s="2">
        <v>4092</v>
      </c>
      <c r="I492" s="4">
        <v>0.13</v>
      </c>
      <c r="J492" s="2">
        <v>3560.04</v>
      </c>
      <c r="K492" s="1">
        <v>44113</v>
      </c>
      <c r="L492" s="1">
        <v>44113</v>
      </c>
      <c r="M492">
        <v>491</v>
      </c>
      <c r="N492">
        <v>5</v>
      </c>
      <c r="O492" t="s">
        <v>43</v>
      </c>
      <c r="P492" s="3">
        <v>0.1</v>
      </c>
      <c r="Q492" s="2">
        <v>356.00400000000002</v>
      </c>
      <c r="R492">
        <v>1</v>
      </c>
      <c r="S492" t="str">
        <f t="shared" si="7"/>
        <v>Setembro</v>
      </c>
    </row>
    <row r="493" spans="1:19">
      <c r="A493">
        <v>492</v>
      </c>
      <c r="B493" s="1">
        <v>44091</v>
      </c>
      <c r="C493">
        <v>83</v>
      </c>
      <c r="D493" t="s">
        <v>100</v>
      </c>
      <c r="E493" t="s">
        <v>54</v>
      </c>
      <c r="F493">
        <v>16</v>
      </c>
      <c r="G493" s="2">
        <v>119</v>
      </c>
      <c r="H493" s="2">
        <v>1904</v>
      </c>
      <c r="I493" s="4">
        <v>0.02</v>
      </c>
      <c r="J493" s="2">
        <v>1865.92</v>
      </c>
      <c r="K493" s="1">
        <v>44094</v>
      </c>
      <c r="L493" s="1">
        <v>44094</v>
      </c>
      <c r="M493">
        <v>492</v>
      </c>
      <c r="N493">
        <v>5</v>
      </c>
      <c r="O493" t="s">
        <v>34</v>
      </c>
      <c r="P493" s="3">
        <v>0.1</v>
      </c>
      <c r="Q493" s="2">
        <v>186.59200000000001</v>
      </c>
      <c r="R493">
        <v>2</v>
      </c>
      <c r="S493" t="str">
        <f t="shared" si="7"/>
        <v>Setembro</v>
      </c>
    </row>
    <row r="494" spans="1:19">
      <c r="A494">
        <v>493</v>
      </c>
      <c r="B494" s="1">
        <v>44092</v>
      </c>
      <c r="C494">
        <v>6</v>
      </c>
      <c r="D494" t="s">
        <v>88</v>
      </c>
      <c r="E494" t="s">
        <v>50</v>
      </c>
      <c r="F494">
        <v>49</v>
      </c>
      <c r="G494" s="2">
        <v>112</v>
      </c>
      <c r="H494" s="2">
        <v>5488</v>
      </c>
      <c r="I494" s="4">
        <v>0.01</v>
      </c>
      <c r="J494" s="2">
        <v>5433.12</v>
      </c>
      <c r="K494" s="1">
        <v>44111</v>
      </c>
      <c r="L494" s="1">
        <v>44111</v>
      </c>
      <c r="M494">
        <v>493</v>
      </c>
      <c r="N494">
        <v>5</v>
      </c>
      <c r="O494" t="s">
        <v>29</v>
      </c>
      <c r="P494" s="3">
        <v>0.05</v>
      </c>
      <c r="Q494" s="2">
        <v>271.65600000000001</v>
      </c>
      <c r="R494">
        <v>3</v>
      </c>
      <c r="S494" t="str">
        <f t="shared" si="7"/>
        <v>Setembro</v>
      </c>
    </row>
    <row r="495" spans="1:19">
      <c r="A495">
        <v>494</v>
      </c>
      <c r="B495" s="1">
        <v>44092</v>
      </c>
      <c r="C495">
        <v>94</v>
      </c>
      <c r="D495" t="s">
        <v>49</v>
      </c>
      <c r="E495" t="s">
        <v>55</v>
      </c>
      <c r="F495">
        <v>33</v>
      </c>
      <c r="G495" s="2">
        <v>115</v>
      </c>
      <c r="H495" s="2">
        <v>3795</v>
      </c>
      <c r="I495" s="4">
        <v>0.02</v>
      </c>
      <c r="J495" s="2">
        <v>3719.1</v>
      </c>
      <c r="K495" s="1">
        <v>44117</v>
      </c>
      <c r="L495" s="1">
        <v>44117</v>
      </c>
      <c r="M495">
        <v>494</v>
      </c>
      <c r="N495">
        <v>7</v>
      </c>
      <c r="O495" t="s">
        <v>47</v>
      </c>
      <c r="P495" s="3">
        <v>0.1</v>
      </c>
      <c r="Q495" s="2">
        <v>371.91</v>
      </c>
      <c r="R495">
        <v>4</v>
      </c>
      <c r="S495" t="str">
        <f t="shared" si="7"/>
        <v>Setembro</v>
      </c>
    </row>
    <row r="496" spans="1:19">
      <c r="A496">
        <v>495</v>
      </c>
      <c r="B496" s="1">
        <v>44093</v>
      </c>
      <c r="C496">
        <v>97</v>
      </c>
      <c r="D496" t="s">
        <v>66</v>
      </c>
      <c r="E496" t="s">
        <v>54</v>
      </c>
      <c r="F496">
        <v>33</v>
      </c>
      <c r="G496" s="2">
        <v>102</v>
      </c>
      <c r="H496" s="2">
        <v>3366</v>
      </c>
      <c r="I496" s="4">
        <v>0.14000000000000001</v>
      </c>
      <c r="J496" s="2">
        <v>2894.7599999999998</v>
      </c>
      <c r="K496" s="1">
        <v>44095</v>
      </c>
      <c r="L496" s="1">
        <v>44095</v>
      </c>
      <c r="M496">
        <v>495</v>
      </c>
      <c r="N496">
        <v>7</v>
      </c>
      <c r="O496" t="s">
        <v>47</v>
      </c>
      <c r="P496" s="3">
        <v>7.0000000000000007E-2</v>
      </c>
      <c r="Q496" s="2">
        <v>202.63320000000002</v>
      </c>
      <c r="R496">
        <v>5</v>
      </c>
      <c r="S496" t="str">
        <f t="shared" si="7"/>
        <v>Setembro</v>
      </c>
    </row>
    <row r="497" spans="1:19">
      <c r="A497">
        <v>496</v>
      </c>
      <c r="B497" s="1">
        <v>44094</v>
      </c>
      <c r="C497">
        <v>74</v>
      </c>
      <c r="D497" t="s">
        <v>38</v>
      </c>
      <c r="E497" t="s">
        <v>59</v>
      </c>
      <c r="F497">
        <v>15</v>
      </c>
      <c r="G497" s="2">
        <v>116</v>
      </c>
      <c r="H497" s="2">
        <v>1740</v>
      </c>
      <c r="I497" s="4">
        <v>0.05</v>
      </c>
      <c r="J497" s="2">
        <v>1653</v>
      </c>
      <c r="K497" s="1">
        <v>44113</v>
      </c>
      <c r="L497" s="1">
        <v>44113</v>
      </c>
      <c r="M497">
        <v>496</v>
      </c>
      <c r="N497">
        <v>5</v>
      </c>
      <c r="O497" t="s">
        <v>47</v>
      </c>
      <c r="P497" s="3">
        <v>0.06</v>
      </c>
      <c r="Q497" s="2">
        <v>99.179999999999993</v>
      </c>
      <c r="R497">
        <v>6</v>
      </c>
      <c r="S497" t="str">
        <f t="shared" si="7"/>
        <v>Setembro</v>
      </c>
    </row>
    <row r="498" spans="1:19">
      <c r="A498">
        <v>497</v>
      </c>
      <c r="B498" s="1">
        <v>44094</v>
      </c>
      <c r="C498">
        <v>89</v>
      </c>
      <c r="D498" t="s">
        <v>49</v>
      </c>
      <c r="E498" t="s">
        <v>50</v>
      </c>
      <c r="F498">
        <v>14</v>
      </c>
      <c r="G498" s="2">
        <v>113</v>
      </c>
      <c r="H498" s="2">
        <v>1582</v>
      </c>
      <c r="I498" s="4">
        <v>0.13</v>
      </c>
      <c r="J498" s="2">
        <v>1376.34</v>
      </c>
      <c r="K498" s="1">
        <v>44106</v>
      </c>
      <c r="L498" s="1">
        <v>44106</v>
      </c>
      <c r="M498">
        <v>497</v>
      </c>
      <c r="N498">
        <v>6</v>
      </c>
      <c r="O498" t="s">
        <v>69</v>
      </c>
      <c r="P498" s="3">
        <v>0.09</v>
      </c>
      <c r="Q498" s="2">
        <v>123.87059999999998</v>
      </c>
      <c r="R498">
        <v>7</v>
      </c>
      <c r="S498" t="str">
        <f t="shared" si="7"/>
        <v>Setembro</v>
      </c>
    </row>
    <row r="499" spans="1:19">
      <c r="A499">
        <v>498</v>
      </c>
      <c r="B499" s="1">
        <v>44094</v>
      </c>
      <c r="C499">
        <v>55</v>
      </c>
      <c r="D499" t="s">
        <v>44</v>
      </c>
      <c r="E499" t="s">
        <v>28</v>
      </c>
      <c r="F499">
        <v>23</v>
      </c>
      <c r="G499" s="2">
        <v>100</v>
      </c>
      <c r="H499" s="2">
        <v>2300</v>
      </c>
      <c r="I499" s="4">
        <v>0.11</v>
      </c>
      <c r="J499" s="2">
        <v>2047</v>
      </c>
      <c r="K499" s="1">
        <v>44117</v>
      </c>
      <c r="L499" s="1">
        <v>44117</v>
      </c>
      <c r="M499">
        <v>498</v>
      </c>
      <c r="N499">
        <v>1</v>
      </c>
      <c r="O499" t="s">
        <v>47</v>
      </c>
      <c r="P499" s="3">
        <v>0.08</v>
      </c>
      <c r="Q499" s="2">
        <v>163.76</v>
      </c>
      <c r="R499">
        <v>1</v>
      </c>
      <c r="S499" t="str">
        <f t="shared" si="7"/>
        <v>Setembro</v>
      </c>
    </row>
    <row r="500" spans="1:19">
      <c r="A500">
        <v>499</v>
      </c>
      <c r="B500" s="1">
        <v>44097</v>
      </c>
      <c r="C500">
        <v>2</v>
      </c>
      <c r="D500" t="s">
        <v>35</v>
      </c>
      <c r="E500" t="s">
        <v>46</v>
      </c>
      <c r="F500">
        <v>40</v>
      </c>
      <c r="G500" s="2">
        <v>93</v>
      </c>
      <c r="H500" s="2">
        <v>3720</v>
      </c>
      <c r="I500" s="4">
        <v>0.06</v>
      </c>
      <c r="J500" s="2">
        <v>3496.8</v>
      </c>
      <c r="K500" s="1">
        <v>44102</v>
      </c>
      <c r="L500" s="1">
        <v>44102</v>
      </c>
      <c r="M500">
        <v>499</v>
      </c>
      <c r="N500">
        <v>7</v>
      </c>
      <c r="O500" t="s">
        <v>25</v>
      </c>
      <c r="P500" s="3">
        <v>0.09</v>
      </c>
      <c r="Q500" s="2">
        <v>314.71199999999999</v>
      </c>
      <c r="R500">
        <v>2</v>
      </c>
      <c r="S500" t="str">
        <f t="shared" si="7"/>
        <v>Setembro</v>
      </c>
    </row>
    <row r="501" spans="1:19">
      <c r="A501">
        <v>500</v>
      </c>
      <c r="B501" s="1">
        <v>44098</v>
      </c>
      <c r="C501">
        <v>67</v>
      </c>
      <c r="D501" t="s">
        <v>106</v>
      </c>
      <c r="E501" t="s">
        <v>55</v>
      </c>
      <c r="F501">
        <v>34</v>
      </c>
      <c r="G501" s="2">
        <v>114</v>
      </c>
      <c r="H501" s="2">
        <v>3876</v>
      </c>
      <c r="I501" s="4">
        <v>0.05</v>
      </c>
      <c r="J501" s="2">
        <v>3682.2</v>
      </c>
      <c r="K501" s="1">
        <v>44101</v>
      </c>
      <c r="L501" s="1">
        <v>44101</v>
      </c>
      <c r="M501">
        <v>500</v>
      </c>
      <c r="N501">
        <v>7</v>
      </c>
      <c r="O501" t="s">
        <v>47</v>
      </c>
      <c r="P501" s="3">
        <v>7.0000000000000007E-2</v>
      </c>
      <c r="Q501" s="2">
        <v>257.75400000000002</v>
      </c>
      <c r="R501">
        <v>3</v>
      </c>
      <c r="S501" t="str">
        <f t="shared" si="7"/>
        <v>Setembro</v>
      </c>
    </row>
    <row r="502" spans="1:19">
      <c r="A502">
        <v>501</v>
      </c>
      <c r="B502" s="1">
        <v>44099</v>
      </c>
      <c r="C502">
        <v>6</v>
      </c>
      <c r="D502" t="s">
        <v>88</v>
      </c>
      <c r="E502" t="s">
        <v>50</v>
      </c>
      <c r="F502">
        <v>44</v>
      </c>
      <c r="G502" s="2">
        <v>96</v>
      </c>
      <c r="H502" s="2">
        <v>4224</v>
      </c>
      <c r="I502" s="4">
        <v>0.09</v>
      </c>
      <c r="J502" s="2">
        <v>3843.84</v>
      </c>
      <c r="K502" s="1">
        <v>44103</v>
      </c>
      <c r="L502" s="1">
        <v>44103</v>
      </c>
      <c r="M502">
        <v>501</v>
      </c>
      <c r="N502">
        <v>1</v>
      </c>
      <c r="O502" t="s">
        <v>43</v>
      </c>
      <c r="P502" s="3">
        <v>0.05</v>
      </c>
      <c r="Q502" s="2">
        <v>192.19200000000001</v>
      </c>
      <c r="R502">
        <v>4</v>
      </c>
      <c r="S502" t="str">
        <f t="shared" si="7"/>
        <v>Setembro</v>
      </c>
    </row>
    <row r="503" spans="1:19">
      <c r="A503">
        <v>502</v>
      </c>
      <c r="B503" s="1">
        <v>44099</v>
      </c>
      <c r="C503">
        <v>97</v>
      </c>
      <c r="D503" t="s">
        <v>66</v>
      </c>
      <c r="E503" t="s">
        <v>28</v>
      </c>
      <c r="F503">
        <v>36</v>
      </c>
      <c r="G503" s="2">
        <v>98</v>
      </c>
      <c r="H503" s="2">
        <v>3528</v>
      </c>
      <c r="I503" s="4">
        <v>0.1</v>
      </c>
      <c r="J503" s="2">
        <v>3175.2</v>
      </c>
      <c r="K503" s="1">
        <v>44116</v>
      </c>
      <c r="L503" s="1">
        <v>44116</v>
      </c>
      <c r="M503">
        <v>502</v>
      </c>
      <c r="N503">
        <v>7</v>
      </c>
      <c r="O503" t="s">
        <v>29</v>
      </c>
      <c r="P503" s="3">
        <v>7.0000000000000007E-2</v>
      </c>
      <c r="Q503" s="2">
        <v>222.26400000000001</v>
      </c>
      <c r="R503">
        <v>5</v>
      </c>
      <c r="S503" t="str">
        <f t="shared" si="7"/>
        <v>Setembro</v>
      </c>
    </row>
    <row r="504" spans="1:19">
      <c r="A504">
        <v>503</v>
      </c>
      <c r="B504" s="1">
        <v>44099</v>
      </c>
      <c r="C504">
        <v>27</v>
      </c>
      <c r="D504" t="s">
        <v>101</v>
      </c>
      <c r="E504" t="s">
        <v>59</v>
      </c>
      <c r="F504">
        <v>34</v>
      </c>
      <c r="G504" s="2">
        <v>116</v>
      </c>
      <c r="H504" s="2">
        <v>3944</v>
      </c>
      <c r="I504" s="4">
        <v>0</v>
      </c>
      <c r="J504" s="2">
        <v>3944</v>
      </c>
      <c r="K504" s="1">
        <v>44126</v>
      </c>
      <c r="L504" s="1">
        <v>44126</v>
      </c>
      <c r="M504">
        <v>503</v>
      </c>
      <c r="N504">
        <v>7</v>
      </c>
      <c r="O504" t="s">
        <v>47</v>
      </c>
      <c r="P504" s="3">
        <v>7.0000000000000007E-2</v>
      </c>
      <c r="Q504" s="2">
        <v>276.08000000000004</v>
      </c>
      <c r="R504">
        <v>6</v>
      </c>
      <c r="S504" t="str">
        <f t="shared" si="7"/>
        <v>Setembro</v>
      </c>
    </row>
    <row r="505" spans="1:19">
      <c r="A505">
        <v>504</v>
      </c>
      <c r="B505" s="1">
        <v>44100</v>
      </c>
      <c r="C505">
        <v>27</v>
      </c>
      <c r="D505" t="s">
        <v>101</v>
      </c>
      <c r="E505" t="s">
        <v>24</v>
      </c>
      <c r="F505">
        <v>44</v>
      </c>
      <c r="G505" s="2">
        <v>95</v>
      </c>
      <c r="H505" s="2">
        <v>4180</v>
      </c>
      <c r="I505" s="4">
        <v>0</v>
      </c>
      <c r="J505" s="2">
        <v>4180</v>
      </c>
      <c r="K505" s="1">
        <v>44102</v>
      </c>
      <c r="L505" s="1">
        <v>44102</v>
      </c>
      <c r="M505">
        <v>504</v>
      </c>
      <c r="N505">
        <v>5</v>
      </c>
      <c r="O505" t="s">
        <v>47</v>
      </c>
      <c r="P505" s="3">
        <v>0.06</v>
      </c>
      <c r="Q505" s="2">
        <v>250.79999999999998</v>
      </c>
      <c r="R505">
        <v>7</v>
      </c>
      <c r="S505" t="str">
        <f t="shared" si="7"/>
        <v>Setembro</v>
      </c>
    </row>
    <row r="506" spans="1:19">
      <c r="A506">
        <v>505</v>
      </c>
      <c r="B506" s="1">
        <v>44100</v>
      </c>
      <c r="C506">
        <v>22</v>
      </c>
      <c r="D506" t="s">
        <v>51</v>
      </c>
      <c r="E506" t="s">
        <v>28</v>
      </c>
      <c r="F506">
        <v>35</v>
      </c>
      <c r="G506" s="2">
        <v>98</v>
      </c>
      <c r="H506" s="2">
        <v>3430</v>
      </c>
      <c r="I506" s="4">
        <v>0.04</v>
      </c>
      <c r="J506" s="2">
        <v>3292.8</v>
      </c>
      <c r="K506" s="1">
        <v>44102</v>
      </c>
      <c r="L506" s="1">
        <v>44102</v>
      </c>
      <c r="M506">
        <v>505</v>
      </c>
      <c r="N506">
        <v>7</v>
      </c>
      <c r="O506" t="s">
        <v>22</v>
      </c>
      <c r="P506" s="3">
        <v>0.05</v>
      </c>
      <c r="Q506" s="2">
        <v>164.64000000000001</v>
      </c>
      <c r="R506">
        <v>1</v>
      </c>
      <c r="S506" t="str">
        <f t="shared" si="7"/>
        <v>Setembro</v>
      </c>
    </row>
    <row r="507" spans="1:19">
      <c r="A507">
        <v>506</v>
      </c>
      <c r="B507" s="1">
        <v>44102</v>
      </c>
      <c r="C507">
        <v>47</v>
      </c>
      <c r="D507" t="s">
        <v>40</v>
      </c>
      <c r="E507" t="s">
        <v>28</v>
      </c>
      <c r="F507">
        <v>44</v>
      </c>
      <c r="G507" s="2">
        <v>107</v>
      </c>
      <c r="H507" s="2">
        <v>4708</v>
      </c>
      <c r="I507" s="4">
        <v>0.01</v>
      </c>
      <c r="J507" s="2">
        <v>4660.92</v>
      </c>
      <c r="K507" s="1">
        <v>44122</v>
      </c>
      <c r="L507" s="1">
        <v>44122</v>
      </c>
      <c r="M507">
        <v>506</v>
      </c>
      <c r="N507">
        <v>2</v>
      </c>
      <c r="O507" t="s">
        <v>29</v>
      </c>
      <c r="P507" s="3">
        <v>0.1</v>
      </c>
      <c r="Q507" s="2">
        <v>466.09200000000004</v>
      </c>
      <c r="R507">
        <v>2</v>
      </c>
      <c r="S507" t="str">
        <f t="shared" si="7"/>
        <v>Setembro</v>
      </c>
    </row>
    <row r="508" spans="1:19">
      <c r="A508">
        <v>507</v>
      </c>
      <c r="B508" s="1">
        <v>44104</v>
      </c>
      <c r="C508">
        <v>99</v>
      </c>
      <c r="D508" t="s">
        <v>84</v>
      </c>
      <c r="E508" t="s">
        <v>24</v>
      </c>
      <c r="F508">
        <v>19</v>
      </c>
      <c r="G508" s="2">
        <v>120</v>
      </c>
      <c r="H508" s="2">
        <v>2280</v>
      </c>
      <c r="I508" s="4">
        <v>0.13</v>
      </c>
      <c r="J508" s="2">
        <v>1983.6</v>
      </c>
      <c r="K508" s="1">
        <v>44118</v>
      </c>
      <c r="L508" s="1">
        <v>44118</v>
      </c>
      <c r="M508">
        <v>507</v>
      </c>
      <c r="N508">
        <v>4</v>
      </c>
      <c r="O508" t="s">
        <v>34</v>
      </c>
      <c r="P508" s="3">
        <v>0.09</v>
      </c>
      <c r="Q508" s="2">
        <v>178.52399999999997</v>
      </c>
      <c r="R508">
        <v>3</v>
      </c>
      <c r="S508" t="str">
        <f t="shared" si="7"/>
        <v>Setembro</v>
      </c>
    </row>
    <row r="509" spans="1:19">
      <c r="A509">
        <v>508</v>
      </c>
      <c r="B509" s="1">
        <v>44104</v>
      </c>
      <c r="C509">
        <v>96</v>
      </c>
      <c r="D509" t="s">
        <v>42</v>
      </c>
      <c r="E509" t="s">
        <v>28</v>
      </c>
      <c r="F509">
        <v>10</v>
      </c>
      <c r="G509" s="2">
        <v>111</v>
      </c>
      <c r="H509" s="2">
        <v>1110</v>
      </c>
      <c r="I509" s="4">
        <v>0.04</v>
      </c>
      <c r="J509" s="2">
        <v>1065.5999999999999</v>
      </c>
      <c r="K509" s="1">
        <v>44115</v>
      </c>
      <c r="L509" s="1">
        <v>44115</v>
      </c>
      <c r="M509">
        <v>508</v>
      </c>
      <c r="N509">
        <v>2</v>
      </c>
      <c r="O509" t="s">
        <v>37</v>
      </c>
      <c r="P509" s="3">
        <v>0.06</v>
      </c>
      <c r="Q509" s="2">
        <v>63.935999999999993</v>
      </c>
      <c r="R509">
        <v>4</v>
      </c>
      <c r="S509" t="str">
        <f t="shared" si="7"/>
        <v>Setembro</v>
      </c>
    </row>
    <row r="510" spans="1:19">
      <c r="A510">
        <v>509</v>
      </c>
      <c r="B510" s="1">
        <v>44105</v>
      </c>
      <c r="C510">
        <v>50</v>
      </c>
      <c r="D510" t="s">
        <v>81</v>
      </c>
      <c r="E510" t="s">
        <v>24</v>
      </c>
      <c r="F510">
        <v>37</v>
      </c>
      <c r="G510" s="2">
        <v>110</v>
      </c>
      <c r="H510" s="2">
        <v>4070</v>
      </c>
      <c r="I510" s="4">
        <v>0.06</v>
      </c>
      <c r="J510" s="2">
        <v>3825.8</v>
      </c>
      <c r="K510" s="1">
        <v>44118</v>
      </c>
      <c r="L510" s="1">
        <v>44118</v>
      </c>
      <c r="M510">
        <v>509</v>
      </c>
      <c r="N510">
        <v>6</v>
      </c>
      <c r="O510" t="s">
        <v>29</v>
      </c>
      <c r="P510" s="3">
        <v>0.08</v>
      </c>
      <c r="Q510" s="2">
        <v>306.06400000000002</v>
      </c>
      <c r="R510">
        <v>5</v>
      </c>
      <c r="S510" t="str">
        <f t="shared" si="7"/>
        <v>Outubro</v>
      </c>
    </row>
    <row r="511" spans="1:19">
      <c r="A511">
        <v>510</v>
      </c>
      <c r="B511" s="1">
        <v>44105</v>
      </c>
      <c r="C511">
        <v>20</v>
      </c>
      <c r="D511" t="s">
        <v>39</v>
      </c>
      <c r="E511" t="s">
        <v>41</v>
      </c>
      <c r="F511">
        <v>22</v>
      </c>
      <c r="G511" s="2">
        <v>110</v>
      </c>
      <c r="H511" s="2">
        <v>2420</v>
      </c>
      <c r="I511" s="4">
        <v>0.05</v>
      </c>
      <c r="J511" s="2">
        <v>2299</v>
      </c>
      <c r="K511" s="1">
        <v>44130</v>
      </c>
      <c r="L511" s="1">
        <v>44130</v>
      </c>
      <c r="M511">
        <v>510</v>
      </c>
      <c r="N511">
        <v>3</v>
      </c>
      <c r="O511" t="s">
        <v>47</v>
      </c>
      <c r="P511" s="3">
        <v>0.05</v>
      </c>
      <c r="Q511" s="2">
        <v>114.95</v>
      </c>
      <c r="R511">
        <v>6</v>
      </c>
      <c r="S511" t="str">
        <f t="shared" si="7"/>
        <v>Outubro</v>
      </c>
    </row>
    <row r="512" spans="1:19">
      <c r="A512">
        <v>511</v>
      </c>
      <c r="B512" s="1">
        <v>44106</v>
      </c>
      <c r="C512">
        <v>73</v>
      </c>
      <c r="D512" t="s">
        <v>38</v>
      </c>
      <c r="E512" t="s">
        <v>59</v>
      </c>
      <c r="F512">
        <v>43</v>
      </c>
      <c r="G512" s="2">
        <v>108</v>
      </c>
      <c r="H512" s="2">
        <v>4644</v>
      </c>
      <c r="I512" s="4">
        <v>0.1</v>
      </c>
      <c r="J512" s="2">
        <v>4179.6000000000004</v>
      </c>
      <c r="K512" s="1">
        <v>44127</v>
      </c>
      <c r="L512" s="1">
        <v>44127</v>
      </c>
      <c r="M512">
        <v>511</v>
      </c>
      <c r="N512">
        <v>1</v>
      </c>
      <c r="O512" t="s">
        <v>43</v>
      </c>
      <c r="P512" s="3">
        <v>0.1</v>
      </c>
      <c r="Q512" s="2">
        <v>417.96000000000004</v>
      </c>
      <c r="R512">
        <v>7</v>
      </c>
      <c r="S512" t="str">
        <f t="shared" si="7"/>
        <v>Outubro</v>
      </c>
    </row>
    <row r="513" spans="1:19">
      <c r="A513">
        <v>512</v>
      </c>
      <c r="B513" s="1">
        <v>44106</v>
      </c>
      <c r="C513">
        <v>12</v>
      </c>
      <c r="D513" t="s">
        <v>45</v>
      </c>
      <c r="E513" t="s">
        <v>46</v>
      </c>
      <c r="F513">
        <v>40</v>
      </c>
      <c r="G513" s="2">
        <v>107</v>
      </c>
      <c r="H513" s="2">
        <v>4280</v>
      </c>
      <c r="I513" s="4">
        <v>0.12</v>
      </c>
      <c r="J513" s="2">
        <v>3766.4</v>
      </c>
      <c r="K513" s="1">
        <v>44120</v>
      </c>
      <c r="L513" s="1">
        <v>44120</v>
      </c>
      <c r="M513">
        <v>512</v>
      </c>
      <c r="N513">
        <v>7</v>
      </c>
      <c r="O513" t="s">
        <v>43</v>
      </c>
      <c r="P513" s="3">
        <v>0.1</v>
      </c>
      <c r="Q513" s="2">
        <v>376.64000000000004</v>
      </c>
      <c r="R513">
        <v>1</v>
      </c>
      <c r="S513" t="str">
        <f t="shared" si="7"/>
        <v>Outubro</v>
      </c>
    </row>
    <row r="514" spans="1:19">
      <c r="A514">
        <v>513</v>
      </c>
      <c r="B514" s="1">
        <v>44106</v>
      </c>
      <c r="C514">
        <v>99</v>
      </c>
      <c r="D514" t="s">
        <v>84</v>
      </c>
      <c r="E514" t="s">
        <v>21</v>
      </c>
      <c r="F514">
        <v>13</v>
      </c>
      <c r="G514" s="2">
        <v>120</v>
      </c>
      <c r="H514" s="2">
        <v>1560</v>
      </c>
      <c r="I514" s="4">
        <v>0</v>
      </c>
      <c r="J514" s="2">
        <v>1560</v>
      </c>
      <c r="K514" s="1">
        <v>44133</v>
      </c>
      <c r="L514" s="1">
        <v>44133</v>
      </c>
      <c r="M514">
        <v>513</v>
      </c>
      <c r="N514">
        <v>1</v>
      </c>
      <c r="O514" t="s">
        <v>29</v>
      </c>
      <c r="P514" s="3">
        <v>7.0000000000000007E-2</v>
      </c>
      <c r="Q514" s="2">
        <v>109.20000000000002</v>
      </c>
      <c r="R514">
        <v>2</v>
      </c>
      <c r="S514" t="str">
        <f t="shared" si="7"/>
        <v>Outubro</v>
      </c>
    </row>
    <row r="515" spans="1:19">
      <c r="A515">
        <v>514</v>
      </c>
      <c r="B515" s="1">
        <v>44107</v>
      </c>
      <c r="C515">
        <v>91</v>
      </c>
      <c r="D515" t="s">
        <v>62</v>
      </c>
      <c r="E515" t="s">
        <v>28</v>
      </c>
      <c r="F515">
        <v>46</v>
      </c>
      <c r="G515" s="2">
        <v>111</v>
      </c>
      <c r="H515" s="2">
        <v>5106</v>
      </c>
      <c r="I515" s="4">
        <v>0.04</v>
      </c>
      <c r="J515" s="2">
        <v>4901.76</v>
      </c>
      <c r="K515" s="1">
        <v>44132</v>
      </c>
      <c r="L515" s="1">
        <v>44132</v>
      </c>
      <c r="M515">
        <v>514</v>
      </c>
      <c r="N515">
        <v>2</v>
      </c>
      <c r="O515" t="s">
        <v>37</v>
      </c>
      <c r="P515" s="3">
        <v>0.09</v>
      </c>
      <c r="Q515" s="2">
        <v>441.15840000000003</v>
      </c>
      <c r="R515">
        <v>3</v>
      </c>
      <c r="S515" t="str">
        <f t="shared" ref="S515:S578" si="8">PROPER(TEXT(B515,"mmmm"))</f>
        <v>Outubro</v>
      </c>
    </row>
    <row r="516" spans="1:19">
      <c r="A516">
        <v>515</v>
      </c>
      <c r="B516" s="1">
        <v>44107</v>
      </c>
      <c r="C516">
        <v>13</v>
      </c>
      <c r="D516" t="s">
        <v>75</v>
      </c>
      <c r="E516" t="s">
        <v>50</v>
      </c>
      <c r="F516">
        <v>48</v>
      </c>
      <c r="G516" s="2">
        <v>118</v>
      </c>
      <c r="H516" s="2">
        <v>5664</v>
      </c>
      <c r="I516" s="4">
        <v>0.03</v>
      </c>
      <c r="J516" s="2">
        <v>5494.08</v>
      </c>
      <c r="K516" s="1">
        <v>44122</v>
      </c>
      <c r="L516" s="1">
        <v>44122</v>
      </c>
      <c r="M516">
        <v>515</v>
      </c>
      <c r="N516">
        <v>6</v>
      </c>
      <c r="O516" t="s">
        <v>43</v>
      </c>
      <c r="P516" s="3">
        <v>0.06</v>
      </c>
      <c r="Q516" s="2">
        <v>329.64479999999998</v>
      </c>
      <c r="R516">
        <v>4</v>
      </c>
      <c r="S516" t="str">
        <f t="shared" si="8"/>
        <v>Outubro</v>
      </c>
    </row>
    <row r="517" spans="1:19">
      <c r="A517">
        <v>516</v>
      </c>
      <c r="B517" s="1">
        <v>44107</v>
      </c>
      <c r="C517">
        <v>56</v>
      </c>
      <c r="D517" t="s">
        <v>67</v>
      </c>
      <c r="E517" t="s">
        <v>59</v>
      </c>
      <c r="F517">
        <v>25</v>
      </c>
      <c r="G517" s="2">
        <v>99</v>
      </c>
      <c r="H517" s="2">
        <v>2475</v>
      </c>
      <c r="I517" s="4">
        <v>0.1</v>
      </c>
      <c r="J517" s="2">
        <v>2227.5</v>
      </c>
      <c r="K517" s="1">
        <v>44122</v>
      </c>
      <c r="L517" s="1">
        <v>44122</v>
      </c>
      <c r="M517">
        <v>516</v>
      </c>
      <c r="N517">
        <v>4</v>
      </c>
      <c r="O517" t="s">
        <v>25</v>
      </c>
      <c r="P517" s="3">
        <v>0.05</v>
      </c>
      <c r="Q517" s="2">
        <v>111.375</v>
      </c>
      <c r="R517">
        <v>5</v>
      </c>
      <c r="S517" t="str">
        <f t="shared" si="8"/>
        <v>Outubro</v>
      </c>
    </row>
    <row r="518" spans="1:19">
      <c r="A518">
        <v>517</v>
      </c>
      <c r="B518" s="1">
        <v>44107</v>
      </c>
      <c r="C518">
        <v>58</v>
      </c>
      <c r="D518" t="s">
        <v>72</v>
      </c>
      <c r="E518" t="s">
        <v>50</v>
      </c>
      <c r="F518">
        <v>49</v>
      </c>
      <c r="G518" s="2">
        <v>102</v>
      </c>
      <c r="H518" s="2">
        <v>4998</v>
      </c>
      <c r="I518" s="4">
        <v>0.04</v>
      </c>
      <c r="J518" s="2">
        <v>4798.08</v>
      </c>
      <c r="K518" s="1">
        <v>44132</v>
      </c>
      <c r="L518" s="1">
        <v>44132</v>
      </c>
      <c r="M518">
        <v>517</v>
      </c>
      <c r="N518">
        <v>5</v>
      </c>
      <c r="O518" t="s">
        <v>52</v>
      </c>
      <c r="P518" s="3">
        <v>0.09</v>
      </c>
      <c r="Q518" s="2">
        <v>431.8272</v>
      </c>
      <c r="R518">
        <v>6</v>
      </c>
      <c r="S518" t="str">
        <f t="shared" si="8"/>
        <v>Outubro</v>
      </c>
    </row>
    <row r="519" spans="1:19">
      <c r="A519">
        <v>518</v>
      </c>
      <c r="B519" s="1">
        <v>44108</v>
      </c>
      <c r="C519">
        <v>55</v>
      </c>
      <c r="D519" t="s">
        <v>44</v>
      </c>
      <c r="E519" t="s">
        <v>21</v>
      </c>
      <c r="F519">
        <v>20</v>
      </c>
      <c r="G519" s="2">
        <v>98</v>
      </c>
      <c r="H519" s="2">
        <v>1960</v>
      </c>
      <c r="I519" s="4">
        <v>0.03</v>
      </c>
      <c r="J519" s="2">
        <v>1901.2</v>
      </c>
      <c r="K519" s="1">
        <v>44130</v>
      </c>
      <c r="L519" s="1">
        <v>44130</v>
      </c>
      <c r="M519">
        <v>518</v>
      </c>
      <c r="N519">
        <v>6</v>
      </c>
      <c r="O519" t="s">
        <v>22</v>
      </c>
      <c r="P519" s="3">
        <v>0.09</v>
      </c>
      <c r="Q519" s="2">
        <v>171.108</v>
      </c>
      <c r="R519">
        <v>7</v>
      </c>
      <c r="S519" t="str">
        <f t="shared" si="8"/>
        <v>Outubro</v>
      </c>
    </row>
    <row r="520" spans="1:19">
      <c r="A520">
        <v>519</v>
      </c>
      <c r="B520" s="1">
        <v>44108</v>
      </c>
      <c r="C520">
        <v>51</v>
      </c>
      <c r="D520" t="s">
        <v>53</v>
      </c>
      <c r="E520" t="s">
        <v>46</v>
      </c>
      <c r="F520">
        <v>36</v>
      </c>
      <c r="G520" s="2">
        <v>113</v>
      </c>
      <c r="H520" s="2">
        <v>4068</v>
      </c>
      <c r="I520" s="4">
        <v>0.1</v>
      </c>
      <c r="J520" s="2">
        <v>3661.2</v>
      </c>
      <c r="K520" s="1">
        <v>44116</v>
      </c>
      <c r="L520" s="1">
        <v>44116</v>
      </c>
      <c r="M520">
        <v>519</v>
      </c>
      <c r="N520">
        <v>3</v>
      </c>
      <c r="O520" t="s">
        <v>25</v>
      </c>
      <c r="P520" s="3">
        <v>0.08</v>
      </c>
      <c r="Q520" s="2">
        <v>292.89600000000002</v>
      </c>
      <c r="R520">
        <v>1</v>
      </c>
      <c r="S520" t="str">
        <f t="shared" si="8"/>
        <v>Outubro</v>
      </c>
    </row>
    <row r="521" spans="1:19">
      <c r="A521">
        <v>520</v>
      </c>
      <c r="B521" s="1">
        <v>44111</v>
      </c>
      <c r="C521">
        <v>82</v>
      </c>
      <c r="D521" t="s">
        <v>67</v>
      </c>
      <c r="E521" t="s">
        <v>50</v>
      </c>
      <c r="F521">
        <v>26</v>
      </c>
      <c r="G521" s="2">
        <v>107</v>
      </c>
      <c r="H521" s="2">
        <v>2782</v>
      </c>
      <c r="I521" s="4">
        <v>0.06</v>
      </c>
      <c r="J521" s="2">
        <v>2615.08</v>
      </c>
      <c r="K521" s="1">
        <v>44130</v>
      </c>
      <c r="L521" s="1">
        <v>44130</v>
      </c>
      <c r="M521">
        <v>520</v>
      </c>
      <c r="N521">
        <v>3</v>
      </c>
      <c r="O521" t="s">
        <v>47</v>
      </c>
      <c r="P521" s="3">
        <v>0.05</v>
      </c>
      <c r="Q521" s="2">
        <v>130.75399999999999</v>
      </c>
      <c r="R521">
        <v>2</v>
      </c>
      <c r="S521" t="str">
        <f t="shared" si="8"/>
        <v>Outubro</v>
      </c>
    </row>
    <row r="522" spans="1:19">
      <c r="A522">
        <v>521</v>
      </c>
      <c r="B522" s="1">
        <v>44112</v>
      </c>
      <c r="C522">
        <v>69</v>
      </c>
      <c r="D522" t="s">
        <v>67</v>
      </c>
      <c r="E522" t="s">
        <v>28</v>
      </c>
      <c r="F522">
        <v>50</v>
      </c>
      <c r="G522" s="2">
        <v>117</v>
      </c>
      <c r="H522" s="2">
        <v>5850</v>
      </c>
      <c r="I522" s="4">
        <v>0.14000000000000001</v>
      </c>
      <c r="J522" s="2">
        <v>5031</v>
      </c>
      <c r="K522" s="1">
        <v>44141</v>
      </c>
      <c r="L522" s="1">
        <v>44141</v>
      </c>
      <c r="M522">
        <v>521</v>
      </c>
      <c r="N522">
        <v>2</v>
      </c>
      <c r="O522" t="s">
        <v>29</v>
      </c>
      <c r="P522" s="3">
        <v>0.06</v>
      </c>
      <c r="Q522" s="2">
        <v>301.86</v>
      </c>
      <c r="R522">
        <v>3</v>
      </c>
      <c r="S522" t="str">
        <f t="shared" si="8"/>
        <v>Outubro</v>
      </c>
    </row>
    <row r="523" spans="1:19">
      <c r="A523">
        <v>522</v>
      </c>
      <c r="B523" s="1">
        <v>44113</v>
      </c>
      <c r="C523">
        <v>66</v>
      </c>
      <c r="D523" t="s">
        <v>30</v>
      </c>
      <c r="E523" t="s">
        <v>28</v>
      </c>
      <c r="F523">
        <v>16</v>
      </c>
      <c r="G523" s="2">
        <v>90</v>
      </c>
      <c r="H523" s="2">
        <v>1440</v>
      </c>
      <c r="I523" s="4">
        <v>0.09</v>
      </c>
      <c r="J523" s="2">
        <v>1310.4000000000001</v>
      </c>
      <c r="K523" s="1">
        <v>44114</v>
      </c>
      <c r="L523" s="1">
        <v>44114</v>
      </c>
      <c r="M523">
        <v>522</v>
      </c>
      <c r="N523">
        <v>4</v>
      </c>
      <c r="O523" t="s">
        <v>25</v>
      </c>
      <c r="P523" s="3">
        <v>0.09</v>
      </c>
      <c r="Q523" s="2">
        <v>117.93600000000001</v>
      </c>
      <c r="R523">
        <v>4</v>
      </c>
      <c r="S523" t="str">
        <f t="shared" si="8"/>
        <v>Outubro</v>
      </c>
    </row>
    <row r="524" spans="1:19">
      <c r="A524">
        <v>523</v>
      </c>
      <c r="B524" s="1">
        <v>44113</v>
      </c>
      <c r="C524">
        <v>61</v>
      </c>
      <c r="D524" t="s">
        <v>56</v>
      </c>
      <c r="E524" t="s">
        <v>46</v>
      </c>
      <c r="F524">
        <v>40</v>
      </c>
      <c r="G524" s="2">
        <v>116</v>
      </c>
      <c r="H524" s="2">
        <v>4640</v>
      </c>
      <c r="I524" s="4">
        <v>0.05</v>
      </c>
      <c r="J524" s="2">
        <v>4408</v>
      </c>
      <c r="K524" s="1">
        <v>44126</v>
      </c>
      <c r="L524" s="1">
        <v>44126</v>
      </c>
      <c r="M524">
        <v>523</v>
      </c>
      <c r="N524">
        <v>1</v>
      </c>
      <c r="O524" t="s">
        <v>22</v>
      </c>
      <c r="P524" s="3">
        <v>0.1</v>
      </c>
      <c r="Q524" s="2">
        <v>440.8</v>
      </c>
      <c r="R524">
        <v>5</v>
      </c>
      <c r="S524" t="str">
        <f t="shared" si="8"/>
        <v>Outubro</v>
      </c>
    </row>
    <row r="525" spans="1:19">
      <c r="A525">
        <v>524</v>
      </c>
      <c r="B525" s="1">
        <v>44113</v>
      </c>
      <c r="C525">
        <v>63</v>
      </c>
      <c r="D525" t="s">
        <v>80</v>
      </c>
      <c r="E525" t="s">
        <v>46</v>
      </c>
      <c r="F525">
        <v>40</v>
      </c>
      <c r="G525" s="2">
        <v>108</v>
      </c>
      <c r="H525" s="2">
        <v>4320</v>
      </c>
      <c r="I525" s="4">
        <v>0.04</v>
      </c>
      <c r="J525" s="2">
        <v>4147.2</v>
      </c>
      <c r="K525" s="1">
        <v>44128</v>
      </c>
      <c r="L525" s="1">
        <v>44128</v>
      </c>
      <c r="M525">
        <v>524</v>
      </c>
      <c r="N525">
        <v>3</v>
      </c>
      <c r="O525" t="s">
        <v>29</v>
      </c>
      <c r="P525" s="3">
        <v>7.0000000000000007E-2</v>
      </c>
      <c r="Q525" s="2">
        <v>290.30400000000003</v>
      </c>
      <c r="R525">
        <v>6</v>
      </c>
      <c r="S525" t="str">
        <f t="shared" si="8"/>
        <v>Outubro</v>
      </c>
    </row>
    <row r="526" spans="1:19">
      <c r="A526">
        <v>525</v>
      </c>
      <c r="B526" s="1">
        <v>44114</v>
      </c>
      <c r="C526">
        <v>8</v>
      </c>
      <c r="D526" t="s">
        <v>38</v>
      </c>
      <c r="E526" t="s">
        <v>31</v>
      </c>
      <c r="F526">
        <v>42</v>
      </c>
      <c r="G526" s="2">
        <v>103</v>
      </c>
      <c r="H526" s="2">
        <v>4326</v>
      </c>
      <c r="I526" s="4">
        <v>0.01</v>
      </c>
      <c r="J526" s="2">
        <v>4282.74</v>
      </c>
      <c r="K526" s="1">
        <v>44133</v>
      </c>
      <c r="L526" s="1">
        <v>44133</v>
      </c>
      <c r="M526">
        <v>525</v>
      </c>
      <c r="N526">
        <v>5</v>
      </c>
      <c r="O526" t="s">
        <v>34</v>
      </c>
      <c r="P526" s="3">
        <v>0.09</v>
      </c>
      <c r="Q526" s="2">
        <v>385.44659999999999</v>
      </c>
      <c r="R526">
        <v>7</v>
      </c>
      <c r="S526" t="str">
        <f t="shared" si="8"/>
        <v>Outubro</v>
      </c>
    </row>
    <row r="527" spans="1:19">
      <c r="A527">
        <v>526</v>
      </c>
      <c r="B527" s="1">
        <v>44114</v>
      </c>
      <c r="C527">
        <v>33</v>
      </c>
      <c r="D527" t="s">
        <v>76</v>
      </c>
      <c r="E527" t="s">
        <v>28</v>
      </c>
      <c r="F527">
        <v>39</v>
      </c>
      <c r="G527" s="2">
        <v>120</v>
      </c>
      <c r="H527" s="2">
        <v>4680</v>
      </c>
      <c r="I527" s="4">
        <v>0.11</v>
      </c>
      <c r="J527" s="2">
        <v>4165.2</v>
      </c>
      <c r="K527" s="1">
        <v>44131</v>
      </c>
      <c r="L527" s="1">
        <v>44131</v>
      </c>
      <c r="M527">
        <v>526</v>
      </c>
      <c r="N527">
        <v>4</v>
      </c>
      <c r="O527" t="s">
        <v>32</v>
      </c>
      <c r="P527" s="3">
        <v>0.05</v>
      </c>
      <c r="Q527" s="2">
        <v>208.26</v>
      </c>
      <c r="R527">
        <v>1</v>
      </c>
      <c r="S527" t="str">
        <f t="shared" si="8"/>
        <v>Outubro</v>
      </c>
    </row>
    <row r="528" spans="1:19">
      <c r="A528">
        <v>527</v>
      </c>
      <c r="B528" s="1">
        <v>44114</v>
      </c>
      <c r="C528">
        <v>24</v>
      </c>
      <c r="D528" t="s">
        <v>74</v>
      </c>
      <c r="E528" t="s">
        <v>55</v>
      </c>
      <c r="F528">
        <v>38</v>
      </c>
      <c r="G528" s="2">
        <v>96</v>
      </c>
      <c r="H528" s="2">
        <v>3648</v>
      </c>
      <c r="I528" s="4">
        <v>0.03</v>
      </c>
      <c r="J528" s="2">
        <v>3538.56</v>
      </c>
      <c r="K528" s="1">
        <v>44125</v>
      </c>
      <c r="L528" s="1">
        <v>44125</v>
      </c>
      <c r="M528">
        <v>527</v>
      </c>
      <c r="N528">
        <v>1</v>
      </c>
      <c r="O528" t="s">
        <v>25</v>
      </c>
      <c r="P528" s="3">
        <v>0.05</v>
      </c>
      <c r="Q528" s="2">
        <v>176.928</v>
      </c>
      <c r="R528">
        <v>2</v>
      </c>
      <c r="S528" t="str">
        <f t="shared" si="8"/>
        <v>Outubro</v>
      </c>
    </row>
    <row r="529" spans="1:19">
      <c r="A529">
        <v>528</v>
      </c>
      <c r="B529" s="1">
        <v>44115</v>
      </c>
      <c r="C529">
        <v>5</v>
      </c>
      <c r="D529" t="s">
        <v>38</v>
      </c>
      <c r="E529" t="s">
        <v>55</v>
      </c>
      <c r="F529">
        <v>32</v>
      </c>
      <c r="G529" s="2">
        <v>112</v>
      </c>
      <c r="H529" s="2">
        <v>3584</v>
      </c>
      <c r="I529" s="4">
        <v>0.04</v>
      </c>
      <c r="J529" s="2">
        <v>3440.64</v>
      </c>
      <c r="K529" s="1">
        <v>44127</v>
      </c>
      <c r="L529" s="1">
        <v>44127</v>
      </c>
      <c r="M529">
        <v>528</v>
      </c>
      <c r="N529">
        <v>5</v>
      </c>
      <c r="O529" t="s">
        <v>47</v>
      </c>
      <c r="P529" s="3">
        <v>0.09</v>
      </c>
      <c r="Q529" s="2">
        <v>309.6576</v>
      </c>
      <c r="R529">
        <v>3</v>
      </c>
      <c r="S529" t="str">
        <f t="shared" si="8"/>
        <v>Outubro</v>
      </c>
    </row>
    <row r="530" spans="1:19">
      <c r="A530">
        <v>529</v>
      </c>
      <c r="B530" s="1">
        <v>44115</v>
      </c>
      <c r="C530">
        <v>29</v>
      </c>
      <c r="D530" t="s">
        <v>98</v>
      </c>
      <c r="E530" t="s">
        <v>31</v>
      </c>
      <c r="F530">
        <v>20</v>
      </c>
      <c r="G530" s="2">
        <v>108</v>
      </c>
      <c r="H530" s="2">
        <v>2160</v>
      </c>
      <c r="I530" s="4">
        <v>0</v>
      </c>
      <c r="J530" s="2">
        <v>2160</v>
      </c>
      <c r="K530" s="1">
        <v>44135</v>
      </c>
      <c r="L530" s="1">
        <v>44135</v>
      </c>
      <c r="M530">
        <v>529</v>
      </c>
      <c r="N530">
        <v>6</v>
      </c>
      <c r="O530" t="s">
        <v>47</v>
      </c>
      <c r="P530" s="3">
        <v>7.0000000000000007E-2</v>
      </c>
      <c r="Q530" s="2">
        <v>151.20000000000002</v>
      </c>
      <c r="R530">
        <v>4</v>
      </c>
      <c r="S530" t="str">
        <f t="shared" si="8"/>
        <v>Outubro</v>
      </c>
    </row>
    <row r="531" spans="1:19">
      <c r="A531">
        <v>530</v>
      </c>
      <c r="B531" s="1">
        <v>44115</v>
      </c>
      <c r="C531">
        <v>56</v>
      </c>
      <c r="D531" t="s">
        <v>67</v>
      </c>
      <c r="E531" t="s">
        <v>55</v>
      </c>
      <c r="F531">
        <v>22</v>
      </c>
      <c r="G531" s="2">
        <v>101</v>
      </c>
      <c r="H531" s="2">
        <v>2222</v>
      </c>
      <c r="I531" s="4">
        <v>0.15</v>
      </c>
      <c r="J531" s="2">
        <v>1888.7</v>
      </c>
      <c r="K531" s="1">
        <v>44128</v>
      </c>
      <c r="L531" s="1">
        <v>44128</v>
      </c>
      <c r="M531">
        <v>530</v>
      </c>
      <c r="N531">
        <v>7</v>
      </c>
      <c r="O531" t="s">
        <v>43</v>
      </c>
      <c r="P531" s="3">
        <v>0.06</v>
      </c>
      <c r="Q531" s="2">
        <v>113.322</v>
      </c>
      <c r="R531">
        <v>5</v>
      </c>
      <c r="S531" t="str">
        <f t="shared" si="8"/>
        <v>Outubro</v>
      </c>
    </row>
    <row r="532" spans="1:19">
      <c r="A532">
        <v>531</v>
      </c>
      <c r="B532" s="1">
        <v>44116</v>
      </c>
      <c r="C532">
        <v>22</v>
      </c>
      <c r="D532" t="s">
        <v>51</v>
      </c>
      <c r="E532" t="s">
        <v>24</v>
      </c>
      <c r="F532">
        <v>42</v>
      </c>
      <c r="G532" s="2">
        <v>91</v>
      </c>
      <c r="H532" s="2">
        <v>3822</v>
      </c>
      <c r="I532" s="4">
        <v>0.09</v>
      </c>
      <c r="J532" s="2">
        <v>3478.02</v>
      </c>
      <c r="K532" s="1">
        <v>44145</v>
      </c>
      <c r="L532" s="1">
        <v>44145</v>
      </c>
      <c r="M532">
        <v>531</v>
      </c>
      <c r="N532">
        <v>4</v>
      </c>
      <c r="O532" t="s">
        <v>34</v>
      </c>
      <c r="P532" s="3">
        <v>7.0000000000000007E-2</v>
      </c>
      <c r="Q532" s="2">
        <v>243.46140000000003</v>
      </c>
      <c r="R532">
        <v>6</v>
      </c>
      <c r="S532" t="str">
        <f t="shared" si="8"/>
        <v>Outubro</v>
      </c>
    </row>
    <row r="533" spans="1:19">
      <c r="A533">
        <v>532</v>
      </c>
      <c r="B533" s="1">
        <v>44116</v>
      </c>
      <c r="C533">
        <v>89</v>
      </c>
      <c r="D533" t="s">
        <v>49</v>
      </c>
      <c r="E533" t="s">
        <v>24</v>
      </c>
      <c r="F533">
        <v>48</v>
      </c>
      <c r="G533" s="2">
        <v>98</v>
      </c>
      <c r="H533" s="2">
        <v>4704</v>
      </c>
      <c r="I533" s="4">
        <v>0.04</v>
      </c>
      <c r="J533" s="2">
        <v>4515.84</v>
      </c>
      <c r="K533" s="1">
        <v>44123</v>
      </c>
      <c r="L533" s="1">
        <v>44123</v>
      </c>
      <c r="M533">
        <v>532</v>
      </c>
      <c r="N533">
        <v>3</v>
      </c>
      <c r="O533" t="s">
        <v>52</v>
      </c>
      <c r="P533" s="3">
        <v>0.1</v>
      </c>
      <c r="Q533" s="2">
        <v>451.58400000000006</v>
      </c>
      <c r="R533">
        <v>7</v>
      </c>
      <c r="S533" t="str">
        <f t="shared" si="8"/>
        <v>Outubro</v>
      </c>
    </row>
    <row r="534" spans="1:19">
      <c r="A534">
        <v>533</v>
      </c>
      <c r="B534" s="1">
        <v>44116</v>
      </c>
      <c r="C534">
        <v>90</v>
      </c>
      <c r="D534" t="s">
        <v>60</v>
      </c>
      <c r="E534" t="s">
        <v>24</v>
      </c>
      <c r="F534">
        <v>42</v>
      </c>
      <c r="G534" s="2">
        <v>116</v>
      </c>
      <c r="H534" s="2">
        <v>4872</v>
      </c>
      <c r="I534" s="4">
        <v>0.02</v>
      </c>
      <c r="J534" s="2">
        <v>4774.5600000000004</v>
      </c>
      <c r="K534" s="1">
        <v>44138</v>
      </c>
      <c r="L534" s="1">
        <v>44138</v>
      </c>
      <c r="M534">
        <v>533</v>
      </c>
      <c r="N534">
        <v>1</v>
      </c>
      <c r="O534" t="s">
        <v>69</v>
      </c>
      <c r="P534" s="3">
        <v>0.05</v>
      </c>
      <c r="Q534" s="2">
        <v>238.72800000000004</v>
      </c>
      <c r="R534">
        <v>1</v>
      </c>
      <c r="S534" t="str">
        <f t="shared" si="8"/>
        <v>Outubro</v>
      </c>
    </row>
    <row r="535" spans="1:19">
      <c r="A535">
        <v>534</v>
      </c>
      <c r="B535" s="1">
        <v>44116</v>
      </c>
      <c r="C535">
        <v>77</v>
      </c>
      <c r="D535" t="s">
        <v>65</v>
      </c>
      <c r="E535" t="s">
        <v>24</v>
      </c>
      <c r="F535">
        <v>17</v>
      </c>
      <c r="G535" s="2">
        <v>113</v>
      </c>
      <c r="H535" s="2">
        <v>1921</v>
      </c>
      <c r="I535" s="4">
        <v>0.13</v>
      </c>
      <c r="J535" s="2">
        <v>1671.27</v>
      </c>
      <c r="K535" s="1">
        <v>44135</v>
      </c>
      <c r="L535" s="1">
        <v>44135</v>
      </c>
      <c r="M535">
        <v>534</v>
      </c>
      <c r="N535">
        <v>7</v>
      </c>
      <c r="O535" t="s">
        <v>34</v>
      </c>
      <c r="P535" s="3">
        <v>7.0000000000000007E-2</v>
      </c>
      <c r="Q535" s="2">
        <v>116.98890000000002</v>
      </c>
      <c r="R535">
        <v>2</v>
      </c>
      <c r="S535" t="str">
        <f t="shared" si="8"/>
        <v>Outubro</v>
      </c>
    </row>
    <row r="536" spans="1:19">
      <c r="A536">
        <v>535</v>
      </c>
      <c r="B536" s="1">
        <v>44118</v>
      </c>
      <c r="C536">
        <v>13</v>
      </c>
      <c r="D536" t="s">
        <v>75</v>
      </c>
      <c r="E536" t="s">
        <v>54</v>
      </c>
      <c r="F536">
        <v>19</v>
      </c>
      <c r="G536" s="2">
        <v>109</v>
      </c>
      <c r="H536" s="2">
        <v>2071</v>
      </c>
      <c r="I536" s="4">
        <v>0.11</v>
      </c>
      <c r="J536" s="2">
        <v>1843.19</v>
      </c>
      <c r="K536" s="1">
        <v>44144</v>
      </c>
      <c r="L536" s="1">
        <v>44144</v>
      </c>
      <c r="M536">
        <v>535</v>
      </c>
      <c r="N536">
        <v>5</v>
      </c>
      <c r="O536" t="s">
        <v>34</v>
      </c>
      <c r="P536" s="3">
        <v>0.1</v>
      </c>
      <c r="Q536" s="2">
        <v>184.31900000000002</v>
      </c>
      <c r="R536">
        <v>3</v>
      </c>
      <c r="S536" t="str">
        <f t="shared" si="8"/>
        <v>Outubro</v>
      </c>
    </row>
    <row r="537" spans="1:19">
      <c r="A537">
        <v>536</v>
      </c>
      <c r="B537" s="1">
        <v>44118</v>
      </c>
      <c r="C537">
        <v>40</v>
      </c>
      <c r="D537" t="s">
        <v>49</v>
      </c>
      <c r="E537" t="s">
        <v>31</v>
      </c>
      <c r="F537">
        <v>12</v>
      </c>
      <c r="G537" s="2">
        <v>103</v>
      </c>
      <c r="H537" s="2">
        <v>1236</v>
      </c>
      <c r="I537" s="4">
        <v>0.06</v>
      </c>
      <c r="J537" s="2">
        <v>1161.8399999999999</v>
      </c>
      <c r="K537" s="1">
        <v>44142</v>
      </c>
      <c r="L537" s="1">
        <v>44142</v>
      </c>
      <c r="M537">
        <v>536</v>
      </c>
      <c r="N537">
        <v>7</v>
      </c>
      <c r="O537" t="s">
        <v>47</v>
      </c>
      <c r="P537" s="3">
        <v>0.1</v>
      </c>
      <c r="Q537" s="2">
        <v>116.184</v>
      </c>
      <c r="R537">
        <v>4</v>
      </c>
      <c r="S537" t="str">
        <f t="shared" si="8"/>
        <v>Outubro</v>
      </c>
    </row>
    <row r="538" spans="1:19">
      <c r="A538">
        <v>537</v>
      </c>
      <c r="B538" s="1">
        <v>44118</v>
      </c>
      <c r="C538">
        <v>62</v>
      </c>
      <c r="D538" t="s">
        <v>38</v>
      </c>
      <c r="E538" t="s">
        <v>31</v>
      </c>
      <c r="F538">
        <v>15</v>
      </c>
      <c r="G538" s="2">
        <v>92</v>
      </c>
      <c r="H538" s="2">
        <v>1380</v>
      </c>
      <c r="I538" s="4">
        <v>0.12</v>
      </c>
      <c r="J538" s="2">
        <v>1214.4000000000001</v>
      </c>
      <c r="K538" s="1">
        <v>44144</v>
      </c>
      <c r="L538" s="1">
        <v>44144</v>
      </c>
      <c r="M538">
        <v>537</v>
      </c>
      <c r="N538">
        <v>6</v>
      </c>
      <c r="O538" t="s">
        <v>69</v>
      </c>
      <c r="P538" s="3">
        <v>0.09</v>
      </c>
      <c r="Q538" s="2">
        <v>109.29600000000001</v>
      </c>
      <c r="R538">
        <v>5</v>
      </c>
      <c r="S538" t="str">
        <f t="shared" si="8"/>
        <v>Outubro</v>
      </c>
    </row>
    <row r="539" spans="1:19">
      <c r="A539">
        <v>538</v>
      </c>
      <c r="B539" s="1">
        <v>44119</v>
      </c>
      <c r="C539">
        <v>39</v>
      </c>
      <c r="D539" t="s">
        <v>38</v>
      </c>
      <c r="E539" t="s">
        <v>59</v>
      </c>
      <c r="F539">
        <v>49</v>
      </c>
      <c r="G539" s="2">
        <v>113</v>
      </c>
      <c r="H539" s="2">
        <v>5537</v>
      </c>
      <c r="I539" s="4">
        <v>0.09</v>
      </c>
      <c r="J539" s="2">
        <v>5038.67</v>
      </c>
      <c r="K539" s="1">
        <v>44124</v>
      </c>
      <c r="L539" s="1">
        <v>44124</v>
      </c>
      <c r="M539">
        <v>538</v>
      </c>
      <c r="N539">
        <v>2</v>
      </c>
      <c r="O539" t="s">
        <v>34</v>
      </c>
      <c r="P539" s="3">
        <v>0.09</v>
      </c>
      <c r="Q539" s="2">
        <v>453.4803</v>
      </c>
      <c r="R539">
        <v>6</v>
      </c>
      <c r="S539" t="str">
        <f t="shared" si="8"/>
        <v>Outubro</v>
      </c>
    </row>
    <row r="540" spans="1:19">
      <c r="A540">
        <v>539</v>
      </c>
      <c r="B540" s="1">
        <v>44119</v>
      </c>
      <c r="C540">
        <v>76</v>
      </c>
      <c r="D540" t="s">
        <v>104</v>
      </c>
      <c r="E540" t="s">
        <v>46</v>
      </c>
      <c r="F540">
        <v>15</v>
      </c>
      <c r="G540" s="2">
        <v>102</v>
      </c>
      <c r="H540" s="2">
        <v>1530</v>
      </c>
      <c r="I540" s="4">
        <v>0.06</v>
      </c>
      <c r="J540" s="2">
        <v>1438.2</v>
      </c>
      <c r="K540" s="1">
        <v>44135</v>
      </c>
      <c r="L540" s="1">
        <v>44135</v>
      </c>
      <c r="M540">
        <v>539</v>
      </c>
      <c r="N540">
        <v>2</v>
      </c>
      <c r="O540" t="s">
        <v>25</v>
      </c>
      <c r="P540" s="3">
        <v>0.1</v>
      </c>
      <c r="Q540" s="2">
        <v>143.82000000000002</v>
      </c>
      <c r="R540">
        <v>7</v>
      </c>
      <c r="S540" t="str">
        <f t="shared" si="8"/>
        <v>Outubro</v>
      </c>
    </row>
    <row r="541" spans="1:19">
      <c r="A541">
        <v>540</v>
      </c>
      <c r="B541" s="1">
        <v>44121</v>
      </c>
      <c r="C541">
        <v>54</v>
      </c>
      <c r="D541" t="s">
        <v>79</v>
      </c>
      <c r="E541" t="s">
        <v>55</v>
      </c>
      <c r="F541">
        <v>18</v>
      </c>
      <c r="G541" s="2">
        <v>94</v>
      </c>
      <c r="H541" s="2">
        <v>1692</v>
      </c>
      <c r="I541" s="4">
        <v>0.12</v>
      </c>
      <c r="J541" s="2">
        <v>1488.96</v>
      </c>
      <c r="K541" s="1">
        <v>44136</v>
      </c>
      <c r="L541" s="1">
        <v>44136</v>
      </c>
      <c r="M541">
        <v>540</v>
      </c>
      <c r="N541">
        <v>7</v>
      </c>
      <c r="O541" t="s">
        <v>43</v>
      </c>
      <c r="P541" s="3">
        <v>0.06</v>
      </c>
      <c r="Q541" s="2">
        <v>89.337599999999995</v>
      </c>
      <c r="R541">
        <v>1</v>
      </c>
      <c r="S541" t="str">
        <f t="shared" si="8"/>
        <v>Outubro</v>
      </c>
    </row>
    <row r="542" spans="1:19">
      <c r="A542">
        <v>541</v>
      </c>
      <c r="B542" s="1">
        <v>44121</v>
      </c>
      <c r="C542">
        <v>6</v>
      </c>
      <c r="D542" t="s">
        <v>88</v>
      </c>
      <c r="E542" t="s">
        <v>50</v>
      </c>
      <c r="F542">
        <v>28</v>
      </c>
      <c r="G542" s="2">
        <v>102</v>
      </c>
      <c r="H542" s="2">
        <v>2856</v>
      </c>
      <c r="I542" s="4">
        <v>0.08</v>
      </c>
      <c r="J542" s="2">
        <v>2627.52</v>
      </c>
      <c r="K542" s="1">
        <v>44151</v>
      </c>
      <c r="L542" s="1">
        <v>44151</v>
      </c>
      <c r="M542">
        <v>541</v>
      </c>
      <c r="N542">
        <v>2</v>
      </c>
      <c r="O542" t="s">
        <v>34</v>
      </c>
      <c r="P542" s="3">
        <v>7.0000000000000007E-2</v>
      </c>
      <c r="Q542" s="2">
        <v>183.92640000000003</v>
      </c>
      <c r="R542">
        <v>2</v>
      </c>
      <c r="S542" t="str">
        <f t="shared" si="8"/>
        <v>Outubro</v>
      </c>
    </row>
    <row r="543" spans="1:19">
      <c r="A543">
        <v>542</v>
      </c>
      <c r="B543" s="1">
        <v>44121</v>
      </c>
      <c r="C543">
        <v>52</v>
      </c>
      <c r="D543" t="s">
        <v>23</v>
      </c>
      <c r="E543" t="s">
        <v>50</v>
      </c>
      <c r="F543">
        <v>32</v>
      </c>
      <c r="G543" s="2">
        <v>97</v>
      </c>
      <c r="H543" s="2">
        <v>3104</v>
      </c>
      <c r="I543" s="4">
        <v>0</v>
      </c>
      <c r="J543" s="2">
        <v>3104</v>
      </c>
      <c r="K543" s="1">
        <v>44140</v>
      </c>
      <c r="L543" s="1">
        <v>44140</v>
      </c>
      <c r="M543">
        <v>542</v>
      </c>
      <c r="N543">
        <v>5</v>
      </c>
      <c r="O543" t="s">
        <v>29</v>
      </c>
      <c r="P543" s="3">
        <v>7.0000000000000007E-2</v>
      </c>
      <c r="Q543" s="2">
        <v>217.28000000000003</v>
      </c>
      <c r="R543">
        <v>3</v>
      </c>
      <c r="S543" t="str">
        <f t="shared" si="8"/>
        <v>Outubro</v>
      </c>
    </row>
    <row r="544" spans="1:19">
      <c r="A544">
        <v>543</v>
      </c>
      <c r="B544" s="1">
        <v>44121</v>
      </c>
      <c r="C544">
        <v>99</v>
      </c>
      <c r="D544" t="s">
        <v>84</v>
      </c>
      <c r="E544" t="s">
        <v>46</v>
      </c>
      <c r="F544">
        <v>29</v>
      </c>
      <c r="G544" s="2">
        <v>102</v>
      </c>
      <c r="H544" s="2">
        <v>2958</v>
      </c>
      <c r="I544" s="4">
        <v>0.15</v>
      </c>
      <c r="J544" s="2">
        <v>2514.3000000000002</v>
      </c>
      <c r="K544" s="1">
        <v>44130</v>
      </c>
      <c r="L544" s="1">
        <v>44130</v>
      </c>
      <c r="M544">
        <v>543</v>
      </c>
      <c r="N544">
        <v>6</v>
      </c>
      <c r="O544" t="s">
        <v>52</v>
      </c>
      <c r="P544" s="3">
        <v>0.09</v>
      </c>
      <c r="Q544" s="2">
        <v>226.28700000000001</v>
      </c>
      <c r="R544">
        <v>4</v>
      </c>
      <c r="S544" t="str">
        <f t="shared" si="8"/>
        <v>Outubro</v>
      </c>
    </row>
    <row r="545" spans="1:19">
      <c r="A545">
        <v>544</v>
      </c>
      <c r="B545" s="1">
        <v>44122</v>
      </c>
      <c r="C545">
        <v>18</v>
      </c>
      <c r="D545" t="s">
        <v>83</v>
      </c>
      <c r="E545" t="s">
        <v>28</v>
      </c>
      <c r="F545">
        <v>29</v>
      </c>
      <c r="G545" s="2">
        <v>119</v>
      </c>
      <c r="H545" s="2">
        <v>3451</v>
      </c>
      <c r="I545" s="4">
        <v>0.12</v>
      </c>
      <c r="J545" s="2">
        <v>3036.88</v>
      </c>
      <c r="K545" s="1">
        <v>44136</v>
      </c>
      <c r="L545" s="1">
        <v>44136</v>
      </c>
      <c r="M545">
        <v>544</v>
      </c>
      <c r="N545">
        <v>4</v>
      </c>
      <c r="O545" t="s">
        <v>32</v>
      </c>
      <c r="P545" s="3">
        <v>0.06</v>
      </c>
      <c r="Q545" s="2">
        <v>182.21279999999999</v>
      </c>
      <c r="R545">
        <v>5</v>
      </c>
      <c r="S545" t="str">
        <f t="shared" si="8"/>
        <v>Outubro</v>
      </c>
    </row>
    <row r="546" spans="1:19">
      <c r="A546">
        <v>545</v>
      </c>
      <c r="B546" s="1">
        <v>44123</v>
      </c>
      <c r="C546">
        <v>22</v>
      </c>
      <c r="D546" t="s">
        <v>51</v>
      </c>
      <c r="E546" t="s">
        <v>28</v>
      </c>
      <c r="F546">
        <v>24</v>
      </c>
      <c r="G546" s="2">
        <v>103</v>
      </c>
      <c r="H546" s="2">
        <v>2472</v>
      </c>
      <c r="I546" s="4">
        <v>0.05</v>
      </c>
      <c r="J546" s="2">
        <v>2348.4</v>
      </c>
      <c r="K546" s="1">
        <v>44148</v>
      </c>
      <c r="L546" s="1">
        <v>44148</v>
      </c>
      <c r="M546">
        <v>545</v>
      </c>
      <c r="N546">
        <v>5</v>
      </c>
      <c r="O546" t="s">
        <v>43</v>
      </c>
      <c r="P546" s="3">
        <v>0.09</v>
      </c>
      <c r="Q546" s="2">
        <v>211.35599999999999</v>
      </c>
      <c r="R546">
        <v>6</v>
      </c>
      <c r="S546" t="str">
        <f t="shared" si="8"/>
        <v>Outubro</v>
      </c>
    </row>
    <row r="547" spans="1:19">
      <c r="A547">
        <v>546</v>
      </c>
      <c r="B547" s="1">
        <v>44124</v>
      </c>
      <c r="C547">
        <v>62</v>
      </c>
      <c r="D547" t="s">
        <v>38</v>
      </c>
      <c r="E547" t="s">
        <v>24</v>
      </c>
      <c r="F547">
        <v>28</v>
      </c>
      <c r="G547" s="2">
        <v>107</v>
      </c>
      <c r="H547" s="2">
        <v>2996</v>
      </c>
      <c r="I547" s="4">
        <v>0.04</v>
      </c>
      <c r="J547" s="2">
        <v>2876.16</v>
      </c>
      <c r="K547" s="1">
        <v>44144</v>
      </c>
      <c r="L547" s="1">
        <v>44144</v>
      </c>
      <c r="M547">
        <v>546</v>
      </c>
      <c r="N547">
        <v>7</v>
      </c>
      <c r="O547" t="s">
        <v>22</v>
      </c>
      <c r="P547" s="3">
        <v>0.06</v>
      </c>
      <c r="Q547" s="2">
        <v>172.56959999999998</v>
      </c>
      <c r="R547">
        <v>7</v>
      </c>
      <c r="S547" t="str">
        <f t="shared" si="8"/>
        <v>Outubro</v>
      </c>
    </row>
    <row r="548" spans="1:19">
      <c r="A548">
        <v>547</v>
      </c>
      <c r="B548" s="1">
        <v>44124</v>
      </c>
      <c r="C548">
        <v>39</v>
      </c>
      <c r="D548" t="s">
        <v>38</v>
      </c>
      <c r="E548" t="s">
        <v>41</v>
      </c>
      <c r="F548">
        <v>33</v>
      </c>
      <c r="G548" s="2">
        <v>90</v>
      </c>
      <c r="H548" s="2">
        <v>2970</v>
      </c>
      <c r="I548" s="4">
        <v>0.08</v>
      </c>
      <c r="J548" s="2">
        <v>2732.4</v>
      </c>
      <c r="K548" s="1">
        <v>44132</v>
      </c>
      <c r="L548" s="1">
        <v>44132</v>
      </c>
      <c r="M548">
        <v>547</v>
      </c>
      <c r="N548">
        <v>3</v>
      </c>
      <c r="O548" t="s">
        <v>25</v>
      </c>
      <c r="P548" s="3">
        <v>0.06</v>
      </c>
      <c r="Q548" s="2">
        <v>163.94399999999999</v>
      </c>
      <c r="R548">
        <v>1</v>
      </c>
      <c r="S548" t="str">
        <f t="shared" si="8"/>
        <v>Outubro</v>
      </c>
    </row>
    <row r="549" spans="1:19">
      <c r="A549">
        <v>548</v>
      </c>
      <c r="B549" s="1">
        <v>44124</v>
      </c>
      <c r="C549">
        <v>66</v>
      </c>
      <c r="D549" t="s">
        <v>30</v>
      </c>
      <c r="E549" t="s">
        <v>31</v>
      </c>
      <c r="F549">
        <v>11</v>
      </c>
      <c r="G549" s="2">
        <v>113</v>
      </c>
      <c r="H549" s="2">
        <v>1243</v>
      </c>
      <c r="I549" s="4">
        <v>0.06</v>
      </c>
      <c r="J549" s="2">
        <v>1168.42</v>
      </c>
      <c r="K549" s="1">
        <v>44124</v>
      </c>
      <c r="L549" s="1">
        <v>44124</v>
      </c>
      <c r="M549">
        <v>548</v>
      </c>
      <c r="N549">
        <v>6</v>
      </c>
      <c r="O549" t="s">
        <v>29</v>
      </c>
      <c r="P549" s="3">
        <v>0.06</v>
      </c>
      <c r="Q549" s="2">
        <v>70.105199999999996</v>
      </c>
      <c r="R549">
        <v>2</v>
      </c>
      <c r="S549" t="str">
        <f t="shared" si="8"/>
        <v>Outubro</v>
      </c>
    </row>
    <row r="550" spans="1:19">
      <c r="A550">
        <v>549</v>
      </c>
      <c r="B550" s="1">
        <v>44125</v>
      </c>
      <c r="C550">
        <v>42</v>
      </c>
      <c r="D550" t="s">
        <v>92</v>
      </c>
      <c r="E550" t="s">
        <v>41</v>
      </c>
      <c r="F550">
        <v>36</v>
      </c>
      <c r="G550" s="2">
        <v>117</v>
      </c>
      <c r="H550" s="2">
        <v>4212</v>
      </c>
      <c r="I550" s="4">
        <v>0.14000000000000001</v>
      </c>
      <c r="J550" s="2">
        <v>3622.3199999999997</v>
      </c>
      <c r="K550" s="1">
        <v>44126</v>
      </c>
      <c r="L550" s="1">
        <v>44126</v>
      </c>
      <c r="M550">
        <v>549</v>
      </c>
      <c r="N550">
        <v>1</v>
      </c>
      <c r="O550" t="s">
        <v>32</v>
      </c>
      <c r="P550" s="3">
        <v>7.0000000000000007E-2</v>
      </c>
      <c r="Q550" s="2">
        <v>253.5624</v>
      </c>
      <c r="R550">
        <v>3</v>
      </c>
      <c r="S550" t="str">
        <f t="shared" si="8"/>
        <v>Outubro</v>
      </c>
    </row>
    <row r="551" spans="1:19">
      <c r="A551">
        <v>550</v>
      </c>
      <c r="B551" s="1">
        <v>44125</v>
      </c>
      <c r="C551">
        <v>81</v>
      </c>
      <c r="D551" t="s">
        <v>103</v>
      </c>
      <c r="E551" t="s">
        <v>54</v>
      </c>
      <c r="F551">
        <v>26</v>
      </c>
      <c r="G551" s="2">
        <v>98</v>
      </c>
      <c r="H551" s="2">
        <v>2548</v>
      </c>
      <c r="I551" s="4">
        <v>0.14000000000000001</v>
      </c>
      <c r="J551" s="2">
        <v>2191.2799999999997</v>
      </c>
      <c r="K551" s="1">
        <v>44136</v>
      </c>
      <c r="L551" s="1">
        <v>44136</v>
      </c>
      <c r="M551">
        <v>550</v>
      </c>
      <c r="N551">
        <v>5</v>
      </c>
      <c r="O551" t="s">
        <v>37</v>
      </c>
      <c r="P551" s="3">
        <v>0.09</v>
      </c>
      <c r="Q551" s="2">
        <v>197.21519999999998</v>
      </c>
      <c r="R551">
        <v>4</v>
      </c>
      <c r="S551" t="str">
        <f t="shared" si="8"/>
        <v>Outubro</v>
      </c>
    </row>
    <row r="552" spans="1:19">
      <c r="A552">
        <v>551</v>
      </c>
      <c r="B552" s="1">
        <v>44129</v>
      </c>
      <c r="C552">
        <v>42</v>
      </c>
      <c r="D552" t="s">
        <v>92</v>
      </c>
      <c r="E552" t="s">
        <v>50</v>
      </c>
      <c r="F552">
        <v>24</v>
      </c>
      <c r="G552" s="2">
        <v>104</v>
      </c>
      <c r="H552" s="2">
        <v>2496</v>
      </c>
      <c r="I552" s="4">
        <v>0.11</v>
      </c>
      <c r="J552" s="2">
        <v>2221.44</v>
      </c>
      <c r="K552" s="1">
        <v>44143</v>
      </c>
      <c r="L552" s="1">
        <v>44143</v>
      </c>
      <c r="M552">
        <v>551</v>
      </c>
      <c r="N552">
        <v>4</v>
      </c>
      <c r="O552" t="s">
        <v>52</v>
      </c>
      <c r="P552" s="3">
        <v>0.1</v>
      </c>
      <c r="Q552" s="2">
        <v>222.14400000000001</v>
      </c>
      <c r="R552">
        <v>5</v>
      </c>
      <c r="S552" t="str">
        <f t="shared" si="8"/>
        <v>Outubro</v>
      </c>
    </row>
    <row r="553" spans="1:19">
      <c r="A553">
        <v>552</v>
      </c>
      <c r="B553" s="1">
        <v>44130</v>
      </c>
      <c r="C553">
        <v>35</v>
      </c>
      <c r="D553" t="s">
        <v>38</v>
      </c>
      <c r="E553" t="s">
        <v>24</v>
      </c>
      <c r="F553">
        <v>41</v>
      </c>
      <c r="G553" s="2">
        <v>120</v>
      </c>
      <c r="H553" s="2">
        <v>4920</v>
      </c>
      <c r="I553" s="4">
        <v>0.04</v>
      </c>
      <c r="J553" s="2">
        <v>4723.2</v>
      </c>
      <c r="K553" s="1">
        <v>44146</v>
      </c>
      <c r="L553" s="1">
        <v>44146</v>
      </c>
      <c r="M553">
        <v>552</v>
      </c>
      <c r="N553">
        <v>5</v>
      </c>
      <c r="O553" t="s">
        <v>69</v>
      </c>
      <c r="P553" s="3">
        <v>0.06</v>
      </c>
      <c r="Q553" s="2">
        <v>283.392</v>
      </c>
      <c r="R553">
        <v>6</v>
      </c>
      <c r="S553" t="str">
        <f t="shared" si="8"/>
        <v>Outubro</v>
      </c>
    </row>
    <row r="554" spans="1:19">
      <c r="A554">
        <v>553</v>
      </c>
      <c r="B554" s="1">
        <v>44130</v>
      </c>
      <c r="C554">
        <v>32</v>
      </c>
      <c r="D554" t="s">
        <v>77</v>
      </c>
      <c r="E554" t="s">
        <v>50</v>
      </c>
      <c r="F554">
        <v>15</v>
      </c>
      <c r="G554" s="2">
        <v>114</v>
      </c>
      <c r="H554" s="2">
        <v>1710</v>
      </c>
      <c r="I554" s="4">
        <v>0.06</v>
      </c>
      <c r="J554" s="2">
        <v>1607.4</v>
      </c>
      <c r="K554" s="1">
        <v>44155</v>
      </c>
      <c r="L554" s="1">
        <v>44155</v>
      </c>
      <c r="M554">
        <v>553</v>
      </c>
      <c r="N554">
        <v>7</v>
      </c>
      <c r="O554" t="s">
        <v>52</v>
      </c>
      <c r="P554" s="3">
        <v>0.08</v>
      </c>
      <c r="Q554" s="2">
        <v>128.59200000000001</v>
      </c>
      <c r="R554">
        <v>7</v>
      </c>
      <c r="S554" t="str">
        <f t="shared" si="8"/>
        <v>Outubro</v>
      </c>
    </row>
    <row r="555" spans="1:19">
      <c r="A555">
        <v>554</v>
      </c>
      <c r="B555" s="1">
        <v>44131</v>
      </c>
      <c r="C555">
        <v>73</v>
      </c>
      <c r="D555" t="s">
        <v>38</v>
      </c>
      <c r="E555" t="s">
        <v>31</v>
      </c>
      <c r="F555">
        <v>14</v>
      </c>
      <c r="G555" s="2">
        <v>94</v>
      </c>
      <c r="H555" s="2">
        <v>1316</v>
      </c>
      <c r="I555" s="4">
        <v>0.03</v>
      </c>
      <c r="J555" s="2">
        <v>1276.52</v>
      </c>
      <c r="K555" s="1">
        <v>44150</v>
      </c>
      <c r="L555" s="1">
        <v>44150</v>
      </c>
      <c r="M555">
        <v>554</v>
      </c>
      <c r="N555">
        <v>2</v>
      </c>
      <c r="O555" t="s">
        <v>43</v>
      </c>
      <c r="P555" s="3">
        <v>0.05</v>
      </c>
      <c r="Q555" s="2">
        <v>63.826000000000001</v>
      </c>
      <c r="R555">
        <v>1</v>
      </c>
      <c r="S555" t="str">
        <f t="shared" si="8"/>
        <v>Outubro</v>
      </c>
    </row>
    <row r="556" spans="1:19">
      <c r="A556">
        <v>555</v>
      </c>
      <c r="B556" s="1">
        <v>44131</v>
      </c>
      <c r="C556">
        <v>18</v>
      </c>
      <c r="D556" t="s">
        <v>83</v>
      </c>
      <c r="E556" t="s">
        <v>50</v>
      </c>
      <c r="F556">
        <v>25</v>
      </c>
      <c r="G556" s="2">
        <v>98</v>
      </c>
      <c r="H556" s="2">
        <v>2450</v>
      </c>
      <c r="I556" s="4">
        <v>0.1</v>
      </c>
      <c r="J556" s="2">
        <v>2205</v>
      </c>
      <c r="K556" s="1">
        <v>44140</v>
      </c>
      <c r="L556" s="1">
        <v>44140</v>
      </c>
      <c r="M556">
        <v>555</v>
      </c>
      <c r="N556">
        <v>7</v>
      </c>
      <c r="O556" t="s">
        <v>34</v>
      </c>
      <c r="P556" s="3">
        <v>0.09</v>
      </c>
      <c r="Q556" s="2">
        <v>198.45</v>
      </c>
      <c r="R556">
        <v>2</v>
      </c>
      <c r="S556" t="str">
        <f t="shared" si="8"/>
        <v>Outubro</v>
      </c>
    </row>
    <row r="557" spans="1:19">
      <c r="A557">
        <v>556</v>
      </c>
      <c r="B557" s="1">
        <v>44132</v>
      </c>
      <c r="C557">
        <v>27</v>
      </c>
      <c r="D557" t="s">
        <v>101</v>
      </c>
      <c r="E557" t="s">
        <v>28</v>
      </c>
      <c r="F557">
        <v>43</v>
      </c>
      <c r="G557" s="2">
        <v>101</v>
      </c>
      <c r="H557" s="2">
        <v>4343</v>
      </c>
      <c r="I557" s="4">
        <v>0.13</v>
      </c>
      <c r="J557" s="2">
        <v>3778.41</v>
      </c>
      <c r="K557" s="1">
        <v>44152</v>
      </c>
      <c r="L557" s="1">
        <v>44152</v>
      </c>
      <c r="M557">
        <v>556</v>
      </c>
      <c r="N557">
        <v>2</v>
      </c>
      <c r="O557" t="s">
        <v>43</v>
      </c>
      <c r="P557" s="3">
        <v>0.1</v>
      </c>
      <c r="Q557" s="2">
        <v>377.84100000000001</v>
      </c>
      <c r="R557">
        <v>3</v>
      </c>
      <c r="S557" t="str">
        <f t="shared" si="8"/>
        <v>Outubro</v>
      </c>
    </row>
    <row r="558" spans="1:19">
      <c r="A558">
        <v>557</v>
      </c>
      <c r="B558" s="1">
        <v>44133</v>
      </c>
      <c r="C558">
        <v>86</v>
      </c>
      <c r="D558" t="s">
        <v>90</v>
      </c>
      <c r="E558" t="s">
        <v>21</v>
      </c>
      <c r="F558">
        <v>45</v>
      </c>
      <c r="G558" s="2">
        <v>108</v>
      </c>
      <c r="H558" s="2">
        <v>4860</v>
      </c>
      <c r="I558" s="4">
        <v>0.06</v>
      </c>
      <c r="J558" s="2">
        <v>4568.3999999999996</v>
      </c>
      <c r="K558" s="1">
        <v>44138</v>
      </c>
      <c r="L558" s="1">
        <v>44138</v>
      </c>
      <c r="M558">
        <v>557</v>
      </c>
      <c r="N558">
        <v>3</v>
      </c>
      <c r="O558" t="s">
        <v>22</v>
      </c>
      <c r="P558" s="3">
        <v>0.1</v>
      </c>
      <c r="Q558" s="2">
        <v>456.84</v>
      </c>
      <c r="R558">
        <v>4</v>
      </c>
      <c r="S558" t="str">
        <f t="shared" si="8"/>
        <v>Outubro</v>
      </c>
    </row>
    <row r="559" spans="1:19">
      <c r="A559">
        <v>558</v>
      </c>
      <c r="B559" s="1">
        <v>44133</v>
      </c>
      <c r="C559">
        <v>18</v>
      </c>
      <c r="D559" t="s">
        <v>83</v>
      </c>
      <c r="E559" t="s">
        <v>50</v>
      </c>
      <c r="F559">
        <v>38</v>
      </c>
      <c r="G559" s="2">
        <v>97</v>
      </c>
      <c r="H559" s="2">
        <v>3686</v>
      </c>
      <c r="I559" s="4">
        <v>0.09</v>
      </c>
      <c r="J559" s="2">
        <v>3354.26</v>
      </c>
      <c r="K559" s="1">
        <v>44144</v>
      </c>
      <c r="L559" s="1">
        <v>44144</v>
      </c>
      <c r="M559">
        <v>558</v>
      </c>
      <c r="N559">
        <v>7</v>
      </c>
      <c r="O559" t="s">
        <v>43</v>
      </c>
      <c r="P559" s="3">
        <v>7.0000000000000007E-2</v>
      </c>
      <c r="Q559" s="2">
        <v>234.79820000000004</v>
      </c>
      <c r="R559">
        <v>5</v>
      </c>
      <c r="S559" t="str">
        <f t="shared" si="8"/>
        <v>Outubro</v>
      </c>
    </row>
    <row r="560" spans="1:19">
      <c r="A560">
        <v>559</v>
      </c>
      <c r="B560" s="1">
        <v>44133</v>
      </c>
      <c r="C560">
        <v>73</v>
      </c>
      <c r="D560" t="s">
        <v>38</v>
      </c>
      <c r="E560" t="s">
        <v>59</v>
      </c>
      <c r="F560">
        <v>31</v>
      </c>
      <c r="G560" s="2">
        <v>113</v>
      </c>
      <c r="H560" s="2">
        <v>3503</v>
      </c>
      <c r="I560" s="4">
        <v>0</v>
      </c>
      <c r="J560" s="2">
        <v>3503</v>
      </c>
      <c r="K560" s="1">
        <v>44158</v>
      </c>
      <c r="L560" s="1">
        <v>44158</v>
      </c>
      <c r="M560">
        <v>559</v>
      </c>
      <c r="N560">
        <v>3</v>
      </c>
      <c r="O560" t="s">
        <v>29</v>
      </c>
      <c r="P560" s="3">
        <v>0.08</v>
      </c>
      <c r="Q560" s="2">
        <v>280.24</v>
      </c>
      <c r="R560">
        <v>6</v>
      </c>
      <c r="S560" t="str">
        <f t="shared" si="8"/>
        <v>Outubro</v>
      </c>
    </row>
    <row r="561" spans="1:19">
      <c r="A561">
        <v>560</v>
      </c>
      <c r="B561" s="1">
        <v>44134</v>
      </c>
      <c r="C561">
        <v>83</v>
      </c>
      <c r="D561" t="s">
        <v>100</v>
      </c>
      <c r="E561" t="s">
        <v>21</v>
      </c>
      <c r="F561">
        <v>12</v>
      </c>
      <c r="G561" s="2">
        <v>114</v>
      </c>
      <c r="H561" s="2">
        <v>1368</v>
      </c>
      <c r="I561" s="4">
        <v>0.08</v>
      </c>
      <c r="J561" s="2">
        <v>1258.56</v>
      </c>
      <c r="K561" s="1">
        <v>44161</v>
      </c>
      <c r="L561" s="1">
        <v>44161</v>
      </c>
      <c r="M561">
        <v>560</v>
      </c>
      <c r="N561">
        <v>1</v>
      </c>
      <c r="O561" t="s">
        <v>34</v>
      </c>
      <c r="P561" s="3">
        <v>7.0000000000000007E-2</v>
      </c>
      <c r="Q561" s="2">
        <v>88.09920000000001</v>
      </c>
      <c r="R561">
        <v>7</v>
      </c>
      <c r="S561" t="str">
        <f t="shared" si="8"/>
        <v>Outubro</v>
      </c>
    </row>
    <row r="562" spans="1:19">
      <c r="A562">
        <v>561</v>
      </c>
      <c r="B562" s="1">
        <v>44134</v>
      </c>
      <c r="C562">
        <v>93</v>
      </c>
      <c r="D562" t="s">
        <v>33</v>
      </c>
      <c r="E562" t="s">
        <v>31</v>
      </c>
      <c r="F562">
        <v>40</v>
      </c>
      <c r="G562" s="2">
        <v>92</v>
      </c>
      <c r="H562" s="2">
        <v>3680</v>
      </c>
      <c r="I562" s="4">
        <v>0.13</v>
      </c>
      <c r="J562" s="2">
        <v>3201.6</v>
      </c>
      <c r="K562" s="1">
        <v>44148</v>
      </c>
      <c r="L562" s="1">
        <v>44148</v>
      </c>
      <c r="M562">
        <v>561</v>
      </c>
      <c r="N562">
        <v>5</v>
      </c>
      <c r="O562" t="s">
        <v>69</v>
      </c>
      <c r="P562" s="3">
        <v>0.1</v>
      </c>
      <c r="Q562" s="2">
        <v>320.16000000000003</v>
      </c>
      <c r="R562">
        <v>1</v>
      </c>
      <c r="S562" t="str">
        <f t="shared" si="8"/>
        <v>Outubro</v>
      </c>
    </row>
    <row r="563" spans="1:19">
      <c r="A563">
        <v>562</v>
      </c>
      <c r="B563" s="1">
        <v>44136</v>
      </c>
      <c r="C563">
        <v>97</v>
      </c>
      <c r="D563" t="s">
        <v>66</v>
      </c>
      <c r="E563" t="s">
        <v>31</v>
      </c>
      <c r="F563">
        <v>26</v>
      </c>
      <c r="G563" s="2">
        <v>115</v>
      </c>
      <c r="H563" s="2">
        <v>2990</v>
      </c>
      <c r="I563" s="4">
        <v>0.12</v>
      </c>
      <c r="J563" s="2">
        <v>2631.2</v>
      </c>
      <c r="K563" s="1">
        <v>44162</v>
      </c>
      <c r="L563" s="1">
        <v>44162</v>
      </c>
      <c r="M563">
        <v>562</v>
      </c>
      <c r="N563">
        <v>2</v>
      </c>
      <c r="O563" t="s">
        <v>32</v>
      </c>
      <c r="P563" s="3">
        <v>0.06</v>
      </c>
      <c r="Q563" s="2">
        <v>157.87199999999999</v>
      </c>
      <c r="R563">
        <v>2</v>
      </c>
      <c r="S563" t="str">
        <f t="shared" si="8"/>
        <v>Novembro</v>
      </c>
    </row>
    <row r="564" spans="1:19">
      <c r="A564">
        <v>563</v>
      </c>
      <c r="B564" s="1">
        <v>44137</v>
      </c>
      <c r="C564">
        <v>57</v>
      </c>
      <c r="D564" t="s">
        <v>89</v>
      </c>
      <c r="E564" t="s">
        <v>24</v>
      </c>
      <c r="F564">
        <v>20</v>
      </c>
      <c r="G564" s="2">
        <v>94</v>
      </c>
      <c r="H564" s="2">
        <v>1880</v>
      </c>
      <c r="I564" s="4">
        <v>0.04</v>
      </c>
      <c r="J564" s="2">
        <v>1804.8</v>
      </c>
      <c r="K564" s="1">
        <v>44151</v>
      </c>
      <c r="L564" s="1">
        <v>44151</v>
      </c>
      <c r="M564">
        <v>563</v>
      </c>
      <c r="N564">
        <v>5</v>
      </c>
      <c r="O564" t="s">
        <v>22</v>
      </c>
      <c r="P564" s="3">
        <v>0.1</v>
      </c>
      <c r="Q564" s="2">
        <v>180.48000000000002</v>
      </c>
      <c r="R564">
        <v>3</v>
      </c>
      <c r="S564" t="str">
        <f t="shared" si="8"/>
        <v>Novembro</v>
      </c>
    </row>
    <row r="565" spans="1:19">
      <c r="A565">
        <v>564</v>
      </c>
      <c r="B565" s="1">
        <v>44138</v>
      </c>
      <c r="C565">
        <v>24</v>
      </c>
      <c r="D565" t="s">
        <v>74</v>
      </c>
      <c r="E565" t="s">
        <v>24</v>
      </c>
      <c r="F565">
        <v>42</v>
      </c>
      <c r="G565" s="2">
        <v>101</v>
      </c>
      <c r="H565" s="2">
        <v>4242</v>
      </c>
      <c r="I565" s="4">
        <v>0.08</v>
      </c>
      <c r="J565" s="2">
        <v>3902.64</v>
      </c>
      <c r="K565" s="1">
        <v>44166</v>
      </c>
      <c r="L565" s="1">
        <v>44166</v>
      </c>
      <c r="M565">
        <v>564</v>
      </c>
      <c r="N565">
        <v>2</v>
      </c>
      <c r="O565" t="s">
        <v>34</v>
      </c>
      <c r="P565" s="3">
        <v>7.0000000000000007E-2</v>
      </c>
      <c r="Q565" s="2">
        <v>273.1848</v>
      </c>
      <c r="R565">
        <v>4</v>
      </c>
      <c r="S565" t="str">
        <f t="shared" si="8"/>
        <v>Novembro</v>
      </c>
    </row>
    <row r="566" spans="1:19">
      <c r="A566">
        <v>565</v>
      </c>
      <c r="B566" s="1">
        <v>44138</v>
      </c>
      <c r="C566">
        <v>34</v>
      </c>
      <c r="D566" t="s">
        <v>58</v>
      </c>
      <c r="E566" t="s">
        <v>46</v>
      </c>
      <c r="F566">
        <v>24</v>
      </c>
      <c r="G566" s="2">
        <v>117</v>
      </c>
      <c r="H566" s="2">
        <v>2808</v>
      </c>
      <c r="I566" s="4">
        <v>0.14000000000000001</v>
      </c>
      <c r="J566" s="2">
        <v>2414.88</v>
      </c>
      <c r="K566" s="1">
        <v>44165</v>
      </c>
      <c r="L566" s="1">
        <v>44165</v>
      </c>
      <c r="M566">
        <v>565</v>
      </c>
      <c r="N566">
        <v>6</v>
      </c>
      <c r="O566" t="s">
        <v>47</v>
      </c>
      <c r="P566" s="3">
        <v>0.1</v>
      </c>
      <c r="Q566" s="2">
        <v>241.48800000000003</v>
      </c>
      <c r="R566">
        <v>5</v>
      </c>
      <c r="S566" t="str">
        <f t="shared" si="8"/>
        <v>Novembro</v>
      </c>
    </row>
    <row r="567" spans="1:19">
      <c r="A567">
        <v>566</v>
      </c>
      <c r="B567" s="1">
        <v>44138</v>
      </c>
      <c r="C567">
        <v>92</v>
      </c>
      <c r="D567" t="s">
        <v>26</v>
      </c>
      <c r="E567" t="s">
        <v>46</v>
      </c>
      <c r="F567">
        <v>15</v>
      </c>
      <c r="G567" s="2">
        <v>116</v>
      </c>
      <c r="H567" s="2">
        <v>1740</v>
      </c>
      <c r="I567" s="4">
        <v>0.01</v>
      </c>
      <c r="J567" s="2">
        <v>1722.6</v>
      </c>
      <c r="K567" s="1">
        <v>44152</v>
      </c>
      <c r="L567" s="1">
        <v>44152</v>
      </c>
      <c r="M567">
        <v>566</v>
      </c>
      <c r="N567">
        <v>6</v>
      </c>
      <c r="O567" t="s">
        <v>43</v>
      </c>
      <c r="P567" s="3">
        <v>0.08</v>
      </c>
      <c r="Q567" s="2">
        <v>137.80799999999999</v>
      </c>
      <c r="R567">
        <v>6</v>
      </c>
      <c r="S567" t="str">
        <f t="shared" si="8"/>
        <v>Novembro</v>
      </c>
    </row>
    <row r="568" spans="1:19">
      <c r="A568">
        <v>567</v>
      </c>
      <c r="B568" s="1">
        <v>44138</v>
      </c>
      <c r="C568">
        <v>25</v>
      </c>
      <c r="D568" t="s">
        <v>63</v>
      </c>
      <c r="E568" t="s">
        <v>24</v>
      </c>
      <c r="F568">
        <v>37</v>
      </c>
      <c r="G568" s="2">
        <v>95</v>
      </c>
      <c r="H568" s="2">
        <v>3515</v>
      </c>
      <c r="I568" s="4">
        <v>0.05</v>
      </c>
      <c r="J568" s="2">
        <v>3339.25</v>
      </c>
      <c r="K568" s="1">
        <v>44164</v>
      </c>
      <c r="L568" s="1">
        <v>44164</v>
      </c>
      <c r="M568">
        <v>567</v>
      </c>
      <c r="N568">
        <v>2</v>
      </c>
      <c r="O568" t="s">
        <v>69</v>
      </c>
      <c r="P568" s="3">
        <v>0.1</v>
      </c>
      <c r="Q568" s="2">
        <v>333.92500000000001</v>
      </c>
      <c r="R568">
        <v>7</v>
      </c>
      <c r="S568" t="str">
        <f t="shared" si="8"/>
        <v>Novembro</v>
      </c>
    </row>
    <row r="569" spans="1:19">
      <c r="A569">
        <v>568</v>
      </c>
      <c r="B569" s="1">
        <v>44139</v>
      </c>
      <c r="C569">
        <v>87</v>
      </c>
      <c r="D569" t="s">
        <v>40</v>
      </c>
      <c r="E569" t="s">
        <v>55</v>
      </c>
      <c r="F569">
        <v>19</v>
      </c>
      <c r="G569" s="2">
        <v>103</v>
      </c>
      <c r="H569" s="2">
        <v>1957</v>
      </c>
      <c r="I569" s="4">
        <v>0.08</v>
      </c>
      <c r="J569" s="2">
        <v>1800.44</v>
      </c>
      <c r="K569" s="1">
        <v>44140</v>
      </c>
      <c r="L569" s="1">
        <v>44140</v>
      </c>
      <c r="M569">
        <v>568</v>
      </c>
      <c r="N569">
        <v>5</v>
      </c>
      <c r="O569" t="s">
        <v>43</v>
      </c>
      <c r="P569" s="3">
        <v>0.09</v>
      </c>
      <c r="Q569" s="2">
        <v>162.03960000000001</v>
      </c>
      <c r="R569">
        <v>1</v>
      </c>
      <c r="S569" t="str">
        <f t="shared" si="8"/>
        <v>Novembro</v>
      </c>
    </row>
    <row r="570" spans="1:19">
      <c r="A570">
        <v>569</v>
      </c>
      <c r="B570" s="1">
        <v>44139</v>
      </c>
      <c r="C570">
        <v>68</v>
      </c>
      <c r="D570" t="s">
        <v>49</v>
      </c>
      <c r="E570" t="s">
        <v>50</v>
      </c>
      <c r="F570">
        <v>46</v>
      </c>
      <c r="G570" s="2">
        <v>102</v>
      </c>
      <c r="H570" s="2">
        <v>4692</v>
      </c>
      <c r="I570" s="4">
        <v>0.09</v>
      </c>
      <c r="J570" s="2">
        <v>4269.72</v>
      </c>
      <c r="K570" s="1">
        <v>44158</v>
      </c>
      <c r="L570" s="1">
        <v>44158</v>
      </c>
      <c r="M570">
        <v>569</v>
      </c>
      <c r="N570">
        <v>5</v>
      </c>
      <c r="O570" t="s">
        <v>47</v>
      </c>
      <c r="P570" s="3">
        <v>0.06</v>
      </c>
      <c r="Q570" s="2">
        <v>256.1832</v>
      </c>
      <c r="R570">
        <v>2</v>
      </c>
      <c r="S570" t="str">
        <f t="shared" si="8"/>
        <v>Novembro</v>
      </c>
    </row>
    <row r="571" spans="1:19">
      <c r="A571">
        <v>570</v>
      </c>
      <c r="B571" s="1">
        <v>44140</v>
      </c>
      <c r="C571">
        <v>59</v>
      </c>
      <c r="D571" t="s">
        <v>97</v>
      </c>
      <c r="E571" t="s">
        <v>41</v>
      </c>
      <c r="F571">
        <v>45</v>
      </c>
      <c r="G571" s="2">
        <v>98</v>
      </c>
      <c r="H571" s="2">
        <v>4410</v>
      </c>
      <c r="I571" s="4">
        <v>0.08</v>
      </c>
      <c r="J571" s="2">
        <v>4057.2</v>
      </c>
      <c r="K571" s="1">
        <v>44167</v>
      </c>
      <c r="L571" s="1">
        <v>44167</v>
      </c>
      <c r="M571">
        <v>570</v>
      </c>
      <c r="N571">
        <v>4</v>
      </c>
      <c r="O571" t="s">
        <v>25</v>
      </c>
      <c r="P571" s="3">
        <v>7.0000000000000007E-2</v>
      </c>
      <c r="Q571" s="2">
        <v>284.00400000000002</v>
      </c>
      <c r="R571">
        <v>3</v>
      </c>
      <c r="S571" t="str">
        <f t="shared" si="8"/>
        <v>Novembro</v>
      </c>
    </row>
    <row r="572" spans="1:19">
      <c r="A572">
        <v>571</v>
      </c>
      <c r="B572" s="1">
        <v>44141</v>
      </c>
      <c r="C572">
        <v>38</v>
      </c>
      <c r="D572" t="s">
        <v>73</v>
      </c>
      <c r="E572" t="s">
        <v>59</v>
      </c>
      <c r="F572">
        <v>40</v>
      </c>
      <c r="G572" s="2">
        <v>112</v>
      </c>
      <c r="H572" s="2">
        <v>4480</v>
      </c>
      <c r="I572" s="4">
        <v>0.01</v>
      </c>
      <c r="J572" s="2">
        <v>4435.2</v>
      </c>
      <c r="K572" s="1">
        <v>44161</v>
      </c>
      <c r="L572" s="1">
        <v>44161</v>
      </c>
      <c r="M572">
        <v>571</v>
      </c>
      <c r="N572">
        <v>7</v>
      </c>
      <c r="O572" t="s">
        <v>22</v>
      </c>
      <c r="P572" s="3">
        <v>0.05</v>
      </c>
      <c r="Q572" s="2">
        <v>221.76</v>
      </c>
      <c r="R572">
        <v>4</v>
      </c>
      <c r="S572" t="str">
        <f t="shared" si="8"/>
        <v>Novembro</v>
      </c>
    </row>
    <row r="573" spans="1:19">
      <c r="A573">
        <v>572</v>
      </c>
      <c r="B573" s="1">
        <v>44142</v>
      </c>
      <c r="C573">
        <v>94</v>
      </c>
      <c r="D573" t="s">
        <v>49</v>
      </c>
      <c r="E573" t="s">
        <v>50</v>
      </c>
      <c r="F573">
        <v>38</v>
      </c>
      <c r="G573" s="2">
        <v>99</v>
      </c>
      <c r="H573" s="2">
        <v>3762</v>
      </c>
      <c r="I573" s="4">
        <v>0</v>
      </c>
      <c r="J573" s="2">
        <v>3762</v>
      </c>
      <c r="K573" s="1">
        <v>44162</v>
      </c>
      <c r="L573" s="1">
        <v>44162</v>
      </c>
      <c r="M573">
        <v>572</v>
      </c>
      <c r="N573">
        <v>6</v>
      </c>
      <c r="O573" t="s">
        <v>37</v>
      </c>
      <c r="P573" s="3">
        <v>0.09</v>
      </c>
      <c r="Q573" s="2">
        <v>338.58</v>
      </c>
      <c r="R573">
        <v>5</v>
      </c>
      <c r="S573" t="str">
        <f t="shared" si="8"/>
        <v>Novembro</v>
      </c>
    </row>
    <row r="574" spans="1:19">
      <c r="A574">
        <v>573</v>
      </c>
      <c r="B574" s="1">
        <v>44143</v>
      </c>
      <c r="C574">
        <v>17</v>
      </c>
      <c r="D574" t="s">
        <v>67</v>
      </c>
      <c r="E574" t="s">
        <v>31</v>
      </c>
      <c r="F574">
        <v>32</v>
      </c>
      <c r="G574" s="2">
        <v>99</v>
      </c>
      <c r="H574" s="2">
        <v>3168</v>
      </c>
      <c r="I574" s="4">
        <v>0.02</v>
      </c>
      <c r="J574" s="2">
        <v>3104.64</v>
      </c>
      <c r="K574" s="1">
        <v>44162</v>
      </c>
      <c r="L574" s="1">
        <v>44162</v>
      </c>
      <c r="M574">
        <v>573</v>
      </c>
      <c r="N574">
        <v>6</v>
      </c>
      <c r="O574" t="s">
        <v>34</v>
      </c>
      <c r="P574" s="3">
        <v>0.09</v>
      </c>
      <c r="Q574" s="2">
        <v>279.41759999999999</v>
      </c>
      <c r="R574">
        <v>6</v>
      </c>
      <c r="S574" t="str">
        <f t="shared" si="8"/>
        <v>Novembro</v>
      </c>
    </row>
    <row r="575" spans="1:19">
      <c r="A575">
        <v>574</v>
      </c>
      <c r="B575" s="1">
        <v>44143</v>
      </c>
      <c r="C575">
        <v>85</v>
      </c>
      <c r="D575" t="s">
        <v>57</v>
      </c>
      <c r="E575" t="s">
        <v>41</v>
      </c>
      <c r="F575">
        <v>31</v>
      </c>
      <c r="G575" s="2">
        <v>96</v>
      </c>
      <c r="H575" s="2">
        <v>2976</v>
      </c>
      <c r="I575" s="4">
        <v>0.1</v>
      </c>
      <c r="J575" s="2">
        <v>2678.4</v>
      </c>
      <c r="K575" s="1">
        <v>44146</v>
      </c>
      <c r="L575" s="1">
        <v>44146</v>
      </c>
      <c r="M575">
        <v>574</v>
      </c>
      <c r="N575">
        <v>5</v>
      </c>
      <c r="O575" t="s">
        <v>47</v>
      </c>
      <c r="P575" s="3">
        <v>0.05</v>
      </c>
      <c r="Q575" s="2">
        <v>133.92000000000002</v>
      </c>
      <c r="R575">
        <v>7</v>
      </c>
      <c r="S575" t="str">
        <f t="shared" si="8"/>
        <v>Novembro</v>
      </c>
    </row>
    <row r="576" spans="1:19">
      <c r="A576">
        <v>575</v>
      </c>
      <c r="B576" s="1">
        <v>44143</v>
      </c>
      <c r="C576">
        <v>68</v>
      </c>
      <c r="D576" t="s">
        <v>49</v>
      </c>
      <c r="E576" t="s">
        <v>50</v>
      </c>
      <c r="F576">
        <v>47</v>
      </c>
      <c r="G576" s="2">
        <v>103</v>
      </c>
      <c r="H576" s="2">
        <v>4841</v>
      </c>
      <c r="I576" s="4">
        <v>0.11</v>
      </c>
      <c r="J576" s="2">
        <v>4308.49</v>
      </c>
      <c r="K576" s="1">
        <v>44173</v>
      </c>
      <c r="L576" s="1">
        <v>44173</v>
      </c>
      <c r="M576">
        <v>575</v>
      </c>
      <c r="N576">
        <v>6</v>
      </c>
      <c r="O576" t="s">
        <v>69</v>
      </c>
      <c r="P576" s="3">
        <v>0.06</v>
      </c>
      <c r="Q576" s="2">
        <v>258.50939999999997</v>
      </c>
      <c r="R576">
        <v>1</v>
      </c>
      <c r="S576" t="str">
        <f t="shared" si="8"/>
        <v>Novembro</v>
      </c>
    </row>
    <row r="577" spans="1:19">
      <c r="A577">
        <v>576</v>
      </c>
      <c r="B577" s="1">
        <v>44144</v>
      </c>
      <c r="C577">
        <v>31</v>
      </c>
      <c r="D577" t="s">
        <v>85</v>
      </c>
      <c r="E577" t="s">
        <v>46</v>
      </c>
      <c r="F577">
        <v>45</v>
      </c>
      <c r="G577" s="2">
        <v>90</v>
      </c>
      <c r="H577" s="2">
        <v>4050</v>
      </c>
      <c r="I577" s="4">
        <v>0.05</v>
      </c>
      <c r="J577" s="2">
        <v>3847.5</v>
      </c>
      <c r="K577" s="1">
        <v>44158</v>
      </c>
      <c r="L577" s="1">
        <v>44158</v>
      </c>
      <c r="M577">
        <v>576</v>
      </c>
      <c r="N577">
        <v>1</v>
      </c>
      <c r="O577" t="s">
        <v>37</v>
      </c>
      <c r="P577" s="3">
        <v>0.05</v>
      </c>
      <c r="Q577" s="2">
        <v>192.375</v>
      </c>
      <c r="R577">
        <v>2</v>
      </c>
      <c r="S577" t="str">
        <f t="shared" si="8"/>
        <v>Novembro</v>
      </c>
    </row>
    <row r="578" spans="1:19">
      <c r="A578">
        <v>577</v>
      </c>
      <c r="B578" s="1">
        <v>44145</v>
      </c>
      <c r="C578">
        <v>4</v>
      </c>
      <c r="D578" t="s">
        <v>86</v>
      </c>
      <c r="E578" t="s">
        <v>28</v>
      </c>
      <c r="F578">
        <v>14</v>
      </c>
      <c r="G578" s="2">
        <v>101</v>
      </c>
      <c r="H578" s="2">
        <v>1414</v>
      </c>
      <c r="I578" s="4">
        <v>0.05</v>
      </c>
      <c r="J578" s="2">
        <v>1343.3</v>
      </c>
      <c r="K578" s="1">
        <v>44154</v>
      </c>
      <c r="L578" s="1">
        <v>44154</v>
      </c>
      <c r="M578">
        <v>577</v>
      </c>
      <c r="N578">
        <v>5</v>
      </c>
      <c r="O578" t="s">
        <v>32</v>
      </c>
      <c r="P578" s="3">
        <v>7.0000000000000007E-2</v>
      </c>
      <c r="Q578" s="2">
        <v>94.031000000000006</v>
      </c>
      <c r="R578">
        <v>3</v>
      </c>
      <c r="S578" t="str">
        <f t="shared" si="8"/>
        <v>Novembro</v>
      </c>
    </row>
    <row r="579" spans="1:19">
      <c r="A579">
        <v>578</v>
      </c>
      <c r="B579" s="1">
        <v>44145</v>
      </c>
      <c r="C579">
        <v>82</v>
      </c>
      <c r="D579" t="s">
        <v>67</v>
      </c>
      <c r="E579" t="s">
        <v>21</v>
      </c>
      <c r="F579">
        <v>25</v>
      </c>
      <c r="G579" s="2">
        <v>106</v>
      </c>
      <c r="H579" s="2">
        <v>2650</v>
      </c>
      <c r="I579" s="4">
        <v>0.14000000000000001</v>
      </c>
      <c r="J579" s="2">
        <v>2279</v>
      </c>
      <c r="K579" s="1">
        <v>44169</v>
      </c>
      <c r="L579" s="1">
        <v>44169</v>
      </c>
      <c r="M579">
        <v>578</v>
      </c>
      <c r="N579">
        <v>6</v>
      </c>
      <c r="O579" t="s">
        <v>69</v>
      </c>
      <c r="P579" s="3">
        <v>0.06</v>
      </c>
      <c r="Q579" s="2">
        <v>136.74</v>
      </c>
      <c r="R579">
        <v>4</v>
      </c>
      <c r="S579" t="str">
        <f t="shared" ref="S579:S642" si="9">PROPER(TEXT(B579,"mmmm"))</f>
        <v>Novembro</v>
      </c>
    </row>
    <row r="580" spans="1:19">
      <c r="A580">
        <v>579</v>
      </c>
      <c r="B580" s="1">
        <v>44145</v>
      </c>
      <c r="C580">
        <v>83</v>
      </c>
      <c r="D580" t="s">
        <v>100</v>
      </c>
      <c r="E580" t="s">
        <v>46</v>
      </c>
      <c r="F580">
        <v>46</v>
      </c>
      <c r="G580" s="2">
        <v>105</v>
      </c>
      <c r="H580" s="2">
        <v>4830</v>
      </c>
      <c r="I580" s="4">
        <v>0</v>
      </c>
      <c r="J580" s="2">
        <v>4830</v>
      </c>
      <c r="K580" s="1">
        <v>44165</v>
      </c>
      <c r="L580" s="1">
        <v>44165</v>
      </c>
      <c r="M580">
        <v>579</v>
      </c>
      <c r="N580">
        <v>6</v>
      </c>
      <c r="O580" t="s">
        <v>34</v>
      </c>
      <c r="P580" s="3">
        <v>0.1</v>
      </c>
      <c r="Q580" s="2">
        <v>483</v>
      </c>
      <c r="R580">
        <v>5</v>
      </c>
      <c r="S580" t="str">
        <f t="shared" si="9"/>
        <v>Novembro</v>
      </c>
    </row>
    <row r="581" spans="1:19">
      <c r="A581">
        <v>580</v>
      </c>
      <c r="B581" s="1">
        <v>44145</v>
      </c>
      <c r="C581">
        <v>83</v>
      </c>
      <c r="D581" t="s">
        <v>100</v>
      </c>
      <c r="E581" t="s">
        <v>24</v>
      </c>
      <c r="F581">
        <v>14</v>
      </c>
      <c r="G581" s="2">
        <v>117</v>
      </c>
      <c r="H581" s="2">
        <v>1638</v>
      </c>
      <c r="I581" s="4">
        <v>0.12</v>
      </c>
      <c r="J581" s="2">
        <v>1441.44</v>
      </c>
      <c r="K581" s="1">
        <v>44171</v>
      </c>
      <c r="L581" s="1">
        <v>44171</v>
      </c>
      <c r="M581">
        <v>580</v>
      </c>
      <c r="N581">
        <v>4</v>
      </c>
      <c r="O581" t="s">
        <v>29</v>
      </c>
      <c r="P581" s="3">
        <v>0.09</v>
      </c>
      <c r="Q581" s="2">
        <v>129.7296</v>
      </c>
      <c r="R581">
        <v>6</v>
      </c>
      <c r="S581" t="str">
        <f t="shared" si="9"/>
        <v>Novembro</v>
      </c>
    </row>
    <row r="582" spans="1:19">
      <c r="A582">
        <v>581</v>
      </c>
      <c r="B582" s="1">
        <v>44146</v>
      </c>
      <c r="C582">
        <v>64</v>
      </c>
      <c r="D582" t="s">
        <v>78</v>
      </c>
      <c r="E582" t="s">
        <v>41</v>
      </c>
      <c r="F582">
        <v>23</v>
      </c>
      <c r="G582" s="2">
        <v>90</v>
      </c>
      <c r="H582" s="2">
        <v>2070</v>
      </c>
      <c r="I582" s="4">
        <v>0</v>
      </c>
      <c r="J582" s="2">
        <v>2070</v>
      </c>
      <c r="K582" s="1">
        <v>44148</v>
      </c>
      <c r="L582" s="1">
        <v>44148</v>
      </c>
      <c r="M582">
        <v>581</v>
      </c>
      <c r="N582">
        <v>2</v>
      </c>
      <c r="O582" t="s">
        <v>34</v>
      </c>
      <c r="P582" s="3">
        <v>0.09</v>
      </c>
      <c r="Q582" s="2">
        <v>186.29999999999998</v>
      </c>
      <c r="R582">
        <v>7</v>
      </c>
      <c r="S582" t="str">
        <f t="shared" si="9"/>
        <v>Novembro</v>
      </c>
    </row>
    <row r="583" spans="1:19">
      <c r="A583">
        <v>582</v>
      </c>
      <c r="B583" s="1">
        <v>44146</v>
      </c>
      <c r="C583">
        <v>76</v>
      </c>
      <c r="D583" t="s">
        <v>104</v>
      </c>
      <c r="E583" t="s">
        <v>24</v>
      </c>
      <c r="F583">
        <v>24</v>
      </c>
      <c r="G583" s="2">
        <v>94</v>
      </c>
      <c r="H583" s="2">
        <v>2256</v>
      </c>
      <c r="I583" s="4">
        <v>0.14000000000000001</v>
      </c>
      <c r="J583" s="2">
        <v>1940.1599999999999</v>
      </c>
      <c r="K583" s="1">
        <v>44165</v>
      </c>
      <c r="L583" s="1">
        <v>44165</v>
      </c>
      <c r="M583">
        <v>582</v>
      </c>
      <c r="N583">
        <v>4</v>
      </c>
      <c r="O583" t="s">
        <v>43</v>
      </c>
      <c r="P583" s="3">
        <v>0.06</v>
      </c>
      <c r="Q583" s="2">
        <v>116.40959999999998</v>
      </c>
      <c r="R583">
        <v>1</v>
      </c>
      <c r="S583" t="str">
        <f t="shared" si="9"/>
        <v>Novembro</v>
      </c>
    </row>
    <row r="584" spans="1:19">
      <c r="A584">
        <v>583</v>
      </c>
      <c r="B584" s="1">
        <v>44146</v>
      </c>
      <c r="C584">
        <v>57</v>
      </c>
      <c r="D584" t="s">
        <v>89</v>
      </c>
      <c r="E584" t="s">
        <v>21</v>
      </c>
      <c r="F584">
        <v>45</v>
      </c>
      <c r="G584" s="2">
        <v>92</v>
      </c>
      <c r="H584" s="2">
        <v>4140</v>
      </c>
      <c r="I584" s="4">
        <v>0.02</v>
      </c>
      <c r="J584" s="2">
        <v>4057.2</v>
      </c>
      <c r="K584" s="1">
        <v>44151</v>
      </c>
      <c r="L584" s="1">
        <v>44151</v>
      </c>
      <c r="M584">
        <v>583</v>
      </c>
      <c r="N584">
        <v>2</v>
      </c>
      <c r="O584" t="s">
        <v>34</v>
      </c>
      <c r="P584" s="3">
        <v>7.0000000000000007E-2</v>
      </c>
      <c r="Q584" s="2">
        <v>284.00400000000002</v>
      </c>
      <c r="R584">
        <v>2</v>
      </c>
      <c r="S584" t="str">
        <f t="shared" si="9"/>
        <v>Novembro</v>
      </c>
    </row>
    <row r="585" spans="1:19">
      <c r="A585">
        <v>584</v>
      </c>
      <c r="B585" s="1">
        <v>44146</v>
      </c>
      <c r="C585">
        <v>62</v>
      </c>
      <c r="D585" t="s">
        <v>38</v>
      </c>
      <c r="E585" t="s">
        <v>24</v>
      </c>
      <c r="F585">
        <v>31</v>
      </c>
      <c r="G585" s="2">
        <v>100</v>
      </c>
      <c r="H585" s="2">
        <v>3100</v>
      </c>
      <c r="I585" s="4">
        <v>0.08</v>
      </c>
      <c r="J585" s="2">
        <v>2852</v>
      </c>
      <c r="K585" s="1">
        <v>44150</v>
      </c>
      <c r="L585" s="1">
        <v>44150</v>
      </c>
      <c r="M585">
        <v>584</v>
      </c>
      <c r="N585">
        <v>6</v>
      </c>
      <c r="O585" t="s">
        <v>47</v>
      </c>
      <c r="P585" s="3">
        <v>0.06</v>
      </c>
      <c r="Q585" s="2">
        <v>171.12</v>
      </c>
      <c r="R585">
        <v>3</v>
      </c>
      <c r="S585" t="str">
        <f t="shared" si="9"/>
        <v>Novembro</v>
      </c>
    </row>
    <row r="586" spans="1:19">
      <c r="A586">
        <v>585</v>
      </c>
      <c r="B586" s="1">
        <v>44147</v>
      </c>
      <c r="C586">
        <v>73</v>
      </c>
      <c r="D586" t="s">
        <v>38</v>
      </c>
      <c r="E586" t="s">
        <v>50</v>
      </c>
      <c r="F586">
        <v>40</v>
      </c>
      <c r="G586" s="2">
        <v>116</v>
      </c>
      <c r="H586" s="2">
        <v>4640</v>
      </c>
      <c r="I586" s="4">
        <v>0.08</v>
      </c>
      <c r="J586" s="2">
        <v>4268.8</v>
      </c>
      <c r="K586" s="1">
        <v>44168</v>
      </c>
      <c r="L586" s="1">
        <v>44168</v>
      </c>
      <c r="M586">
        <v>585</v>
      </c>
      <c r="N586">
        <v>3</v>
      </c>
      <c r="O586" t="s">
        <v>47</v>
      </c>
      <c r="P586" s="3">
        <v>7.0000000000000007E-2</v>
      </c>
      <c r="Q586" s="2">
        <v>298.81600000000003</v>
      </c>
      <c r="R586">
        <v>4</v>
      </c>
      <c r="S586" t="str">
        <f t="shared" si="9"/>
        <v>Novembro</v>
      </c>
    </row>
    <row r="587" spans="1:19">
      <c r="A587">
        <v>586</v>
      </c>
      <c r="B587" s="1">
        <v>44147</v>
      </c>
      <c r="C587">
        <v>27</v>
      </c>
      <c r="D587" t="s">
        <v>101</v>
      </c>
      <c r="E587" t="s">
        <v>31</v>
      </c>
      <c r="F587">
        <v>10</v>
      </c>
      <c r="G587" s="2">
        <v>114</v>
      </c>
      <c r="H587" s="2">
        <v>1140</v>
      </c>
      <c r="I587" s="4">
        <v>0.11</v>
      </c>
      <c r="J587" s="2">
        <v>1014.6</v>
      </c>
      <c r="K587" s="1">
        <v>44153</v>
      </c>
      <c r="L587" s="1">
        <v>44153</v>
      </c>
      <c r="M587">
        <v>586</v>
      </c>
      <c r="N587">
        <v>4</v>
      </c>
      <c r="O587" t="s">
        <v>34</v>
      </c>
      <c r="P587" s="3">
        <v>7.0000000000000007E-2</v>
      </c>
      <c r="Q587" s="2">
        <v>71.022000000000006</v>
      </c>
      <c r="R587">
        <v>5</v>
      </c>
      <c r="S587" t="str">
        <f t="shared" si="9"/>
        <v>Novembro</v>
      </c>
    </row>
    <row r="588" spans="1:19">
      <c r="A588">
        <v>587</v>
      </c>
      <c r="B588" s="1">
        <v>44147</v>
      </c>
      <c r="C588">
        <v>70</v>
      </c>
      <c r="D588" t="s">
        <v>67</v>
      </c>
      <c r="E588" t="s">
        <v>31</v>
      </c>
      <c r="F588">
        <v>22</v>
      </c>
      <c r="G588" s="2">
        <v>112</v>
      </c>
      <c r="H588" s="2">
        <v>2464</v>
      </c>
      <c r="I588" s="4">
        <v>0.02</v>
      </c>
      <c r="J588" s="2">
        <v>2414.7199999999998</v>
      </c>
      <c r="K588" s="1">
        <v>44150</v>
      </c>
      <c r="L588" s="1">
        <v>44150</v>
      </c>
      <c r="M588">
        <v>587</v>
      </c>
      <c r="N588">
        <v>6</v>
      </c>
      <c r="O588" t="s">
        <v>34</v>
      </c>
      <c r="P588" s="3">
        <v>0.1</v>
      </c>
      <c r="Q588" s="2">
        <v>241.47199999999998</v>
      </c>
      <c r="R588">
        <v>6</v>
      </c>
      <c r="S588" t="str">
        <f t="shared" si="9"/>
        <v>Novembro</v>
      </c>
    </row>
    <row r="589" spans="1:19">
      <c r="A589">
        <v>588</v>
      </c>
      <c r="B589" s="1">
        <v>44147</v>
      </c>
      <c r="C589">
        <v>39</v>
      </c>
      <c r="D589" t="s">
        <v>38</v>
      </c>
      <c r="E589" t="s">
        <v>59</v>
      </c>
      <c r="F589">
        <v>37</v>
      </c>
      <c r="G589" s="2">
        <v>116</v>
      </c>
      <c r="H589" s="2">
        <v>4292</v>
      </c>
      <c r="I589" s="4">
        <v>0.15</v>
      </c>
      <c r="J589" s="2">
        <v>3648.2</v>
      </c>
      <c r="K589" s="1">
        <v>44147</v>
      </c>
      <c r="L589" s="1">
        <v>44147</v>
      </c>
      <c r="M589">
        <v>588</v>
      </c>
      <c r="N589">
        <v>2</v>
      </c>
      <c r="O589" t="s">
        <v>43</v>
      </c>
      <c r="P589" s="3">
        <v>0.08</v>
      </c>
      <c r="Q589" s="2">
        <v>291.85599999999999</v>
      </c>
      <c r="R589">
        <v>7</v>
      </c>
      <c r="S589" t="str">
        <f t="shared" si="9"/>
        <v>Novembro</v>
      </c>
    </row>
    <row r="590" spans="1:19">
      <c r="A590">
        <v>589</v>
      </c>
      <c r="B590" s="1">
        <v>44148</v>
      </c>
      <c r="C590">
        <v>90</v>
      </c>
      <c r="D590" t="s">
        <v>60</v>
      </c>
      <c r="E590" t="s">
        <v>28</v>
      </c>
      <c r="F590">
        <v>34</v>
      </c>
      <c r="G590" s="2">
        <v>116</v>
      </c>
      <c r="H590" s="2">
        <v>3944</v>
      </c>
      <c r="I590" s="4">
        <v>0.13</v>
      </c>
      <c r="J590" s="2">
        <v>3431.2799999999997</v>
      </c>
      <c r="K590" s="1">
        <v>44156</v>
      </c>
      <c r="L590" s="1">
        <v>44156</v>
      </c>
      <c r="M590">
        <v>589</v>
      </c>
      <c r="N590">
        <v>6</v>
      </c>
      <c r="O590" t="s">
        <v>43</v>
      </c>
      <c r="P590" s="3">
        <v>0.1</v>
      </c>
      <c r="Q590" s="2">
        <v>343.12799999999999</v>
      </c>
      <c r="R590">
        <v>1</v>
      </c>
      <c r="S590" t="str">
        <f t="shared" si="9"/>
        <v>Novembro</v>
      </c>
    </row>
    <row r="591" spans="1:19">
      <c r="A591">
        <v>590</v>
      </c>
      <c r="B591" s="1">
        <v>44150</v>
      </c>
      <c r="C591">
        <v>40</v>
      </c>
      <c r="D591" t="s">
        <v>49</v>
      </c>
      <c r="E591" t="s">
        <v>46</v>
      </c>
      <c r="F591">
        <v>40</v>
      </c>
      <c r="G591" s="2">
        <v>115</v>
      </c>
      <c r="H591" s="2">
        <v>4600</v>
      </c>
      <c r="I591" s="4">
        <v>7.0000000000000007E-2</v>
      </c>
      <c r="J591" s="2">
        <v>4278</v>
      </c>
      <c r="K591" s="1">
        <v>44159</v>
      </c>
      <c r="L591" s="1">
        <v>44159</v>
      </c>
      <c r="M591">
        <v>590</v>
      </c>
      <c r="N591">
        <v>2</v>
      </c>
      <c r="O591" t="s">
        <v>37</v>
      </c>
      <c r="P591" s="3">
        <v>0.1</v>
      </c>
      <c r="Q591" s="2">
        <v>427.8</v>
      </c>
      <c r="R591">
        <v>2</v>
      </c>
      <c r="S591" t="str">
        <f t="shared" si="9"/>
        <v>Novembro</v>
      </c>
    </row>
    <row r="592" spans="1:19">
      <c r="A592">
        <v>591</v>
      </c>
      <c r="B592" s="1">
        <v>44150</v>
      </c>
      <c r="C592">
        <v>88</v>
      </c>
      <c r="D592" t="s">
        <v>38</v>
      </c>
      <c r="E592" t="s">
        <v>54</v>
      </c>
      <c r="F592">
        <v>42</v>
      </c>
      <c r="G592" s="2">
        <v>96</v>
      </c>
      <c r="H592" s="2">
        <v>4032</v>
      </c>
      <c r="I592" s="4">
        <v>0.08</v>
      </c>
      <c r="J592" s="2">
        <v>3709.44</v>
      </c>
      <c r="K592" s="1">
        <v>44165</v>
      </c>
      <c r="L592" s="1">
        <v>44165</v>
      </c>
      <c r="M592">
        <v>591</v>
      </c>
      <c r="N592">
        <v>3</v>
      </c>
      <c r="O592" t="s">
        <v>22</v>
      </c>
      <c r="P592" s="3">
        <v>0.08</v>
      </c>
      <c r="Q592" s="2">
        <v>296.7552</v>
      </c>
      <c r="R592">
        <v>3</v>
      </c>
      <c r="S592" t="str">
        <f t="shared" si="9"/>
        <v>Novembro</v>
      </c>
    </row>
    <row r="593" spans="1:19">
      <c r="A593">
        <v>592</v>
      </c>
      <c r="B593" s="1">
        <v>44153</v>
      </c>
      <c r="C593">
        <v>41</v>
      </c>
      <c r="D593" t="s">
        <v>68</v>
      </c>
      <c r="E593" t="s">
        <v>46</v>
      </c>
      <c r="F593">
        <v>47</v>
      </c>
      <c r="G593" s="2">
        <v>92</v>
      </c>
      <c r="H593" s="2">
        <v>4324</v>
      </c>
      <c r="I593" s="4">
        <v>0.15</v>
      </c>
      <c r="J593" s="2">
        <v>3675.4</v>
      </c>
      <c r="K593" s="1">
        <v>44165</v>
      </c>
      <c r="L593" s="1">
        <v>44165</v>
      </c>
      <c r="M593">
        <v>592</v>
      </c>
      <c r="N593">
        <v>5</v>
      </c>
      <c r="O593" t="s">
        <v>37</v>
      </c>
      <c r="P593" s="3">
        <v>0.1</v>
      </c>
      <c r="Q593" s="2">
        <v>367.54</v>
      </c>
      <c r="R593">
        <v>4</v>
      </c>
      <c r="S593" t="str">
        <f t="shared" si="9"/>
        <v>Novembro</v>
      </c>
    </row>
    <row r="594" spans="1:19">
      <c r="A594">
        <v>593</v>
      </c>
      <c r="B594" s="1">
        <v>44153</v>
      </c>
      <c r="C594">
        <v>92</v>
      </c>
      <c r="D594" t="s">
        <v>26</v>
      </c>
      <c r="E594" t="s">
        <v>46</v>
      </c>
      <c r="F594">
        <v>30</v>
      </c>
      <c r="G594" s="2">
        <v>116</v>
      </c>
      <c r="H594" s="2">
        <v>3480</v>
      </c>
      <c r="I594" s="4">
        <v>0.01</v>
      </c>
      <c r="J594" s="2">
        <v>3445.2</v>
      </c>
      <c r="K594" s="1">
        <v>44162</v>
      </c>
      <c r="L594" s="1">
        <v>44162</v>
      </c>
      <c r="M594">
        <v>593</v>
      </c>
      <c r="N594">
        <v>4</v>
      </c>
      <c r="O594" t="s">
        <v>25</v>
      </c>
      <c r="P594" s="3">
        <v>0.06</v>
      </c>
      <c r="Q594" s="2">
        <v>206.71199999999999</v>
      </c>
      <c r="R594">
        <v>5</v>
      </c>
      <c r="S594" t="str">
        <f t="shared" si="9"/>
        <v>Novembro</v>
      </c>
    </row>
    <row r="595" spans="1:19">
      <c r="A595">
        <v>594</v>
      </c>
      <c r="B595" s="1">
        <v>44154</v>
      </c>
      <c r="C595">
        <v>84</v>
      </c>
      <c r="D595" t="s">
        <v>44</v>
      </c>
      <c r="E595" t="s">
        <v>28</v>
      </c>
      <c r="F595">
        <v>42</v>
      </c>
      <c r="G595" s="2">
        <v>100</v>
      </c>
      <c r="H595" s="2">
        <v>4200</v>
      </c>
      <c r="I595" s="4">
        <v>0.05</v>
      </c>
      <c r="J595" s="2">
        <v>3990</v>
      </c>
      <c r="K595" s="1">
        <v>44170</v>
      </c>
      <c r="L595" s="1">
        <v>44170</v>
      </c>
      <c r="M595">
        <v>594</v>
      </c>
      <c r="N595">
        <v>7</v>
      </c>
      <c r="O595" t="s">
        <v>69</v>
      </c>
      <c r="P595" s="3">
        <v>7.0000000000000007E-2</v>
      </c>
      <c r="Q595" s="2">
        <v>279.3</v>
      </c>
      <c r="R595">
        <v>6</v>
      </c>
      <c r="S595" t="str">
        <f t="shared" si="9"/>
        <v>Novembro</v>
      </c>
    </row>
    <row r="596" spans="1:19">
      <c r="A596">
        <v>595</v>
      </c>
      <c r="B596" s="1">
        <v>44155</v>
      </c>
      <c r="C596">
        <v>8</v>
      </c>
      <c r="D596" t="s">
        <v>38</v>
      </c>
      <c r="E596" t="s">
        <v>59</v>
      </c>
      <c r="F596">
        <v>11</v>
      </c>
      <c r="G596" s="2">
        <v>118</v>
      </c>
      <c r="H596" s="2">
        <v>1298</v>
      </c>
      <c r="I596" s="4">
        <v>0.11</v>
      </c>
      <c r="J596" s="2">
        <v>1155.22</v>
      </c>
      <c r="K596" s="1">
        <v>44155</v>
      </c>
      <c r="L596" s="1">
        <v>44155</v>
      </c>
      <c r="M596">
        <v>595</v>
      </c>
      <c r="N596">
        <v>5</v>
      </c>
      <c r="O596" t="s">
        <v>34</v>
      </c>
      <c r="P596" s="3">
        <v>0.05</v>
      </c>
      <c r="Q596" s="2">
        <v>57.761000000000003</v>
      </c>
      <c r="R596">
        <v>7</v>
      </c>
      <c r="S596" t="str">
        <f t="shared" si="9"/>
        <v>Novembro</v>
      </c>
    </row>
    <row r="597" spans="1:19">
      <c r="A597">
        <v>596</v>
      </c>
      <c r="B597" s="1">
        <v>44155</v>
      </c>
      <c r="C597">
        <v>76</v>
      </c>
      <c r="D597" t="s">
        <v>104</v>
      </c>
      <c r="E597" t="s">
        <v>28</v>
      </c>
      <c r="F597">
        <v>35</v>
      </c>
      <c r="G597" s="2">
        <v>105</v>
      </c>
      <c r="H597" s="2">
        <v>3675</v>
      </c>
      <c r="I597" s="4">
        <v>0.04</v>
      </c>
      <c r="J597" s="2">
        <v>3528</v>
      </c>
      <c r="K597" s="1">
        <v>44183</v>
      </c>
      <c r="L597" s="1">
        <v>44183</v>
      </c>
      <c r="M597">
        <v>596</v>
      </c>
      <c r="N597">
        <v>4</v>
      </c>
      <c r="O597" t="s">
        <v>22</v>
      </c>
      <c r="P597" s="3">
        <v>0.05</v>
      </c>
      <c r="Q597" s="2">
        <v>176.4</v>
      </c>
      <c r="R597">
        <v>1</v>
      </c>
      <c r="S597" t="str">
        <f t="shared" si="9"/>
        <v>Novembro</v>
      </c>
    </row>
    <row r="598" spans="1:19">
      <c r="A598">
        <v>597</v>
      </c>
      <c r="B598" s="1">
        <v>44156</v>
      </c>
      <c r="C598">
        <v>29</v>
      </c>
      <c r="D598" t="s">
        <v>98</v>
      </c>
      <c r="E598" t="s">
        <v>28</v>
      </c>
      <c r="F598">
        <v>14</v>
      </c>
      <c r="G598" s="2">
        <v>120</v>
      </c>
      <c r="H598" s="2">
        <v>1680</v>
      </c>
      <c r="I598" s="4">
        <v>0.08</v>
      </c>
      <c r="J598" s="2">
        <v>1545.6</v>
      </c>
      <c r="K598" s="1">
        <v>44181</v>
      </c>
      <c r="L598" s="1">
        <v>44181</v>
      </c>
      <c r="M598">
        <v>597</v>
      </c>
      <c r="N598">
        <v>7</v>
      </c>
      <c r="O598" t="s">
        <v>32</v>
      </c>
      <c r="P598" s="3">
        <v>0.08</v>
      </c>
      <c r="Q598" s="2">
        <v>123.648</v>
      </c>
      <c r="R598">
        <v>2</v>
      </c>
      <c r="S598" t="str">
        <f t="shared" si="9"/>
        <v>Novembro</v>
      </c>
    </row>
    <row r="599" spans="1:19">
      <c r="A599">
        <v>598</v>
      </c>
      <c r="B599" s="1">
        <v>44157</v>
      </c>
      <c r="C599">
        <v>57</v>
      </c>
      <c r="D599" t="s">
        <v>89</v>
      </c>
      <c r="E599" t="s">
        <v>31</v>
      </c>
      <c r="F599">
        <v>33</v>
      </c>
      <c r="G599" s="2">
        <v>95</v>
      </c>
      <c r="H599" s="2">
        <v>3135</v>
      </c>
      <c r="I599" s="4">
        <v>0.1</v>
      </c>
      <c r="J599" s="2">
        <v>2821.5</v>
      </c>
      <c r="K599" s="1">
        <v>44173</v>
      </c>
      <c r="L599" s="1">
        <v>44173</v>
      </c>
      <c r="M599">
        <v>598</v>
      </c>
      <c r="N599">
        <v>3</v>
      </c>
      <c r="O599" t="s">
        <v>52</v>
      </c>
      <c r="P599" s="3">
        <v>0.09</v>
      </c>
      <c r="Q599" s="2">
        <v>253.935</v>
      </c>
      <c r="R599">
        <v>3</v>
      </c>
      <c r="S599" t="str">
        <f t="shared" si="9"/>
        <v>Novembro</v>
      </c>
    </row>
    <row r="600" spans="1:19">
      <c r="A600">
        <v>599</v>
      </c>
      <c r="B600" s="1">
        <v>44158</v>
      </c>
      <c r="C600">
        <v>88</v>
      </c>
      <c r="D600" t="s">
        <v>38</v>
      </c>
      <c r="E600" t="s">
        <v>41</v>
      </c>
      <c r="F600">
        <v>10</v>
      </c>
      <c r="G600" s="2">
        <v>113</v>
      </c>
      <c r="H600" s="2">
        <v>1130</v>
      </c>
      <c r="I600" s="4">
        <v>0.1</v>
      </c>
      <c r="J600" s="2">
        <v>1017</v>
      </c>
      <c r="K600" s="1">
        <v>44183</v>
      </c>
      <c r="L600" s="1">
        <v>44183</v>
      </c>
      <c r="M600">
        <v>599</v>
      </c>
      <c r="N600">
        <v>7</v>
      </c>
      <c r="O600" t="s">
        <v>29</v>
      </c>
      <c r="P600" s="3">
        <v>0.06</v>
      </c>
      <c r="Q600" s="2">
        <v>61.019999999999996</v>
      </c>
      <c r="R600">
        <v>4</v>
      </c>
      <c r="S600" t="str">
        <f t="shared" si="9"/>
        <v>Novembro</v>
      </c>
    </row>
    <row r="601" spans="1:19">
      <c r="A601">
        <v>600</v>
      </c>
      <c r="B601" s="1">
        <v>44158</v>
      </c>
      <c r="C601">
        <v>12</v>
      </c>
      <c r="D601" t="s">
        <v>45</v>
      </c>
      <c r="E601" t="s">
        <v>28</v>
      </c>
      <c r="F601">
        <v>46</v>
      </c>
      <c r="G601" s="2">
        <v>113</v>
      </c>
      <c r="H601" s="2">
        <v>5198</v>
      </c>
      <c r="I601" s="4">
        <v>0.14000000000000001</v>
      </c>
      <c r="J601" s="2">
        <v>4470.28</v>
      </c>
      <c r="K601" s="1">
        <v>44185</v>
      </c>
      <c r="L601" s="1">
        <v>44185</v>
      </c>
      <c r="M601">
        <v>600</v>
      </c>
      <c r="N601">
        <v>6</v>
      </c>
      <c r="O601" t="s">
        <v>32</v>
      </c>
      <c r="P601" s="3">
        <v>0.09</v>
      </c>
      <c r="Q601" s="2">
        <v>402.32519999999994</v>
      </c>
      <c r="R601">
        <v>5</v>
      </c>
      <c r="S601" t="str">
        <f t="shared" si="9"/>
        <v>Novembro</v>
      </c>
    </row>
    <row r="602" spans="1:19">
      <c r="A602">
        <v>601</v>
      </c>
      <c r="B602" s="1">
        <v>44159</v>
      </c>
      <c r="C602">
        <v>30</v>
      </c>
      <c r="D602" t="s">
        <v>96</v>
      </c>
      <c r="E602" t="s">
        <v>31</v>
      </c>
      <c r="F602">
        <v>15</v>
      </c>
      <c r="G602" s="2">
        <v>104</v>
      </c>
      <c r="H602" s="2">
        <v>1560</v>
      </c>
      <c r="I602" s="4">
        <v>0.08</v>
      </c>
      <c r="J602" s="2">
        <v>1435.2</v>
      </c>
      <c r="K602" s="1">
        <v>44170</v>
      </c>
      <c r="L602" s="1">
        <v>44170</v>
      </c>
      <c r="M602">
        <v>601</v>
      </c>
      <c r="N602">
        <v>4</v>
      </c>
      <c r="O602" t="s">
        <v>69</v>
      </c>
      <c r="P602" s="3">
        <v>0.08</v>
      </c>
      <c r="Q602" s="2">
        <v>114.816</v>
      </c>
      <c r="R602">
        <v>6</v>
      </c>
      <c r="S602" t="str">
        <f t="shared" si="9"/>
        <v>Novembro</v>
      </c>
    </row>
    <row r="603" spans="1:19">
      <c r="A603">
        <v>602</v>
      </c>
      <c r="B603" s="1">
        <v>44159</v>
      </c>
      <c r="C603">
        <v>92</v>
      </c>
      <c r="D603" t="s">
        <v>26</v>
      </c>
      <c r="E603" t="s">
        <v>28</v>
      </c>
      <c r="F603">
        <v>26</v>
      </c>
      <c r="G603" s="2">
        <v>120</v>
      </c>
      <c r="H603" s="2">
        <v>3120</v>
      </c>
      <c r="I603" s="4">
        <v>0</v>
      </c>
      <c r="J603" s="2">
        <v>3120</v>
      </c>
      <c r="K603" s="1">
        <v>44181</v>
      </c>
      <c r="L603" s="1">
        <v>44181</v>
      </c>
      <c r="M603">
        <v>602</v>
      </c>
      <c r="N603">
        <v>2</v>
      </c>
      <c r="O603" t="s">
        <v>34</v>
      </c>
      <c r="P603" s="3">
        <v>7.0000000000000007E-2</v>
      </c>
      <c r="Q603" s="2">
        <v>218.40000000000003</v>
      </c>
      <c r="R603">
        <v>7</v>
      </c>
      <c r="S603" t="str">
        <f t="shared" si="9"/>
        <v>Novembro</v>
      </c>
    </row>
    <row r="604" spans="1:19">
      <c r="A604">
        <v>603</v>
      </c>
      <c r="B604" s="1">
        <v>44160</v>
      </c>
      <c r="C604">
        <v>100</v>
      </c>
      <c r="D604" t="s">
        <v>38</v>
      </c>
      <c r="E604" t="s">
        <v>28</v>
      </c>
      <c r="F604">
        <v>23</v>
      </c>
      <c r="G604" s="2">
        <v>101</v>
      </c>
      <c r="H604" s="2">
        <v>2323</v>
      </c>
      <c r="I604" s="4">
        <v>0</v>
      </c>
      <c r="J604" s="2">
        <v>2323</v>
      </c>
      <c r="K604" s="1">
        <v>44179</v>
      </c>
      <c r="L604" s="1">
        <v>44179</v>
      </c>
      <c r="M604">
        <v>603</v>
      </c>
      <c r="N604">
        <v>6</v>
      </c>
      <c r="O604" t="s">
        <v>22</v>
      </c>
      <c r="P604" s="3">
        <v>0.08</v>
      </c>
      <c r="Q604" s="2">
        <v>185.84</v>
      </c>
      <c r="R604">
        <v>1</v>
      </c>
      <c r="S604" t="str">
        <f t="shared" si="9"/>
        <v>Novembro</v>
      </c>
    </row>
    <row r="605" spans="1:19">
      <c r="A605">
        <v>604</v>
      </c>
      <c r="B605" s="1">
        <v>44161</v>
      </c>
      <c r="C605">
        <v>1</v>
      </c>
      <c r="D605" t="s">
        <v>93</v>
      </c>
      <c r="E605" t="s">
        <v>41</v>
      </c>
      <c r="F605">
        <v>45</v>
      </c>
      <c r="G605" s="2">
        <v>104</v>
      </c>
      <c r="H605" s="2">
        <v>4680</v>
      </c>
      <c r="I605" s="4">
        <v>0.1</v>
      </c>
      <c r="J605" s="2">
        <v>4212</v>
      </c>
      <c r="K605" s="1">
        <v>44161</v>
      </c>
      <c r="L605" s="1">
        <v>44161</v>
      </c>
      <c r="M605">
        <v>604</v>
      </c>
      <c r="N605">
        <v>4</v>
      </c>
      <c r="O605" t="s">
        <v>32</v>
      </c>
      <c r="P605" s="3">
        <v>0.06</v>
      </c>
      <c r="Q605" s="2">
        <v>252.72</v>
      </c>
      <c r="R605">
        <v>2</v>
      </c>
      <c r="S605" t="str">
        <f t="shared" si="9"/>
        <v>Novembro</v>
      </c>
    </row>
    <row r="606" spans="1:19">
      <c r="A606">
        <v>605</v>
      </c>
      <c r="B606" s="1">
        <v>44161</v>
      </c>
      <c r="C606">
        <v>82</v>
      </c>
      <c r="D606" t="s">
        <v>67</v>
      </c>
      <c r="E606" t="s">
        <v>21</v>
      </c>
      <c r="F606">
        <v>13</v>
      </c>
      <c r="G606" s="2">
        <v>90</v>
      </c>
      <c r="H606" s="2">
        <v>1170</v>
      </c>
      <c r="I606" s="4">
        <v>0.11</v>
      </c>
      <c r="J606" s="2">
        <v>1041.3</v>
      </c>
      <c r="K606" s="1">
        <v>44161</v>
      </c>
      <c r="L606" s="1">
        <v>44161</v>
      </c>
      <c r="M606">
        <v>605</v>
      </c>
      <c r="N606">
        <v>4</v>
      </c>
      <c r="O606" t="s">
        <v>52</v>
      </c>
      <c r="P606" s="3">
        <v>7.0000000000000007E-2</v>
      </c>
      <c r="Q606" s="2">
        <v>72.891000000000005</v>
      </c>
      <c r="R606">
        <v>3</v>
      </c>
      <c r="S606" t="str">
        <f t="shared" si="9"/>
        <v>Novembro</v>
      </c>
    </row>
    <row r="607" spans="1:19">
      <c r="A607">
        <v>606</v>
      </c>
      <c r="B607" s="1">
        <v>44162</v>
      </c>
      <c r="C607">
        <v>80</v>
      </c>
      <c r="D607" t="s">
        <v>38</v>
      </c>
      <c r="E607" t="s">
        <v>21</v>
      </c>
      <c r="F607">
        <v>28</v>
      </c>
      <c r="G607" s="2">
        <v>117</v>
      </c>
      <c r="H607" s="2">
        <v>3276</v>
      </c>
      <c r="I607" s="4">
        <v>0.11</v>
      </c>
      <c r="J607" s="2">
        <v>2915.64</v>
      </c>
      <c r="K607" s="1">
        <v>44165</v>
      </c>
      <c r="L607" s="1">
        <v>44165</v>
      </c>
      <c r="M607">
        <v>606</v>
      </c>
      <c r="N607">
        <v>4</v>
      </c>
      <c r="O607" t="s">
        <v>43</v>
      </c>
      <c r="P607" s="3">
        <v>7.0000000000000007E-2</v>
      </c>
      <c r="Q607" s="2">
        <v>204.09480000000002</v>
      </c>
      <c r="R607">
        <v>4</v>
      </c>
      <c r="S607" t="str">
        <f t="shared" si="9"/>
        <v>Novembro</v>
      </c>
    </row>
    <row r="608" spans="1:19">
      <c r="A608">
        <v>607</v>
      </c>
      <c r="B608" s="1">
        <v>44162</v>
      </c>
      <c r="C608">
        <v>39</v>
      </c>
      <c r="D608" t="s">
        <v>38</v>
      </c>
      <c r="E608" t="s">
        <v>50</v>
      </c>
      <c r="F608">
        <v>21</v>
      </c>
      <c r="G608" s="2">
        <v>104</v>
      </c>
      <c r="H608" s="2">
        <v>2184</v>
      </c>
      <c r="I608" s="4">
        <v>0.14000000000000001</v>
      </c>
      <c r="J608" s="2">
        <v>1878.24</v>
      </c>
      <c r="K608" s="1">
        <v>44168</v>
      </c>
      <c r="L608" s="1">
        <v>44168</v>
      </c>
      <c r="M608">
        <v>607</v>
      </c>
      <c r="N608">
        <v>2</v>
      </c>
      <c r="O608" t="s">
        <v>69</v>
      </c>
      <c r="P608" s="3">
        <v>0.1</v>
      </c>
      <c r="Q608" s="2">
        <v>187.82400000000001</v>
      </c>
      <c r="R608">
        <v>5</v>
      </c>
      <c r="S608" t="str">
        <f t="shared" si="9"/>
        <v>Novembro</v>
      </c>
    </row>
    <row r="609" spans="1:19">
      <c r="A609">
        <v>608</v>
      </c>
      <c r="B609" s="1">
        <v>44162</v>
      </c>
      <c r="C609">
        <v>63</v>
      </c>
      <c r="D609" t="s">
        <v>80</v>
      </c>
      <c r="E609" t="s">
        <v>28</v>
      </c>
      <c r="F609">
        <v>18</v>
      </c>
      <c r="G609" s="2">
        <v>110</v>
      </c>
      <c r="H609" s="2">
        <v>1980</v>
      </c>
      <c r="I609" s="4">
        <v>0.1</v>
      </c>
      <c r="J609" s="2">
        <v>1782</v>
      </c>
      <c r="K609" s="1">
        <v>44173</v>
      </c>
      <c r="L609" s="1">
        <v>44173</v>
      </c>
      <c r="M609">
        <v>608</v>
      </c>
      <c r="N609">
        <v>5</v>
      </c>
      <c r="O609" t="s">
        <v>69</v>
      </c>
      <c r="P609" s="3">
        <v>0.1</v>
      </c>
      <c r="Q609" s="2">
        <v>178.20000000000002</v>
      </c>
      <c r="R609">
        <v>6</v>
      </c>
      <c r="S609" t="str">
        <f t="shared" si="9"/>
        <v>Novembro</v>
      </c>
    </row>
    <row r="610" spans="1:19">
      <c r="A610">
        <v>609</v>
      </c>
      <c r="B610" s="1">
        <v>44163</v>
      </c>
      <c r="C610">
        <v>34</v>
      </c>
      <c r="D610" t="s">
        <v>58</v>
      </c>
      <c r="E610" t="s">
        <v>31</v>
      </c>
      <c r="F610">
        <v>29</v>
      </c>
      <c r="G610" s="2">
        <v>103</v>
      </c>
      <c r="H610" s="2">
        <v>2987</v>
      </c>
      <c r="I610" s="4">
        <v>0.09</v>
      </c>
      <c r="J610" s="2">
        <v>2718.17</v>
      </c>
      <c r="K610" s="1">
        <v>44179</v>
      </c>
      <c r="L610" s="1">
        <v>44179</v>
      </c>
      <c r="M610">
        <v>609</v>
      </c>
      <c r="N610">
        <v>1</v>
      </c>
      <c r="O610" t="s">
        <v>47</v>
      </c>
      <c r="P610" s="3">
        <v>0.08</v>
      </c>
      <c r="Q610" s="2">
        <v>217.45360000000002</v>
      </c>
      <c r="R610">
        <v>7</v>
      </c>
      <c r="S610" t="str">
        <f t="shared" si="9"/>
        <v>Novembro</v>
      </c>
    </row>
    <row r="611" spans="1:19">
      <c r="A611">
        <v>610</v>
      </c>
      <c r="B611" s="1">
        <v>44163</v>
      </c>
      <c r="C611">
        <v>50</v>
      </c>
      <c r="D611" t="s">
        <v>81</v>
      </c>
      <c r="E611" t="s">
        <v>41</v>
      </c>
      <c r="F611">
        <v>41</v>
      </c>
      <c r="G611" s="2">
        <v>118</v>
      </c>
      <c r="H611" s="2">
        <v>4838</v>
      </c>
      <c r="I611" s="4">
        <v>0.13</v>
      </c>
      <c r="J611" s="2">
        <v>4209.0599999999995</v>
      </c>
      <c r="K611" s="1">
        <v>44183</v>
      </c>
      <c r="L611" s="1">
        <v>44183</v>
      </c>
      <c r="M611">
        <v>610</v>
      </c>
      <c r="N611">
        <v>4</v>
      </c>
      <c r="O611" t="s">
        <v>69</v>
      </c>
      <c r="P611" s="3">
        <v>0.05</v>
      </c>
      <c r="Q611" s="2">
        <v>210.45299999999997</v>
      </c>
      <c r="R611">
        <v>1</v>
      </c>
      <c r="S611" t="str">
        <f t="shared" si="9"/>
        <v>Novembro</v>
      </c>
    </row>
    <row r="612" spans="1:19">
      <c r="A612">
        <v>611</v>
      </c>
      <c r="B612" s="1">
        <v>44165</v>
      </c>
      <c r="C612">
        <v>56</v>
      </c>
      <c r="D612" t="s">
        <v>67</v>
      </c>
      <c r="E612" t="s">
        <v>54</v>
      </c>
      <c r="F612">
        <v>36</v>
      </c>
      <c r="G612" s="2">
        <v>109</v>
      </c>
      <c r="H612" s="2">
        <v>3924</v>
      </c>
      <c r="I612" s="4">
        <v>0.05</v>
      </c>
      <c r="J612" s="2">
        <v>3727.8</v>
      </c>
      <c r="K612" s="1">
        <v>44177</v>
      </c>
      <c r="L612" s="1">
        <v>44177</v>
      </c>
      <c r="M612">
        <v>611</v>
      </c>
      <c r="N612">
        <v>4</v>
      </c>
      <c r="O612" t="s">
        <v>37</v>
      </c>
      <c r="P612" s="3">
        <v>0.1</v>
      </c>
      <c r="Q612" s="2">
        <v>372.78000000000003</v>
      </c>
      <c r="R612">
        <v>2</v>
      </c>
      <c r="S612" t="str">
        <f t="shared" si="9"/>
        <v>Novembro</v>
      </c>
    </row>
    <row r="613" spans="1:19">
      <c r="A613">
        <v>612</v>
      </c>
      <c r="B613" s="1">
        <v>44166</v>
      </c>
      <c r="C613">
        <v>72</v>
      </c>
      <c r="D613" t="s">
        <v>38</v>
      </c>
      <c r="E613" t="s">
        <v>24</v>
      </c>
      <c r="F613">
        <v>18</v>
      </c>
      <c r="G613" s="2">
        <v>99</v>
      </c>
      <c r="H613" s="2">
        <v>1782</v>
      </c>
      <c r="I613" s="4">
        <v>0.02</v>
      </c>
      <c r="J613" s="2">
        <v>1746.36</v>
      </c>
      <c r="K613" s="1">
        <v>44168</v>
      </c>
      <c r="L613" s="1">
        <v>44168</v>
      </c>
      <c r="M613">
        <v>612</v>
      </c>
      <c r="N613">
        <v>4</v>
      </c>
      <c r="O613" t="s">
        <v>32</v>
      </c>
      <c r="P613" s="3">
        <v>0.09</v>
      </c>
      <c r="Q613" s="2">
        <v>157.17239999999998</v>
      </c>
      <c r="R613">
        <v>3</v>
      </c>
      <c r="S613" t="str">
        <f t="shared" si="9"/>
        <v>Dezembro</v>
      </c>
    </row>
    <row r="614" spans="1:19">
      <c r="A614">
        <v>613</v>
      </c>
      <c r="B614" s="1">
        <v>44166</v>
      </c>
      <c r="C614">
        <v>11</v>
      </c>
      <c r="D614" t="s">
        <v>60</v>
      </c>
      <c r="E614" t="s">
        <v>28</v>
      </c>
      <c r="F614">
        <v>38</v>
      </c>
      <c r="G614" s="2">
        <v>115</v>
      </c>
      <c r="H614" s="2">
        <v>4370</v>
      </c>
      <c r="I614" s="4">
        <v>0.12</v>
      </c>
      <c r="J614" s="2">
        <v>3845.6</v>
      </c>
      <c r="K614" s="1">
        <v>44190</v>
      </c>
      <c r="L614" s="1">
        <v>44190</v>
      </c>
      <c r="M614">
        <v>613</v>
      </c>
      <c r="N614">
        <v>6</v>
      </c>
      <c r="O614" t="s">
        <v>69</v>
      </c>
      <c r="P614" s="3">
        <v>0.06</v>
      </c>
      <c r="Q614" s="2">
        <v>230.73599999999999</v>
      </c>
      <c r="R614">
        <v>4</v>
      </c>
      <c r="S614" t="str">
        <f t="shared" si="9"/>
        <v>Dezembro</v>
      </c>
    </row>
    <row r="615" spans="1:19">
      <c r="A615">
        <v>614</v>
      </c>
      <c r="B615" s="1">
        <v>44166</v>
      </c>
      <c r="C615">
        <v>21</v>
      </c>
      <c r="D615" t="s">
        <v>87</v>
      </c>
      <c r="E615" t="s">
        <v>24</v>
      </c>
      <c r="F615">
        <v>21</v>
      </c>
      <c r="G615" s="2">
        <v>95</v>
      </c>
      <c r="H615" s="2">
        <v>1995</v>
      </c>
      <c r="I615" s="4">
        <v>0</v>
      </c>
      <c r="J615" s="2">
        <v>1995</v>
      </c>
      <c r="K615" s="1">
        <v>44195</v>
      </c>
      <c r="L615" s="1">
        <v>44195</v>
      </c>
      <c r="M615">
        <v>614</v>
      </c>
      <c r="N615">
        <v>7</v>
      </c>
      <c r="O615" t="s">
        <v>52</v>
      </c>
      <c r="P615" s="3">
        <v>0.1</v>
      </c>
      <c r="Q615" s="2">
        <v>199.5</v>
      </c>
      <c r="R615">
        <v>5</v>
      </c>
      <c r="S615" t="str">
        <f t="shared" si="9"/>
        <v>Dezembro</v>
      </c>
    </row>
    <row r="616" spans="1:19">
      <c r="A616">
        <v>615</v>
      </c>
      <c r="B616" s="1">
        <v>44166</v>
      </c>
      <c r="C616">
        <v>15</v>
      </c>
      <c r="D616" t="s">
        <v>77</v>
      </c>
      <c r="E616" t="s">
        <v>31</v>
      </c>
      <c r="F616">
        <v>36</v>
      </c>
      <c r="G616" s="2">
        <v>113</v>
      </c>
      <c r="H616" s="2">
        <v>4068</v>
      </c>
      <c r="I616" s="4">
        <v>0.1</v>
      </c>
      <c r="J616" s="2">
        <v>3661.2</v>
      </c>
      <c r="K616" s="1">
        <v>44192</v>
      </c>
      <c r="L616" s="1">
        <v>44192</v>
      </c>
      <c r="M616">
        <v>615</v>
      </c>
      <c r="N616">
        <v>7</v>
      </c>
      <c r="O616" t="s">
        <v>22</v>
      </c>
      <c r="P616" s="3">
        <v>0.06</v>
      </c>
      <c r="Q616" s="2">
        <v>219.67199999999997</v>
      </c>
      <c r="R616">
        <v>6</v>
      </c>
      <c r="S616" t="str">
        <f t="shared" si="9"/>
        <v>Dezembro</v>
      </c>
    </row>
    <row r="617" spans="1:19">
      <c r="A617">
        <v>616</v>
      </c>
      <c r="B617" s="1">
        <v>44166</v>
      </c>
      <c r="C617">
        <v>64</v>
      </c>
      <c r="D617" t="s">
        <v>78</v>
      </c>
      <c r="E617" t="s">
        <v>50</v>
      </c>
      <c r="F617">
        <v>16</v>
      </c>
      <c r="G617" s="2">
        <v>103</v>
      </c>
      <c r="H617" s="2">
        <v>1648</v>
      </c>
      <c r="I617" s="4">
        <v>0.15</v>
      </c>
      <c r="J617" s="2">
        <v>1400.8</v>
      </c>
      <c r="K617" s="1">
        <v>44190</v>
      </c>
      <c r="L617" s="1">
        <v>44190</v>
      </c>
      <c r="M617">
        <v>616</v>
      </c>
      <c r="N617">
        <v>4</v>
      </c>
      <c r="O617" t="s">
        <v>47</v>
      </c>
      <c r="P617" s="3">
        <v>0.05</v>
      </c>
      <c r="Q617" s="2">
        <v>70.040000000000006</v>
      </c>
      <c r="R617">
        <v>7</v>
      </c>
      <c r="S617" t="str">
        <f t="shared" si="9"/>
        <v>Dezembro</v>
      </c>
    </row>
    <row r="618" spans="1:19">
      <c r="A618">
        <v>617</v>
      </c>
      <c r="B618" s="1">
        <v>44166</v>
      </c>
      <c r="C618">
        <v>95</v>
      </c>
      <c r="D618" t="s">
        <v>38</v>
      </c>
      <c r="E618" t="s">
        <v>21</v>
      </c>
      <c r="F618">
        <v>35</v>
      </c>
      <c r="G618" s="2">
        <v>110</v>
      </c>
      <c r="H618" s="2">
        <v>3850</v>
      </c>
      <c r="I618" s="4">
        <v>0.03</v>
      </c>
      <c r="J618" s="2">
        <v>3734.5</v>
      </c>
      <c r="K618" s="1">
        <v>44172</v>
      </c>
      <c r="L618" s="1">
        <v>44172</v>
      </c>
      <c r="M618">
        <v>617</v>
      </c>
      <c r="N618">
        <v>1</v>
      </c>
      <c r="O618" t="s">
        <v>32</v>
      </c>
      <c r="P618" s="3">
        <v>0.1</v>
      </c>
      <c r="Q618" s="2">
        <v>373.45000000000005</v>
      </c>
      <c r="R618">
        <v>1</v>
      </c>
      <c r="S618" t="str">
        <f t="shared" si="9"/>
        <v>Dezembro</v>
      </c>
    </row>
    <row r="619" spans="1:19">
      <c r="A619">
        <v>618</v>
      </c>
      <c r="B619" s="1">
        <v>44167</v>
      </c>
      <c r="C619">
        <v>33</v>
      </c>
      <c r="D619" t="s">
        <v>76</v>
      </c>
      <c r="E619" t="s">
        <v>50</v>
      </c>
      <c r="F619">
        <v>16</v>
      </c>
      <c r="G619" s="2">
        <v>100</v>
      </c>
      <c r="H619" s="2">
        <v>1600</v>
      </c>
      <c r="I619" s="4">
        <v>0.03</v>
      </c>
      <c r="J619" s="2">
        <v>1552</v>
      </c>
      <c r="K619" s="1">
        <v>44168</v>
      </c>
      <c r="L619" s="1">
        <v>44168</v>
      </c>
      <c r="M619">
        <v>618</v>
      </c>
      <c r="N619">
        <v>6</v>
      </c>
      <c r="O619" t="s">
        <v>43</v>
      </c>
      <c r="P619" s="3">
        <v>0.08</v>
      </c>
      <c r="Q619" s="2">
        <v>124.16</v>
      </c>
      <c r="R619">
        <v>2</v>
      </c>
      <c r="S619" t="str">
        <f t="shared" si="9"/>
        <v>Dezembro</v>
      </c>
    </row>
    <row r="620" spans="1:19">
      <c r="A620">
        <v>619</v>
      </c>
      <c r="B620" s="1">
        <v>44167</v>
      </c>
      <c r="C620">
        <v>18</v>
      </c>
      <c r="D620" t="s">
        <v>83</v>
      </c>
      <c r="E620" t="s">
        <v>24</v>
      </c>
      <c r="F620">
        <v>28</v>
      </c>
      <c r="G620" s="2">
        <v>96</v>
      </c>
      <c r="H620" s="2">
        <v>2688</v>
      </c>
      <c r="I620" s="4">
        <v>0.04</v>
      </c>
      <c r="J620" s="2">
        <v>2580.48</v>
      </c>
      <c r="K620" s="1">
        <v>44178</v>
      </c>
      <c r="L620" s="1">
        <v>44178</v>
      </c>
      <c r="M620">
        <v>619</v>
      </c>
      <c r="N620">
        <v>4</v>
      </c>
      <c r="O620" t="s">
        <v>37</v>
      </c>
      <c r="P620" s="3">
        <v>0.06</v>
      </c>
      <c r="Q620" s="2">
        <v>154.8288</v>
      </c>
      <c r="R620">
        <v>3</v>
      </c>
      <c r="S620" t="str">
        <f t="shared" si="9"/>
        <v>Dezembro</v>
      </c>
    </row>
    <row r="621" spans="1:19">
      <c r="A621">
        <v>620</v>
      </c>
      <c r="B621" s="1">
        <v>44167</v>
      </c>
      <c r="C621">
        <v>29</v>
      </c>
      <c r="D621" t="s">
        <v>98</v>
      </c>
      <c r="E621" t="s">
        <v>59</v>
      </c>
      <c r="F621">
        <v>22</v>
      </c>
      <c r="G621" s="2">
        <v>92</v>
      </c>
      <c r="H621" s="2">
        <v>2024</v>
      </c>
      <c r="I621" s="4">
        <v>0.13</v>
      </c>
      <c r="J621" s="2">
        <v>1760.88</v>
      </c>
      <c r="K621" s="1">
        <v>44186</v>
      </c>
      <c r="L621" s="1">
        <v>44186</v>
      </c>
      <c r="M621">
        <v>620</v>
      </c>
      <c r="N621">
        <v>5</v>
      </c>
      <c r="O621" t="s">
        <v>52</v>
      </c>
      <c r="P621" s="3">
        <v>0.08</v>
      </c>
      <c r="Q621" s="2">
        <v>140.87040000000002</v>
      </c>
      <c r="R621">
        <v>4</v>
      </c>
      <c r="S621" t="str">
        <f t="shared" si="9"/>
        <v>Dezembro</v>
      </c>
    </row>
    <row r="622" spans="1:19">
      <c r="A622">
        <v>621</v>
      </c>
      <c r="B622" s="1">
        <v>44167</v>
      </c>
      <c r="C622">
        <v>75</v>
      </c>
      <c r="D622" t="s">
        <v>38</v>
      </c>
      <c r="E622" t="s">
        <v>55</v>
      </c>
      <c r="F622">
        <v>19</v>
      </c>
      <c r="G622" s="2">
        <v>112</v>
      </c>
      <c r="H622" s="2">
        <v>2128</v>
      </c>
      <c r="I622" s="4">
        <v>0.04</v>
      </c>
      <c r="J622" s="2">
        <v>2042.88</v>
      </c>
      <c r="K622" s="1">
        <v>44195</v>
      </c>
      <c r="L622" s="1">
        <v>44195</v>
      </c>
      <c r="M622">
        <v>621</v>
      </c>
      <c r="N622">
        <v>6</v>
      </c>
      <c r="O622" t="s">
        <v>25</v>
      </c>
      <c r="P622" s="3">
        <v>0.05</v>
      </c>
      <c r="Q622" s="2">
        <v>102.14400000000001</v>
      </c>
      <c r="R622">
        <v>5</v>
      </c>
      <c r="S622" t="str">
        <f t="shared" si="9"/>
        <v>Dezembro</v>
      </c>
    </row>
    <row r="623" spans="1:19">
      <c r="A623">
        <v>622</v>
      </c>
      <c r="B623" s="1">
        <v>44168</v>
      </c>
      <c r="C623">
        <v>26</v>
      </c>
      <c r="D623" t="s">
        <v>95</v>
      </c>
      <c r="E623" t="s">
        <v>28</v>
      </c>
      <c r="F623">
        <v>38</v>
      </c>
      <c r="G623" s="2">
        <v>90</v>
      </c>
      <c r="H623" s="2">
        <v>3420</v>
      </c>
      <c r="I623" s="4">
        <v>0.15</v>
      </c>
      <c r="J623" s="2">
        <v>2907</v>
      </c>
      <c r="K623" s="1">
        <v>44180</v>
      </c>
      <c r="L623" s="1">
        <v>44180</v>
      </c>
      <c r="M623">
        <v>622</v>
      </c>
      <c r="N623">
        <v>3</v>
      </c>
      <c r="O623" t="s">
        <v>52</v>
      </c>
      <c r="P623" s="3">
        <v>0.06</v>
      </c>
      <c r="Q623" s="2">
        <v>174.42</v>
      </c>
      <c r="R623">
        <v>6</v>
      </c>
      <c r="S623" t="str">
        <f t="shared" si="9"/>
        <v>Dezembro</v>
      </c>
    </row>
    <row r="624" spans="1:19">
      <c r="A624">
        <v>623</v>
      </c>
      <c r="B624" s="1">
        <v>44168</v>
      </c>
      <c r="C624">
        <v>49</v>
      </c>
      <c r="D624" t="s">
        <v>38</v>
      </c>
      <c r="E624" t="s">
        <v>21</v>
      </c>
      <c r="F624">
        <v>32</v>
      </c>
      <c r="G624" s="2">
        <v>96</v>
      </c>
      <c r="H624" s="2">
        <v>3072</v>
      </c>
      <c r="I624" s="4">
        <v>0.15</v>
      </c>
      <c r="J624" s="2">
        <v>2611.1999999999998</v>
      </c>
      <c r="K624" s="1">
        <v>44178</v>
      </c>
      <c r="L624" s="1">
        <v>44178</v>
      </c>
      <c r="M624">
        <v>623</v>
      </c>
      <c r="N624">
        <v>4</v>
      </c>
      <c r="O624" t="s">
        <v>37</v>
      </c>
      <c r="P624" s="3">
        <v>0.08</v>
      </c>
      <c r="Q624" s="2">
        <v>208.89599999999999</v>
      </c>
      <c r="R624">
        <v>7</v>
      </c>
      <c r="S624" t="str">
        <f t="shared" si="9"/>
        <v>Dezembro</v>
      </c>
    </row>
    <row r="625" spans="1:19">
      <c r="A625">
        <v>624</v>
      </c>
      <c r="B625" s="1">
        <v>44168</v>
      </c>
      <c r="C625">
        <v>83</v>
      </c>
      <c r="D625" t="s">
        <v>100</v>
      </c>
      <c r="E625" t="s">
        <v>54</v>
      </c>
      <c r="F625">
        <v>19</v>
      </c>
      <c r="G625" s="2">
        <v>106</v>
      </c>
      <c r="H625" s="2">
        <v>2014</v>
      </c>
      <c r="I625" s="4">
        <v>0.15</v>
      </c>
      <c r="J625" s="2">
        <v>1711.9</v>
      </c>
      <c r="K625" s="1">
        <v>44172</v>
      </c>
      <c r="L625" s="1">
        <v>44172</v>
      </c>
      <c r="M625">
        <v>624</v>
      </c>
      <c r="N625">
        <v>5</v>
      </c>
      <c r="O625" t="s">
        <v>34</v>
      </c>
      <c r="P625" s="3">
        <v>0.06</v>
      </c>
      <c r="Q625" s="2">
        <v>102.714</v>
      </c>
      <c r="R625">
        <v>1</v>
      </c>
      <c r="S625" t="str">
        <f t="shared" si="9"/>
        <v>Dezembro</v>
      </c>
    </row>
    <row r="626" spans="1:19">
      <c r="A626">
        <v>625</v>
      </c>
      <c r="B626" s="1">
        <v>44168</v>
      </c>
      <c r="C626">
        <v>21</v>
      </c>
      <c r="D626" t="s">
        <v>87</v>
      </c>
      <c r="E626" t="s">
        <v>46</v>
      </c>
      <c r="F626">
        <v>27</v>
      </c>
      <c r="G626" s="2">
        <v>104</v>
      </c>
      <c r="H626" s="2">
        <v>2808</v>
      </c>
      <c r="I626" s="4">
        <v>0.14000000000000001</v>
      </c>
      <c r="J626" s="2">
        <v>2414.88</v>
      </c>
      <c r="K626" s="1">
        <v>44171</v>
      </c>
      <c r="L626" s="1">
        <v>44171</v>
      </c>
      <c r="M626">
        <v>625</v>
      </c>
      <c r="N626">
        <v>2</v>
      </c>
      <c r="O626" t="s">
        <v>25</v>
      </c>
      <c r="P626" s="3">
        <v>0.1</v>
      </c>
      <c r="Q626" s="2">
        <v>241.48800000000003</v>
      </c>
      <c r="R626">
        <v>2</v>
      </c>
      <c r="S626" t="str">
        <f t="shared" si="9"/>
        <v>Dezembro</v>
      </c>
    </row>
    <row r="627" spans="1:19">
      <c r="A627">
        <v>626</v>
      </c>
      <c r="B627" s="1">
        <v>44169</v>
      </c>
      <c r="C627">
        <v>59</v>
      </c>
      <c r="D627" t="s">
        <v>97</v>
      </c>
      <c r="E627" t="s">
        <v>24</v>
      </c>
      <c r="F627">
        <v>42</v>
      </c>
      <c r="G627" s="2">
        <v>110</v>
      </c>
      <c r="H627" s="2">
        <v>4620</v>
      </c>
      <c r="I627" s="4">
        <v>0.1</v>
      </c>
      <c r="J627" s="2">
        <v>4158</v>
      </c>
      <c r="K627" s="1">
        <v>44187</v>
      </c>
      <c r="L627" s="1">
        <v>44187</v>
      </c>
      <c r="M627">
        <v>626</v>
      </c>
      <c r="N627">
        <v>6</v>
      </c>
      <c r="O627" t="s">
        <v>47</v>
      </c>
      <c r="P627" s="3">
        <v>0.05</v>
      </c>
      <c r="Q627" s="2">
        <v>207.9</v>
      </c>
      <c r="R627">
        <v>3</v>
      </c>
      <c r="S627" t="str">
        <f t="shared" si="9"/>
        <v>Dezembro</v>
      </c>
    </row>
    <row r="628" spans="1:19">
      <c r="A628">
        <v>627</v>
      </c>
      <c r="B628" s="1">
        <v>44170</v>
      </c>
      <c r="C628">
        <v>6</v>
      </c>
      <c r="D628" t="s">
        <v>88</v>
      </c>
      <c r="E628" t="s">
        <v>31</v>
      </c>
      <c r="F628">
        <v>48</v>
      </c>
      <c r="G628" s="2">
        <v>99</v>
      </c>
      <c r="H628" s="2">
        <v>4752</v>
      </c>
      <c r="I628" s="4">
        <v>0.08</v>
      </c>
      <c r="J628" s="2">
        <v>4371.84</v>
      </c>
      <c r="K628" s="1">
        <v>44183</v>
      </c>
      <c r="L628" s="1">
        <v>44183</v>
      </c>
      <c r="M628">
        <v>627</v>
      </c>
      <c r="N628">
        <v>5</v>
      </c>
      <c r="O628" t="s">
        <v>25</v>
      </c>
      <c r="P628" s="3">
        <v>0.1</v>
      </c>
      <c r="Q628" s="2">
        <v>437.18400000000003</v>
      </c>
      <c r="R628">
        <v>4</v>
      </c>
      <c r="S628" t="str">
        <f t="shared" si="9"/>
        <v>Dezembro</v>
      </c>
    </row>
    <row r="629" spans="1:19">
      <c r="A629">
        <v>628</v>
      </c>
      <c r="B629" s="1">
        <v>44170</v>
      </c>
      <c r="C629">
        <v>90</v>
      </c>
      <c r="D629" t="s">
        <v>60</v>
      </c>
      <c r="E629" t="s">
        <v>54</v>
      </c>
      <c r="F629">
        <v>24</v>
      </c>
      <c r="G629" s="2">
        <v>96</v>
      </c>
      <c r="H629" s="2">
        <v>2304</v>
      </c>
      <c r="I629" s="4">
        <v>0.1</v>
      </c>
      <c r="J629" s="2">
        <v>2073.6</v>
      </c>
      <c r="K629" s="1">
        <v>44187</v>
      </c>
      <c r="L629" s="1">
        <v>44187</v>
      </c>
      <c r="M629">
        <v>628</v>
      </c>
      <c r="N629">
        <v>1</v>
      </c>
      <c r="O629" t="s">
        <v>29</v>
      </c>
      <c r="P629" s="3">
        <v>0.09</v>
      </c>
      <c r="Q629" s="2">
        <v>186.624</v>
      </c>
      <c r="R629">
        <v>5</v>
      </c>
      <c r="S629" t="str">
        <f t="shared" si="9"/>
        <v>Dezembro</v>
      </c>
    </row>
    <row r="630" spans="1:19">
      <c r="A630">
        <v>629</v>
      </c>
      <c r="B630" s="1">
        <v>44171</v>
      </c>
      <c r="C630">
        <v>44</v>
      </c>
      <c r="D630" t="s">
        <v>71</v>
      </c>
      <c r="E630" t="s">
        <v>21</v>
      </c>
      <c r="F630">
        <v>47</v>
      </c>
      <c r="G630" s="2">
        <v>109</v>
      </c>
      <c r="H630" s="2">
        <v>5123</v>
      </c>
      <c r="I630" s="4">
        <v>0.05</v>
      </c>
      <c r="J630" s="2">
        <v>4866.8500000000004</v>
      </c>
      <c r="K630" s="1">
        <v>44198</v>
      </c>
      <c r="L630" s="1">
        <v>44198</v>
      </c>
      <c r="M630">
        <v>629</v>
      </c>
      <c r="N630">
        <v>5</v>
      </c>
      <c r="O630" t="s">
        <v>52</v>
      </c>
      <c r="P630" s="3">
        <v>0.05</v>
      </c>
      <c r="Q630" s="2">
        <v>243.34250000000003</v>
      </c>
      <c r="R630">
        <v>6</v>
      </c>
      <c r="S630" t="str">
        <f t="shared" si="9"/>
        <v>Dezembro</v>
      </c>
    </row>
    <row r="631" spans="1:19">
      <c r="A631">
        <v>630</v>
      </c>
      <c r="B631" s="1">
        <v>44171</v>
      </c>
      <c r="C631">
        <v>77</v>
      </c>
      <c r="D631" t="s">
        <v>65</v>
      </c>
      <c r="E631" t="s">
        <v>59</v>
      </c>
      <c r="F631">
        <v>42</v>
      </c>
      <c r="G631" s="2">
        <v>102</v>
      </c>
      <c r="H631" s="2">
        <v>4284</v>
      </c>
      <c r="I631" s="4">
        <v>0.14000000000000001</v>
      </c>
      <c r="J631" s="2">
        <v>3684.24</v>
      </c>
      <c r="K631" s="1">
        <v>44185</v>
      </c>
      <c r="L631" s="1">
        <v>44185</v>
      </c>
      <c r="M631">
        <v>630</v>
      </c>
      <c r="N631">
        <v>2</v>
      </c>
      <c r="O631" t="s">
        <v>25</v>
      </c>
      <c r="P631" s="3">
        <v>0.06</v>
      </c>
      <c r="Q631" s="2">
        <v>221.05439999999999</v>
      </c>
      <c r="R631">
        <v>7</v>
      </c>
      <c r="S631" t="str">
        <f t="shared" si="9"/>
        <v>Dezembro</v>
      </c>
    </row>
    <row r="632" spans="1:19">
      <c r="A632">
        <v>631</v>
      </c>
      <c r="B632" s="1">
        <v>44171</v>
      </c>
      <c r="C632">
        <v>4</v>
      </c>
      <c r="D632" t="s">
        <v>86</v>
      </c>
      <c r="E632" t="s">
        <v>55</v>
      </c>
      <c r="F632">
        <v>35</v>
      </c>
      <c r="G632" s="2">
        <v>115</v>
      </c>
      <c r="H632" s="2">
        <v>4025</v>
      </c>
      <c r="I632" s="4">
        <v>0.12</v>
      </c>
      <c r="J632" s="2">
        <v>3542</v>
      </c>
      <c r="K632" s="1">
        <v>44186</v>
      </c>
      <c r="L632" s="1">
        <v>44186</v>
      </c>
      <c r="M632">
        <v>631</v>
      </c>
      <c r="N632">
        <v>3</v>
      </c>
      <c r="O632" t="s">
        <v>32</v>
      </c>
      <c r="P632" s="3">
        <v>0.06</v>
      </c>
      <c r="Q632" s="2">
        <v>212.51999999999998</v>
      </c>
      <c r="R632">
        <v>1</v>
      </c>
      <c r="S632" t="str">
        <f t="shared" si="9"/>
        <v>Dezembro</v>
      </c>
    </row>
    <row r="633" spans="1:19">
      <c r="A633">
        <v>632</v>
      </c>
      <c r="B633" s="1">
        <v>44172</v>
      </c>
      <c r="C633">
        <v>43</v>
      </c>
      <c r="D633" t="s">
        <v>99</v>
      </c>
      <c r="E633" t="s">
        <v>28</v>
      </c>
      <c r="F633">
        <v>39</v>
      </c>
      <c r="G633" s="2">
        <v>118</v>
      </c>
      <c r="H633" s="2">
        <v>4602</v>
      </c>
      <c r="I633" s="4">
        <v>0.12</v>
      </c>
      <c r="J633" s="2">
        <v>4049.76</v>
      </c>
      <c r="K633" s="1">
        <v>44197</v>
      </c>
      <c r="L633" s="1">
        <v>44197</v>
      </c>
      <c r="M633">
        <v>632</v>
      </c>
      <c r="N633">
        <v>3</v>
      </c>
      <c r="O633" t="s">
        <v>32</v>
      </c>
      <c r="P633" s="3">
        <v>7.0000000000000007E-2</v>
      </c>
      <c r="Q633" s="2">
        <v>283.48320000000007</v>
      </c>
      <c r="R633">
        <v>2</v>
      </c>
      <c r="S633" t="str">
        <f t="shared" si="9"/>
        <v>Dezembro</v>
      </c>
    </row>
    <row r="634" spans="1:19">
      <c r="A634">
        <v>633</v>
      </c>
      <c r="B634" s="1">
        <v>44172</v>
      </c>
      <c r="C634">
        <v>63</v>
      </c>
      <c r="D634" t="s">
        <v>80</v>
      </c>
      <c r="E634" t="s">
        <v>55</v>
      </c>
      <c r="F634">
        <v>32</v>
      </c>
      <c r="G634" s="2">
        <v>108</v>
      </c>
      <c r="H634" s="2">
        <v>3456</v>
      </c>
      <c r="I634" s="4">
        <v>0.11</v>
      </c>
      <c r="J634" s="2">
        <v>3075.84</v>
      </c>
      <c r="K634" s="1">
        <v>44200</v>
      </c>
      <c r="L634" s="1">
        <v>44200</v>
      </c>
      <c r="M634">
        <v>633</v>
      </c>
      <c r="N634">
        <v>4</v>
      </c>
      <c r="O634" t="s">
        <v>47</v>
      </c>
      <c r="P634" s="3">
        <v>0.08</v>
      </c>
      <c r="Q634" s="2">
        <v>246.06720000000001</v>
      </c>
      <c r="R634">
        <v>3</v>
      </c>
      <c r="S634" t="str">
        <f t="shared" si="9"/>
        <v>Dezembro</v>
      </c>
    </row>
    <row r="635" spans="1:19">
      <c r="A635">
        <v>634</v>
      </c>
      <c r="B635" s="1">
        <v>44173</v>
      </c>
      <c r="C635">
        <v>2</v>
      </c>
      <c r="D635" t="s">
        <v>35</v>
      </c>
      <c r="E635" t="s">
        <v>50</v>
      </c>
      <c r="F635">
        <v>15</v>
      </c>
      <c r="G635" s="2">
        <v>117</v>
      </c>
      <c r="H635" s="2">
        <v>1755</v>
      </c>
      <c r="I635" s="4">
        <v>0.08</v>
      </c>
      <c r="J635" s="2">
        <v>1614.6</v>
      </c>
      <c r="K635" s="1">
        <v>44197</v>
      </c>
      <c r="L635" s="1">
        <v>44197</v>
      </c>
      <c r="M635">
        <v>634</v>
      </c>
      <c r="N635">
        <v>4</v>
      </c>
      <c r="O635" t="s">
        <v>69</v>
      </c>
      <c r="P635" s="3">
        <v>7.0000000000000007E-2</v>
      </c>
      <c r="Q635" s="2">
        <v>113.02200000000001</v>
      </c>
      <c r="R635">
        <v>4</v>
      </c>
      <c r="S635" t="str">
        <f t="shared" si="9"/>
        <v>Dezembro</v>
      </c>
    </row>
    <row r="636" spans="1:19">
      <c r="A636">
        <v>635</v>
      </c>
      <c r="B636" s="1">
        <v>44173</v>
      </c>
      <c r="C636">
        <v>93</v>
      </c>
      <c r="D636" t="s">
        <v>33</v>
      </c>
      <c r="E636" t="s">
        <v>28</v>
      </c>
      <c r="F636">
        <v>45</v>
      </c>
      <c r="G636" s="2">
        <v>100</v>
      </c>
      <c r="H636" s="2">
        <v>4500</v>
      </c>
      <c r="I636" s="4">
        <v>0.02</v>
      </c>
      <c r="J636" s="2">
        <v>4410</v>
      </c>
      <c r="K636" s="1">
        <v>44198</v>
      </c>
      <c r="L636" s="1">
        <v>44198</v>
      </c>
      <c r="M636">
        <v>635</v>
      </c>
      <c r="N636">
        <v>6</v>
      </c>
      <c r="O636" t="s">
        <v>29</v>
      </c>
      <c r="P636" s="3">
        <v>0.09</v>
      </c>
      <c r="Q636" s="2">
        <v>396.9</v>
      </c>
      <c r="R636">
        <v>5</v>
      </c>
      <c r="S636" t="str">
        <f t="shared" si="9"/>
        <v>Dezembro</v>
      </c>
    </row>
    <row r="637" spans="1:19">
      <c r="A637">
        <v>636</v>
      </c>
      <c r="B637" s="1">
        <v>44174</v>
      </c>
      <c r="C637">
        <v>11</v>
      </c>
      <c r="D637" t="s">
        <v>60</v>
      </c>
      <c r="E637" t="s">
        <v>59</v>
      </c>
      <c r="F637">
        <v>34</v>
      </c>
      <c r="G637" s="2">
        <v>103</v>
      </c>
      <c r="H637" s="2">
        <v>3502</v>
      </c>
      <c r="I637" s="4">
        <v>0.02</v>
      </c>
      <c r="J637" s="2">
        <v>3431.96</v>
      </c>
      <c r="K637" s="1">
        <v>44187</v>
      </c>
      <c r="L637" s="1">
        <v>44187</v>
      </c>
      <c r="M637">
        <v>636</v>
      </c>
      <c r="N637">
        <v>7</v>
      </c>
      <c r="O637" t="s">
        <v>34</v>
      </c>
      <c r="P637" s="3">
        <v>0.09</v>
      </c>
      <c r="Q637" s="2">
        <v>308.87639999999999</v>
      </c>
      <c r="R637">
        <v>6</v>
      </c>
      <c r="S637" t="str">
        <f t="shared" si="9"/>
        <v>Dezembro</v>
      </c>
    </row>
    <row r="638" spans="1:19">
      <c r="A638">
        <v>637</v>
      </c>
      <c r="B638" s="1">
        <v>44176</v>
      </c>
      <c r="C638">
        <v>64</v>
      </c>
      <c r="D638" t="s">
        <v>78</v>
      </c>
      <c r="E638" t="s">
        <v>24</v>
      </c>
      <c r="F638">
        <v>13</v>
      </c>
      <c r="G638" s="2">
        <v>101</v>
      </c>
      <c r="H638" s="2">
        <v>1313</v>
      </c>
      <c r="I638" s="4">
        <v>0.12</v>
      </c>
      <c r="J638" s="2">
        <v>1155.44</v>
      </c>
      <c r="K638" s="1">
        <v>44203</v>
      </c>
      <c r="L638" s="1">
        <v>44203</v>
      </c>
      <c r="M638">
        <v>637</v>
      </c>
      <c r="N638">
        <v>7</v>
      </c>
      <c r="O638" t="s">
        <v>37</v>
      </c>
      <c r="P638" s="3">
        <v>7.0000000000000007E-2</v>
      </c>
      <c r="Q638" s="2">
        <v>80.880800000000008</v>
      </c>
      <c r="R638">
        <v>7</v>
      </c>
      <c r="S638" t="str">
        <f t="shared" si="9"/>
        <v>Dezembro</v>
      </c>
    </row>
    <row r="639" spans="1:19">
      <c r="A639">
        <v>638</v>
      </c>
      <c r="B639" s="1">
        <v>44176</v>
      </c>
      <c r="C639">
        <v>85</v>
      </c>
      <c r="D639" t="s">
        <v>57</v>
      </c>
      <c r="E639" t="s">
        <v>21</v>
      </c>
      <c r="F639">
        <v>47</v>
      </c>
      <c r="G639" s="2">
        <v>115</v>
      </c>
      <c r="H639" s="2">
        <v>5405</v>
      </c>
      <c r="I639" s="4">
        <v>0.01</v>
      </c>
      <c r="J639" s="2">
        <v>5350.95</v>
      </c>
      <c r="K639" s="1">
        <v>44196</v>
      </c>
      <c r="L639" s="1">
        <v>44196</v>
      </c>
      <c r="M639">
        <v>638</v>
      </c>
      <c r="N639">
        <v>6</v>
      </c>
      <c r="O639" t="s">
        <v>69</v>
      </c>
      <c r="P639" s="3">
        <v>0.1</v>
      </c>
      <c r="Q639" s="2">
        <v>535.09500000000003</v>
      </c>
      <c r="R639">
        <v>1</v>
      </c>
      <c r="S639" t="str">
        <f t="shared" si="9"/>
        <v>Dezembro</v>
      </c>
    </row>
    <row r="640" spans="1:19">
      <c r="A640">
        <v>639</v>
      </c>
      <c r="B640" s="1">
        <v>44177</v>
      </c>
      <c r="C640">
        <v>1</v>
      </c>
      <c r="D640" t="s">
        <v>93</v>
      </c>
      <c r="E640" t="s">
        <v>54</v>
      </c>
      <c r="F640">
        <v>29</v>
      </c>
      <c r="G640" s="2">
        <v>103</v>
      </c>
      <c r="H640" s="2">
        <v>2987</v>
      </c>
      <c r="I640" s="4">
        <v>0.11</v>
      </c>
      <c r="J640" s="2">
        <v>2658.43</v>
      </c>
      <c r="K640" s="1">
        <v>44184</v>
      </c>
      <c r="L640" s="1">
        <v>44184</v>
      </c>
      <c r="M640">
        <v>639</v>
      </c>
      <c r="N640">
        <v>5</v>
      </c>
      <c r="O640" t="s">
        <v>25</v>
      </c>
      <c r="P640" s="3">
        <v>0.09</v>
      </c>
      <c r="Q640" s="2">
        <v>239.25869999999998</v>
      </c>
      <c r="R640">
        <v>2</v>
      </c>
      <c r="S640" t="str">
        <f t="shared" si="9"/>
        <v>Dezembro</v>
      </c>
    </row>
    <row r="641" spans="1:19">
      <c r="A641">
        <v>640</v>
      </c>
      <c r="B641" s="1">
        <v>44177</v>
      </c>
      <c r="C641">
        <v>40</v>
      </c>
      <c r="D641" t="s">
        <v>49</v>
      </c>
      <c r="E641" t="s">
        <v>50</v>
      </c>
      <c r="F641">
        <v>40</v>
      </c>
      <c r="G641" s="2">
        <v>115</v>
      </c>
      <c r="H641" s="2">
        <v>4600</v>
      </c>
      <c r="I641" s="4">
        <v>0.09</v>
      </c>
      <c r="J641" s="2">
        <v>4186</v>
      </c>
      <c r="K641" s="1">
        <v>44181</v>
      </c>
      <c r="L641" s="1">
        <v>44181</v>
      </c>
      <c r="M641">
        <v>640</v>
      </c>
      <c r="N641">
        <v>3</v>
      </c>
      <c r="O641" t="s">
        <v>22</v>
      </c>
      <c r="P641" s="3">
        <v>0.09</v>
      </c>
      <c r="Q641" s="2">
        <v>376.74</v>
      </c>
      <c r="R641">
        <v>3</v>
      </c>
      <c r="S641" t="str">
        <f t="shared" si="9"/>
        <v>Dezembro</v>
      </c>
    </row>
    <row r="642" spans="1:19">
      <c r="A642">
        <v>641</v>
      </c>
      <c r="B642" s="1">
        <v>44179</v>
      </c>
      <c r="C642">
        <v>36</v>
      </c>
      <c r="D642" t="s">
        <v>70</v>
      </c>
      <c r="E642" t="s">
        <v>31</v>
      </c>
      <c r="F642">
        <v>23</v>
      </c>
      <c r="G642" s="2">
        <v>90</v>
      </c>
      <c r="H642" s="2">
        <v>2070</v>
      </c>
      <c r="I642" s="4">
        <v>0.13</v>
      </c>
      <c r="J642" s="2">
        <v>1800.9</v>
      </c>
      <c r="K642" s="1">
        <v>44188</v>
      </c>
      <c r="L642" s="1">
        <v>44188</v>
      </c>
      <c r="M642">
        <v>641</v>
      </c>
      <c r="N642">
        <v>5</v>
      </c>
      <c r="O642" t="s">
        <v>34</v>
      </c>
      <c r="P642" s="3">
        <v>0.06</v>
      </c>
      <c r="Q642" s="2">
        <v>108.054</v>
      </c>
      <c r="R642">
        <v>4</v>
      </c>
      <c r="S642" t="str">
        <f t="shared" si="9"/>
        <v>Dezembro</v>
      </c>
    </row>
    <row r="643" spans="1:19">
      <c r="A643">
        <v>642</v>
      </c>
      <c r="B643" s="1">
        <v>44179</v>
      </c>
      <c r="C643">
        <v>21</v>
      </c>
      <c r="D643" t="s">
        <v>87</v>
      </c>
      <c r="E643" t="s">
        <v>31</v>
      </c>
      <c r="F643">
        <v>31</v>
      </c>
      <c r="G643" s="2">
        <v>100</v>
      </c>
      <c r="H643" s="2">
        <v>3100</v>
      </c>
      <c r="I643" s="4">
        <v>0.11</v>
      </c>
      <c r="J643" s="2">
        <v>2759</v>
      </c>
      <c r="K643" s="1">
        <v>44203</v>
      </c>
      <c r="L643" s="1">
        <v>44203</v>
      </c>
      <c r="M643">
        <v>642</v>
      </c>
      <c r="N643">
        <v>1</v>
      </c>
      <c r="O643" t="s">
        <v>52</v>
      </c>
      <c r="P643" s="3">
        <v>0.05</v>
      </c>
      <c r="Q643" s="2">
        <v>137.95000000000002</v>
      </c>
      <c r="R643">
        <v>5</v>
      </c>
      <c r="S643" t="str">
        <f t="shared" ref="S643:S706" si="10">PROPER(TEXT(B643,"mmmm"))</f>
        <v>Dezembro</v>
      </c>
    </row>
    <row r="644" spans="1:19">
      <c r="A644">
        <v>643</v>
      </c>
      <c r="B644" s="1">
        <v>44179</v>
      </c>
      <c r="C644">
        <v>55</v>
      </c>
      <c r="D644" t="s">
        <v>44</v>
      </c>
      <c r="E644" t="s">
        <v>28</v>
      </c>
      <c r="F644">
        <v>25</v>
      </c>
      <c r="G644" s="2">
        <v>96</v>
      </c>
      <c r="H644" s="2">
        <v>2400</v>
      </c>
      <c r="I644" s="4">
        <v>0.03</v>
      </c>
      <c r="J644" s="2">
        <v>2328</v>
      </c>
      <c r="K644" s="1">
        <v>44189</v>
      </c>
      <c r="L644" s="1">
        <v>44189</v>
      </c>
      <c r="M644">
        <v>643</v>
      </c>
      <c r="N644">
        <v>5</v>
      </c>
      <c r="O644" t="s">
        <v>43</v>
      </c>
      <c r="P644" s="3">
        <v>0.05</v>
      </c>
      <c r="Q644" s="2">
        <v>116.4</v>
      </c>
      <c r="R644">
        <v>6</v>
      </c>
      <c r="S644" t="str">
        <f t="shared" si="10"/>
        <v>Dezembro</v>
      </c>
    </row>
    <row r="645" spans="1:19">
      <c r="A645">
        <v>644</v>
      </c>
      <c r="B645" s="1">
        <v>44180</v>
      </c>
      <c r="C645">
        <v>84</v>
      </c>
      <c r="D645" t="s">
        <v>44</v>
      </c>
      <c r="E645" t="s">
        <v>28</v>
      </c>
      <c r="F645">
        <v>12</v>
      </c>
      <c r="G645" s="2">
        <v>94</v>
      </c>
      <c r="H645" s="2">
        <v>1128</v>
      </c>
      <c r="I645" s="4">
        <v>0.05</v>
      </c>
      <c r="J645" s="2">
        <v>1071.5999999999999</v>
      </c>
      <c r="K645" s="1">
        <v>44187</v>
      </c>
      <c r="L645" s="1">
        <v>44187</v>
      </c>
      <c r="M645">
        <v>644</v>
      </c>
      <c r="N645">
        <v>2</v>
      </c>
      <c r="O645" t="s">
        <v>32</v>
      </c>
      <c r="P645" s="3">
        <v>0.1</v>
      </c>
      <c r="Q645" s="2">
        <v>107.16</v>
      </c>
      <c r="R645">
        <v>7</v>
      </c>
      <c r="S645" t="str">
        <f t="shared" si="10"/>
        <v>Dezembro</v>
      </c>
    </row>
    <row r="646" spans="1:19">
      <c r="A646">
        <v>645</v>
      </c>
      <c r="B646" s="1">
        <v>44180</v>
      </c>
      <c r="C646">
        <v>18</v>
      </c>
      <c r="D646" t="s">
        <v>83</v>
      </c>
      <c r="E646" t="s">
        <v>21</v>
      </c>
      <c r="F646">
        <v>48</v>
      </c>
      <c r="G646" s="2">
        <v>96</v>
      </c>
      <c r="H646" s="2">
        <v>4608</v>
      </c>
      <c r="I646" s="4">
        <v>0.06</v>
      </c>
      <c r="J646" s="2">
        <v>4331.5200000000004</v>
      </c>
      <c r="K646" s="1">
        <v>44182</v>
      </c>
      <c r="L646" s="1">
        <v>44182</v>
      </c>
      <c r="M646">
        <v>645</v>
      </c>
      <c r="N646">
        <v>1</v>
      </c>
      <c r="O646" t="s">
        <v>37</v>
      </c>
      <c r="P646" s="3">
        <v>7.0000000000000007E-2</v>
      </c>
      <c r="Q646" s="2">
        <v>303.20640000000009</v>
      </c>
      <c r="R646">
        <v>1</v>
      </c>
      <c r="S646" t="str">
        <f t="shared" si="10"/>
        <v>Dezembro</v>
      </c>
    </row>
    <row r="647" spans="1:19">
      <c r="A647">
        <v>646</v>
      </c>
      <c r="B647" s="1">
        <v>44180</v>
      </c>
      <c r="C647">
        <v>46</v>
      </c>
      <c r="D647" t="s">
        <v>94</v>
      </c>
      <c r="E647" t="s">
        <v>28</v>
      </c>
      <c r="F647">
        <v>35</v>
      </c>
      <c r="G647" s="2">
        <v>93</v>
      </c>
      <c r="H647" s="2">
        <v>3255</v>
      </c>
      <c r="I647" s="4">
        <v>0.15</v>
      </c>
      <c r="J647" s="2">
        <v>2766.75</v>
      </c>
      <c r="K647" s="1">
        <v>44181</v>
      </c>
      <c r="M647">
        <v>646</v>
      </c>
      <c r="N647">
        <v>4</v>
      </c>
      <c r="O647" t="s">
        <v>52</v>
      </c>
      <c r="P647" s="3">
        <v>0.06</v>
      </c>
      <c r="Q647" s="2">
        <v>166.005</v>
      </c>
      <c r="R647">
        <v>2</v>
      </c>
      <c r="S647" t="str">
        <f t="shared" si="10"/>
        <v>Dezembro</v>
      </c>
    </row>
    <row r="648" spans="1:19">
      <c r="A648">
        <v>647</v>
      </c>
      <c r="B648" s="1">
        <v>44181</v>
      </c>
      <c r="C648">
        <v>15</v>
      </c>
      <c r="D648" t="s">
        <v>77</v>
      </c>
      <c r="E648" t="s">
        <v>28</v>
      </c>
      <c r="F648">
        <v>46</v>
      </c>
      <c r="G648" s="2">
        <v>96</v>
      </c>
      <c r="H648" s="2">
        <v>4416</v>
      </c>
      <c r="I648" s="4">
        <v>0.13</v>
      </c>
      <c r="J648" s="2">
        <v>3841.92</v>
      </c>
      <c r="K648" s="1">
        <v>44192</v>
      </c>
      <c r="L648" s="1">
        <v>44192</v>
      </c>
      <c r="M648">
        <v>647</v>
      </c>
      <c r="N648">
        <v>5</v>
      </c>
      <c r="O648" t="s">
        <v>69</v>
      </c>
      <c r="P648" s="3">
        <v>0.08</v>
      </c>
      <c r="Q648" s="2">
        <v>307.35360000000003</v>
      </c>
      <c r="R648">
        <v>3</v>
      </c>
      <c r="S648" t="str">
        <f t="shared" si="10"/>
        <v>Dezembro</v>
      </c>
    </row>
    <row r="649" spans="1:19">
      <c r="A649">
        <v>648</v>
      </c>
      <c r="B649" s="1">
        <v>44182</v>
      </c>
      <c r="C649">
        <v>18</v>
      </c>
      <c r="D649" t="s">
        <v>83</v>
      </c>
      <c r="E649" t="s">
        <v>28</v>
      </c>
      <c r="F649">
        <v>42</v>
      </c>
      <c r="G649" s="2">
        <v>100</v>
      </c>
      <c r="H649" s="2">
        <v>4200</v>
      </c>
      <c r="I649" s="4">
        <v>0.14000000000000001</v>
      </c>
      <c r="J649" s="2">
        <v>3612</v>
      </c>
      <c r="K649" s="1">
        <v>44183</v>
      </c>
      <c r="L649" s="1">
        <v>44183</v>
      </c>
      <c r="M649">
        <v>648</v>
      </c>
      <c r="N649">
        <v>6</v>
      </c>
      <c r="O649" t="s">
        <v>47</v>
      </c>
      <c r="P649" s="3">
        <v>0.05</v>
      </c>
      <c r="Q649" s="2">
        <v>180.60000000000002</v>
      </c>
      <c r="R649">
        <v>4</v>
      </c>
      <c r="S649" t="str">
        <f t="shared" si="10"/>
        <v>Dezembro</v>
      </c>
    </row>
    <row r="650" spans="1:19">
      <c r="A650">
        <v>649</v>
      </c>
      <c r="B650" s="1">
        <v>44182</v>
      </c>
      <c r="C650">
        <v>56</v>
      </c>
      <c r="D650" t="s">
        <v>67</v>
      </c>
      <c r="E650" t="s">
        <v>50</v>
      </c>
      <c r="F650">
        <v>22</v>
      </c>
      <c r="G650" s="2">
        <v>92</v>
      </c>
      <c r="H650" s="2">
        <v>2024</v>
      </c>
      <c r="I650" s="4">
        <v>0.02</v>
      </c>
      <c r="J650" s="2">
        <v>1983.52</v>
      </c>
      <c r="K650" s="1">
        <v>44196</v>
      </c>
      <c r="L650" s="1">
        <v>44196</v>
      </c>
      <c r="M650">
        <v>649</v>
      </c>
      <c r="N650">
        <v>5</v>
      </c>
      <c r="O650" t="s">
        <v>43</v>
      </c>
      <c r="P650" s="3">
        <v>0.1</v>
      </c>
      <c r="Q650" s="2">
        <v>198.352</v>
      </c>
      <c r="R650">
        <v>5</v>
      </c>
      <c r="S650" t="str">
        <f t="shared" si="10"/>
        <v>Dezembro</v>
      </c>
    </row>
    <row r="651" spans="1:19">
      <c r="A651">
        <v>650</v>
      </c>
      <c r="B651" s="1">
        <v>44182</v>
      </c>
      <c r="C651">
        <v>52</v>
      </c>
      <c r="D651" t="s">
        <v>23</v>
      </c>
      <c r="E651" t="s">
        <v>50</v>
      </c>
      <c r="F651">
        <v>21</v>
      </c>
      <c r="G651" s="2">
        <v>119</v>
      </c>
      <c r="H651" s="2">
        <v>2499</v>
      </c>
      <c r="I651" s="4">
        <v>0.13</v>
      </c>
      <c r="J651" s="2">
        <v>2174.13</v>
      </c>
      <c r="K651" s="1">
        <v>44199</v>
      </c>
      <c r="L651" s="1">
        <v>44199</v>
      </c>
      <c r="M651">
        <v>650</v>
      </c>
      <c r="N651">
        <v>4</v>
      </c>
      <c r="O651" t="s">
        <v>34</v>
      </c>
      <c r="P651" s="3">
        <v>0.05</v>
      </c>
      <c r="Q651" s="2">
        <v>108.70650000000001</v>
      </c>
      <c r="R651">
        <v>6</v>
      </c>
      <c r="S651" t="str">
        <f t="shared" si="10"/>
        <v>Dezembro</v>
      </c>
    </row>
    <row r="652" spans="1:19">
      <c r="A652">
        <v>651</v>
      </c>
      <c r="B652" s="1">
        <v>44182</v>
      </c>
      <c r="C652">
        <v>6</v>
      </c>
      <c r="D652" t="s">
        <v>88</v>
      </c>
      <c r="E652" t="s">
        <v>46</v>
      </c>
      <c r="F652">
        <v>29</v>
      </c>
      <c r="G652" s="2">
        <v>97</v>
      </c>
      <c r="H652" s="2">
        <v>2813</v>
      </c>
      <c r="I652" s="4">
        <v>0.09</v>
      </c>
      <c r="J652" s="2">
        <v>2559.83</v>
      </c>
      <c r="K652" s="1">
        <v>44206</v>
      </c>
      <c r="L652" s="1">
        <v>44206</v>
      </c>
      <c r="M652">
        <v>651</v>
      </c>
      <c r="N652">
        <v>7</v>
      </c>
      <c r="O652" t="s">
        <v>52</v>
      </c>
      <c r="P652" s="3">
        <v>7.0000000000000007E-2</v>
      </c>
      <c r="Q652" s="2">
        <v>179.18810000000002</v>
      </c>
      <c r="R652">
        <v>7</v>
      </c>
      <c r="S652" t="str">
        <f t="shared" si="10"/>
        <v>Dezembro</v>
      </c>
    </row>
    <row r="653" spans="1:19">
      <c r="A653">
        <v>652</v>
      </c>
      <c r="B653" s="1">
        <v>44184</v>
      </c>
      <c r="C653">
        <v>49</v>
      </c>
      <c r="D653" t="s">
        <v>38</v>
      </c>
      <c r="E653" t="s">
        <v>50</v>
      </c>
      <c r="F653">
        <v>45</v>
      </c>
      <c r="G653" s="2">
        <v>103</v>
      </c>
      <c r="H653" s="2">
        <v>4635</v>
      </c>
      <c r="I653" s="4">
        <v>0.02</v>
      </c>
      <c r="J653" s="2">
        <v>4542.3</v>
      </c>
      <c r="K653" s="1">
        <v>44207</v>
      </c>
      <c r="L653" s="1">
        <v>44207</v>
      </c>
      <c r="M653">
        <v>652</v>
      </c>
      <c r="N653">
        <v>7</v>
      </c>
      <c r="O653" t="s">
        <v>22</v>
      </c>
      <c r="P653" s="3">
        <v>0.09</v>
      </c>
      <c r="Q653" s="2">
        <v>408.80700000000002</v>
      </c>
      <c r="R653">
        <v>1</v>
      </c>
      <c r="S653" t="str">
        <f t="shared" si="10"/>
        <v>Dezembro</v>
      </c>
    </row>
    <row r="654" spans="1:19">
      <c r="A654">
        <v>653</v>
      </c>
      <c r="B654" s="1">
        <v>44185</v>
      </c>
      <c r="C654">
        <v>99</v>
      </c>
      <c r="D654" t="s">
        <v>84</v>
      </c>
      <c r="E654" t="s">
        <v>41</v>
      </c>
      <c r="F654">
        <v>27</v>
      </c>
      <c r="G654" s="2">
        <v>91</v>
      </c>
      <c r="H654" s="2">
        <v>2457</v>
      </c>
      <c r="I654" s="4">
        <v>0.08</v>
      </c>
      <c r="J654" s="2">
        <v>2260.44</v>
      </c>
      <c r="K654" s="1">
        <v>44193</v>
      </c>
      <c r="L654" s="1">
        <v>44193</v>
      </c>
      <c r="M654">
        <v>653</v>
      </c>
      <c r="N654">
        <v>7</v>
      </c>
      <c r="O654" t="s">
        <v>22</v>
      </c>
      <c r="P654" s="3">
        <v>0.05</v>
      </c>
      <c r="Q654" s="2">
        <v>113.02200000000001</v>
      </c>
      <c r="R654">
        <v>2</v>
      </c>
      <c r="S654" t="str">
        <f t="shared" si="10"/>
        <v>Dezembro</v>
      </c>
    </row>
    <row r="655" spans="1:19">
      <c r="A655">
        <v>654</v>
      </c>
      <c r="B655" s="1">
        <v>44186</v>
      </c>
      <c r="C655">
        <v>71</v>
      </c>
      <c r="D655" t="s">
        <v>20</v>
      </c>
      <c r="E655" t="s">
        <v>59</v>
      </c>
      <c r="F655">
        <v>30</v>
      </c>
      <c r="G655" s="2">
        <v>108</v>
      </c>
      <c r="H655" s="2">
        <v>3240</v>
      </c>
      <c r="I655" s="4">
        <v>0.13</v>
      </c>
      <c r="J655" s="2">
        <v>2818.8</v>
      </c>
      <c r="K655" s="1">
        <v>44197</v>
      </c>
      <c r="L655" s="1">
        <v>44197</v>
      </c>
      <c r="M655">
        <v>654</v>
      </c>
      <c r="N655">
        <v>2</v>
      </c>
      <c r="O655" t="s">
        <v>29</v>
      </c>
      <c r="P655" s="3">
        <v>7.0000000000000007E-2</v>
      </c>
      <c r="Q655" s="2">
        <v>197.31600000000003</v>
      </c>
      <c r="R655">
        <v>3</v>
      </c>
      <c r="S655" t="str">
        <f t="shared" si="10"/>
        <v>Dezembro</v>
      </c>
    </row>
    <row r="656" spans="1:19">
      <c r="A656">
        <v>655</v>
      </c>
      <c r="B656" s="1">
        <v>44186</v>
      </c>
      <c r="C656">
        <v>73</v>
      </c>
      <c r="D656" t="s">
        <v>38</v>
      </c>
      <c r="E656" t="s">
        <v>59</v>
      </c>
      <c r="F656">
        <v>40</v>
      </c>
      <c r="G656" s="2">
        <v>92</v>
      </c>
      <c r="H656" s="2">
        <v>3680</v>
      </c>
      <c r="I656" s="4">
        <v>0.02</v>
      </c>
      <c r="J656" s="2">
        <v>3606.4</v>
      </c>
      <c r="K656" s="1">
        <v>44196</v>
      </c>
      <c r="L656" s="1">
        <v>44196</v>
      </c>
      <c r="M656">
        <v>655</v>
      </c>
      <c r="N656">
        <v>7</v>
      </c>
      <c r="O656" t="s">
        <v>37</v>
      </c>
      <c r="P656" s="3">
        <v>0.05</v>
      </c>
      <c r="Q656" s="2">
        <v>180.32000000000002</v>
      </c>
      <c r="R656">
        <v>4</v>
      </c>
      <c r="S656" t="str">
        <f t="shared" si="10"/>
        <v>Dezembro</v>
      </c>
    </row>
    <row r="657" spans="1:19">
      <c r="A657">
        <v>656</v>
      </c>
      <c r="B657" s="1">
        <v>44186</v>
      </c>
      <c r="C657">
        <v>6</v>
      </c>
      <c r="D657" t="s">
        <v>88</v>
      </c>
      <c r="E657" t="s">
        <v>24</v>
      </c>
      <c r="F657">
        <v>37</v>
      </c>
      <c r="G657" s="2">
        <v>92</v>
      </c>
      <c r="H657" s="2">
        <v>3404</v>
      </c>
      <c r="I657" s="4">
        <v>0.04</v>
      </c>
      <c r="J657" s="2">
        <v>3267.84</v>
      </c>
      <c r="K657" s="1">
        <v>44205</v>
      </c>
      <c r="L657" s="1">
        <v>44205</v>
      </c>
      <c r="M657">
        <v>656</v>
      </c>
      <c r="N657">
        <v>6</v>
      </c>
      <c r="O657" t="s">
        <v>52</v>
      </c>
      <c r="P657" s="3">
        <v>0.08</v>
      </c>
      <c r="Q657" s="2">
        <v>261.42720000000003</v>
      </c>
      <c r="R657">
        <v>5</v>
      </c>
      <c r="S657" t="str">
        <f t="shared" si="10"/>
        <v>Dezembro</v>
      </c>
    </row>
    <row r="658" spans="1:19">
      <c r="A658">
        <v>657</v>
      </c>
      <c r="B658" s="1">
        <v>44186</v>
      </c>
      <c r="C658">
        <v>13</v>
      </c>
      <c r="D658" t="s">
        <v>75</v>
      </c>
      <c r="E658" t="s">
        <v>55</v>
      </c>
      <c r="F658">
        <v>40</v>
      </c>
      <c r="G658" s="2">
        <v>111</v>
      </c>
      <c r="H658" s="2">
        <v>4440</v>
      </c>
      <c r="I658" s="4">
        <v>0.02</v>
      </c>
      <c r="J658" s="2">
        <v>4351.2</v>
      </c>
      <c r="K658" s="1">
        <v>44189</v>
      </c>
      <c r="L658" s="1">
        <v>44189</v>
      </c>
      <c r="M658">
        <v>657</v>
      </c>
      <c r="N658">
        <v>7</v>
      </c>
      <c r="O658" t="s">
        <v>25</v>
      </c>
      <c r="P658" s="3">
        <v>0.08</v>
      </c>
      <c r="Q658" s="2">
        <v>348.096</v>
      </c>
      <c r="R658">
        <v>6</v>
      </c>
      <c r="S658" t="str">
        <f t="shared" si="10"/>
        <v>Dezembro</v>
      </c>
    </row>
    <row r="659" spans="1:19">
      <c r="A659">
        <v>658</v>
      </c>
      <c r="B659" s="1">
        <v>44187</v>
      </c>
      <c r="C659">
        <v>72</v>
      </c>
      <c r="D659" t="s">
        <v>38</v>
      </c>
      <c r="E659" t="s">
        <v>21</v>
      </c>
      <c r="F659">
        <v>31</v>
      </c>
      <c r="G659" s="2">
        <v>104</v>
      </c>
      <c r="H659" s="2">
        <v>3224</v>
      </c>
      <c r="I659" s="4">
        <v>0.11</v>
      </c>
      <c r="J659" s="2">
        <v>2869.36</v>
      </c>
      <c r="K659" s="1">
        <v>44196</v>
      </c>
      <c r="L659" s="1">
        <v>44196</v>
      </c>
      <c r="M659">
        <v>658</v>
      </c>
      <c r="N659">
        <v>5</v>
      </c>
      <c r="O659" t="s">
        <v>22</v>
      </c>
      <c r="P659" s="3">
        <v>0.06</v>
      </c>
      <c r="Q659" s="2">
        <v>172.16159999999999</v>
      </c>
      <c r="R659">
        <v>7</v>
      </c>
      <c r="S659" t="str">
        <f t="shared" si="10"/>
        <v>Dezembro</v>
      </c>
    </row>
    <row r="660" spans="1:19">
      <c r="A660">
        <v>659</v>
      </c>
      <c r="B660" s="1">
        <v>44187</v>
      </c>
      <c r="C660">
        <v>9</v>
      </c>
      <c r="D660" t="s">
        <v>36</v>
      </c>
      <c r="E660" t="s">
        <v>24</v>
      </c>
      <c r="F660">
        <v>36</v>
      </c>
      <c r="G660" s="2">
        <v>98</v>
      </c>
      <c r="H660" s="2">
        <v>3528</v>
      </c>
      <c r="I660" s="4">
        <v>0.14000000000000001</v>
      </c>
      <c r="J660" s="2">
        <v>3034.08</v>
      </c>
      <c r="K660" s="1">
        <v>44209</v>
      </c>
      <c r="L660" s="1">
        <v>44209</v>
      </c>
      <c r="M660">
        <v>659</v>
      </c>
      <c r="N660">
        <v>4</v>
      </c>
      <c r="O660" t="s">
        <v>52</v>
      </c>
      <c r="P660" s="3">
        <v>0.1</v>
      </c>
      <c r="Q660" s="2">
        <v>303.40800000000002</v>
      </c>
      <c r="R660">
        <v>1</v>
      </c>
      <c r="S660" t="str">
        <f t="shared" si="10"/>
        <v>Dezembro</v>
      </c>
    </row>
    <row r="661" spans="1:19">
      <c r="A661">
        <v>660</v>
      </c>
      <c r="B661" s="1">
        <v>44190</v>
      </c>
      <c r="C661">
        <v>57</v>
      </c>
      <c r="D661" t="s">
        <v>89</v>
      </c>
      <c r="E661" t="s">
        <v>28</v>
      </c>
      <c r="F661">
        <v>25</v>
      </c>
      <c r="G661" s="2">
        <v>106</v>
      </c>
      <c r="H661" s="2">
        <v>2650</v>
      </c>
      <c r="I661" s="4">
        <v>0.06</v>
      </c>
      <c r="J661" s="2">
        <v>2491</v>
      </c>
      <c r="K661" s="1">
        <v>44192</v>
      </c>
      <c r="L661" s="1">
        <v>44192</v>
      </c>
      <c r="M661">
        <v>660</v>
      </c>
      <c r="N661">
        <v>7</v>
      </c>
      <c r="O661" t="s">
        <v>34</v>
      </c>
      <c r="P661" s="3">
        <v>0.09</v>
      </c>
      <c r="Q661" s="2">
        <v>224.19</v>
      </c>
      <c r="R661">
        <v>2</v>
      </c>
      <c r="S661" t="str">
        <f t="shared" si="10"/>
        <v>Dezembro</v>
      </c>
    </row>
    <row r="662" spans="1:19">
      <c r="A662">
        <v>661</v>
      </c>
      <c r="B662" s="1">
        <v>44190</v>
      </c>
      <c r="C662">
        <v>6</v>
      </c>
      <c r="D662" t="s">
        <v>88</v>
      </c>
      <c r="E662" t="s">
        <v>46</v>
      </c>
      <c r="F662">
        <v>15</v>
      </c>
      <c r="G662" s="2">
        <v>118</v>
      </c>
      <c r="H662" s="2">
        <v>1770</v>
      </c>
      <c r="I662" s="4">
        <v>0.15</v>
      </c>
      <c r="J662" s="2">
        <v>1504.5</v>
      </c>
      <c r="K662" s="1">
        <v>44214</v>
      </c>
      <c r="L662" s="1">
        <v>44214</v>
      </c>
      <c r="M662">
        <v>661</v>
      </c>
      <c r="N662">
        <v>5</v>
      </c>
      <c r="O662" t="s">
        <v>69</v>
      </c>
      <c r="P662" s="3">
        <v>0.05</v>
      </c>
      <c r="Q662" s="2">
        <v>75.225000000000009</v>
      </c>
      <c r="R662">
        <v>3</v>
      </c>
      <c r="S662" t="str">
        <f t="shared" si="10"/>
        <v>Dezembro</v>
      </c>
    </row>
    <row r="663" spans="1:19">
      <c r="A663">
        <v>662</v>
      </c>
      <c r="B663" s="1">
        <v>44191</v>
      </c>
      <c r="C663">
        <v>48</v>
      </c>
      <c r="D663" t="s">
        <v>61</v>
      </c>
      <c r="E663" t="s">
        <v>24</v>
      </c>
      <c r="F663">
        <v>32</v>
      </c>
      <c r="G663" s="2">
        <v>93</v>
      </c>
      <c r="H663" s="2">
        <v>2976</v>
      </c>
      <c r="I663" s="4">
        <v>0.11</v>
      </c>
      <c r="J663" s="2">
        <v>2648.64</v>
      </c>
      <c r="K663" s="1">
        <v>44208</v>
      </c>
      <c r="L663" s="1">
        <v>44208</v>
      </c>
      <c r="M663">
        <v>662</v>
      </c>
      <c r="N663">
        <v>4</v>
      </c>
      <c r="O663" t="s">
        <v>22</v>
      </c>
      <c r="P663" s="3">
        <v>0.1</v>
      </c>
      <c r="Q663" s="2">
        <v>264.86399999999998</v>
      </c>
      <c r="R663">
        <v>4</v>
      </c>
      <c r="S663" t="str">
        <f t="shared" si="10"/>
        <v>Dezembro</v>
      </c>
    </row>
    <row r="664" spans="1:19">
      <c r="A664">
        <v>663</v>
      </c>
      <c r="B664" s="1">
        <v>44191</v>
      </c>
      <c r="C664">
        <v>38</v>
      </c>
      <c r="D664" t="s">
        <v>73</v>
      </c>
      <c r="E664" t="s">
        <v>54</v>
      </c>
      <c r="F664">
        <v>28</v>
      </c>
      <c r="G664" s="2">
        <v>90</v>
      </c>
      <c r="H664" s="2">
        <v>2520</v>
      </c>
      <c r="I664" s="4">
        <v>0.06</v>
      </c>
      <c r="J664" s="2">
        <v>2368.8000000000002</v>
      </c>
      <c r="K664" s="1">
        <v>44195</v>
      </c>
      <c r="L664" s="1">
        <v>44195</v>
      </c>
      <c r="M664">
        <v>663</v>
      </c>
      <c r="N664">
        <v>7</v>
      </c>
      <c r="O664" t="s">
        <v>47</v>
      </c>
      <c r="P664" s="3">
        <v>0.06</v>
      </c>
      <c r="Q664" s="2">
        <v>142.12800000000001</v>
      </c>
      <c r="R664">
        <v>5</v>
      </c>
      <c r="S664" t="str">
        <f t="shared" si="10"/>
        <v>Dezembro</v>
      </c>
    </row>
    <row r="665" spans="1:19">
      <c r="A665">
        <v>664</v>
      </c>
      <c r="B665" s="1">
        <v>44191</v>
      </c>
      <c r="C665">
        <v>93</v>
      </c>
      <c r="D665" t="s">
        <v>33</v>
      </c>
      <c r="E665" t="s">
        <v>21</v>
      </c>
      <c r="F665">
        <v>29</v>
      </c>
      <c r="G665" s="2">
        <v>92</v>
      </c>
      <c r="H665" s="2">
        <v>2668</v>
      </c>
      <c r="I665" s="4">
        <v>0.13</v>
      </c>
      <c r="J665" s="2">
        <v>2321.16</v>
      </c>
      <c r="K665" s="1">
        <v>44218</v>
      </c>
      <c r="M665">
        <v>664</v>
      </c>
      <c r="N665">
        <v>3</v>
      </c>
      <c r="O665" t="s">
        <v>69</v>
      </c>
      <c r="P665" s="3">
        <v>0.08</v>
      </c>
      <c r="Q665" s="2">
        <v>185.69280000000001</v>
      </c>
      <c r="R665">
        <v>6</v>
      </c>
      <c r="S665" t="str">
        <f t="shared" si="10"/>
        <v>Dezembro</v>
      </c>
    </row>
    <row r="666" spans="1:19">
      <c r="A666">
        <v>665</v>
      </c>
      <c r="B666" s="1">
        <v>44192</v>
      </c>
      <c r="C666">
        <v>58</v>
      </c>
      <c r="D666" t="s">
        <v>72</v>
      </c>
      <c r="E666" t="s">
        <v>46</v>
      </c>
      <c r="F666">
        <v>11</v>
      </c>
      <c r="G666" s="2">
        <v>117</v>
      </c>
      <c r="H666" s="2">
        <v>1287</v>
      </c>
      <c r="I666" s="4">
        <v>0.14000000000000001</v>
      </c>
      <c r="J666" s="2">
        <v>1106.82</v>
      </c>
      <c r="K666" s="1">
        <v>44192</v>
      </c>
      <c r="L666" s="1">
        <v>44192</v>
      </c>
      <c r="M666">
        <v>665</v>
      </c>
      <c r="N666">
        <v>1</v>
      </c>
      <c r="O666" t="s">
        <v>25</v>
      </c>
      <c r="P666" s="3">
        <v>0.09</v>
      </c>
      <c r="Q666" s="2">
        <v>99.613799999999998</v>
      </c>
      <c r="R666">
        <v>7</v>
      </c>
      <c r="S666" t="str">
        <f t="shared" si="10"/>
        <v>Dezembro</v>
      </c>
    </row>
    <row r="667" spans="1:19">
      <c r="A667">
        <v>666</v>
      </c>
      <c r="B667" s="1">
        <v>44193</v>
      </c>
      <c r="C667">
        <v>76</v>
      </c>
      <c r="D667" t="s">
        <v>104</v>
      </c>
      <c r="E667" t="s">
        <v>54</v>
      </c>
      <c r="F667">
        <v>13</v>
      </c>
      <c r="G667" s="2">
        <v>93</v>
      </c>
      <c r="H667" s="2">
        <v>1209</v>
      </c>
      <c r="I667" s="4">
        <v>0</v>
      </c>
      <c r="J667" s="2">
        <v>1209</v>
      </c>
      <c r="K667" s="1">
        <v>44210</v>
      </c>
      <c r="L667" s="1">
        <v>44210</v>
      </c>
      <c r="M667">
        <v>666</v>
      </c>
      <c r="N667">
        <v>7</v>
      </c>
      <c r="O667" t="s">
        <v>47</v>
      </c>
      <c r="P667" s="3">
        <v>0.1</v>
      </c>
      <c r="Q667" s="2">
        <v>120.9</v>
      </c>
      <c r="R667">
        <v>1</v>
      </c>
      <c r="S667" t="str">
        <f t="shared" si="10"/>
        <v>Dezembro</v>
      </c>
    </row>
    <row r="668" spans="1:19">
      <c r="A668">
        <v>667</v>
      </c>
      <c r="B668" s="1">
        <v>44193</v>
      </c>
      <c r="C668">
        <v>66</v>
      </c>
      <c r="D668" t="s">
        <v>30</v>
      </c>
      <c r="E668" t="s">
        <v>41</v>
      </c>
      <c r="F668">
        <v>17</v>
      </c>
      <c r="G668" s="2">
        <v>118</v>
      </c>
      <c r="H668" s="2">
        <v>2006</v>
      </c>
      <c r="I668" s="4">
        <v>0.06</v>
      </c>
      <c r="J668" s="2">
        <v>1885.64</v>
      </c>
      <c r="K668" s="1">
        <v>44198</v>
      </c>
      <c r="L668" s="1">
        <v>44198</v>
      </c>
      <c r="M668">
        <v>667</v>
      </c>
      <c r="N668">
        <v>7</v>
      </c>
      <c r="O668" t="s">
        <v>25</v>
      </c>
      <c r="P668" s="3">
        <v>0.06</v>
      </c>
      <c r="Q668" s="2">
        <v>113.1384</v>
      </c>
      <c r="R668">
        <v>2</v>
      </c>
      <c r="S668" t="str">
        <f t="shared" si="10"/>
        <v>Dezembro</v>
      </c>
    </row>
    <row r="669" spans="1:19">
      <c r="A669">
        <v>668</v>
      </c>
      <c r="B669" s="1">
        <v>44194</v>
      </c>
      <c r="C669">
        <v>18</v>
      </c>
      <c r="D669" t="s">
        <v>83</v>
      </c>
      <c r="E669" t="s">
        <v>28</v>
      </c>
      <c r="F669">
        <v>10</v>
      </c>
      <c r="G669" s="2">
        <v>112</v>
      </c>
      <c r="H669" s="2">
        <v>1120</v>
      </c>
      <c r="I669" s="4">
        <v>0.06</v>
      </c>
      <c r="J669" s="2">
        <v>1052.8</v>
      </c>
      <c r="K669" s="1">
        <v>44194</v>
      </c>
      <c r="L669" s="1">
        <v>44194</v>
      </c>
      <c r="M669">
        <v>668</v>
      </c>
      <c r="N669">
        <v>7</v>
      </c>
      <c r="O669" t="s">
        <v>22</v>
      </c>
      <c r="P669" s="3">
        <v>0.08</v>
      </c>
      <c r="Q669" s="2">
        <v>84.224000000000004</v>
      </c>
      <c r="R669">
        <v>3</v>
      </c>
      <c r="S669" t="str">
        <f t="shared" si="10"/>
        <v>Dezembro</v>
      </c>
    </row>
    <row r="670" spans="1:19">
      <c r="A670">
        <v>669</v>
      </c>
      <c r="B670" s="1">
        <v>44195</v>
      </c>
      <c r="C670">
        <v>11</v>
      </c>
      <c r="D670" t="s">
        <v>60</v>
      </c>
      <c r="E670" t="s">
        <v>59</v>
      </c>
      <c r="F670">
        <v>31</v>
      </c>
      <c r="G670" s="2">
        <v>115</v>
      </c>
      <c r="H670" s="2">
        <v>3565</v>
      </c>
      <c r="I670" s="4">
        <v>0.04</v>
      </c>
      <c r="J670" s="2">
        <v>3422.4</v>
      </c>
      <c r="K670" s="1">
        <v>44200</v>
      </c>
      <c r="L670" s="1">
        <v>44200</v>
      </c>
      <c r="M670">
        <v>669</v>
      </c>
      <c r="N670">
        <v>3</v>
      </c>
      <c r="O670" t="s">
        <v>34</v>
      </c>
      <c r="P670" s="3">
        <v>0.09</v>
      </c>
      <c r="Q670" s="2">
        <v>308.01600000000002</v>
      </c>
      <c r="R670">
        <v>4</v>
      </c>
      <c r="S670" t="str">
        <f t="shared" si="10"/>
        <v>Dezembro</v>
      </c>
    </row>
    <row r="671" spans="1:19">
      <c r="A671">
        <v>670</v>
      </c>
      <c r="B671" s="1">
        <v>44195</v>
      </c>
      <c r="C671">
        <v>22</v>
      </c>
      <c r="D671" t="s">
        <v>51</v>
      </c>
      <c r="E671" t="s">
        <v>31</v>
      </c>
      <c r="F671">
        <v>37</v>
      </c>
      <c r="G671" s="2">
        <v>110</v>
      </c>
      <c r="H671" s="2">
        <v>4070</v>
      </c>
      <c r="I671" s="4">
        <v>0.05</v>
      </c>
      <c r="J671" s="2">
        <v>3866.5</v>
      </c>
      <c r="K671" s="1">
        <v>44210</v>
      </c>
      <c r="M671">
        <v>670</v>
      </c>
      <c r="N671">
        <v>6</v>
      </c>
      <c r="O671" t="s">
        <v>37</v>
      </c>
      <c r="P671" s="3">
        <v>0.06</v>
      </c>
      <c r="Q671" s="2">
        <v>231.98999999999998</v>
      </c>
      <c r="R671">
        <v>5</v>
      </c>
      <c r="S671" t="str">
        <f t="shared" si="10"/>
        <v>Dezembro</v>
      </c>
    </row>
    <row r="672" spans="1:19">
      <c r="A672">
        <v>671</v>
      </c>
      <c r="B672" s="1">
        <v>44195</v>
      </c>
      <c r="C672">
        <v>79</v>
      </c>
      <c r="D672" t="s">
        <v>33</v>
      </c>
      <c r="E672" t="s">
        <v>55</v>
      </c>
      <c r="F672">
        <v>21</v>
      </c>
      <c r="G672" s="2">
        <v>103</v>
      </c>
      <c r="H672" s="2">
        <v>2163</v>
      </c>
      <c r="I672" s="4">
        <v>0.09</v>
      </c>
      <c r="J672" s="2">
        <v>1968.33</v>
      </c>
      <c r="K672" s="1">
        <v>44221</v>
      </c>
      <c r="L672" s="1">
        <v>44221</v>
      </c>
      <c r="M672">
        <v>671</v>
      </c>
      <c r="N672">
        <v>5</v>
      </c>
      <c r="O672" t="s">
        <v>52</v>
      </c>
      <c r="P672" s="3">
        <v>7.0000000000000007E-2</v>
      </c>
      <c r="Q672" s="2">
        <v>137.78310000000002</v>
      </c>
      <c r="R672">
        <v>6</v>
      </c>
      <c r="S672" t="str">
        <f t="shared" si="10"/>
        <v>Dezembro</v>
      </c>
    </row>
    <row r="673" spans="1:19">
      <c r="A673">
        <v>672</v>
      </c>
      <c r="B673" s="1">
        <v>44196</v>
      </c>
      <c r="C673">
        <v>72</v>
      </c>
      <c r="D673" t="s">
        <v>38</v>
      </c>
      <c r="E673" t="s">
        <v>59</v>
      </c>
      <c r="F673">
        <v>44</v>
      </c>
      <c r="G673" s="2">
        <v>116</v>
      </c>
      <c r="H673" s="2">
        <v>5104</v>
      </c>
      <c r="I673" s="4">
        <v>0.11</v>
      </c>
      <c r="J673" s="2">
        <v>4542.5599999999995</v>
      </c>
      <c r="K673" s="1">
        <v>44211</v>
      </c>
      <c r="L673" s="1">
        <v>44211</v>
      </c>
      <c r="M673">
        <v>672</v>
      </c>
      <c r="N673">
        <v>6</v>
      </c>
      <c r="O673" t="s">
        <v>43</v>
      </c>
      <c r="P673" s="3">
        <v>0.05</v>
      </c>
      <c r="Q673" s="2">
        <v>227.12799999999999</v>
      </c>
      <c r="R673">
        <v>7</v>
      </c>
      <c r="S673" t="str">
        <f t="shared" si="10"/>
        <v>Dezembro</v>
      </c>
    </row>
    <row r="674" spans="1:19">
      <c r="A674">
        <v>673</v>
      </c>
      <c r="B674" s="1">
        <v>44196</v>
      </c>
      <c r="C674">
        <v>86</v>
      </c>
      <c r="D674" t="s">
        <v>90</v>
      </c>
      <c r="E674" t="s">
        <v>50</v>
      </c>
      <c r="F674">
        <v>28</v>
      </c>
      <c r="G674" s="2">
        <v>110</v>
      </c>
      <c r="H674" s="2">
        <v>3080</v>
      </c>
      <c r="I674" s="4">
        <v>0.12</v>
      </c>
      <c r="J674" s="2">
        <v>2710.4</v>
      </c>
      <c r="K674" s="1">
        <v>44199</v>
      </c>
      <c r="L674" s="1">
        <v>44199</v>
      </c>
      <c r="M674">
        <v>673</v>
      </c>
      <c r="N674">
        <v>4</v>
      </c>
      <c r="O674" t="s">
        <v>22</v>
      </c>
      <c r="P674" s="3">
        <v>0.05</v>
      </c>
      <c r="Q674" s="2">
        <v>135.52000000000001</v>
      </c>
      <c r="R674">
        <v>1</v>
      </c>
      <c r="S674" t="str">
        <f t="shared" si="10"/>
        <v>Dezembro</v>
      </c>
    </row>
    <row r="675" spans="1:19">
      <c r="A675">
        <v>674</v>
      </c>
      <c r="B675" s="1">
        <v>44199</v>
      </c>
      <c r="C675">
        <v>13</v>
      </c>
      <c r="D675" t="s">
        <v>75</v>
      </c>
      <c r="E675" t="s">
        <v>24</v>
      </c>
      <c r="F675">
        <v>19</v>
      </c>
      <c r="G675" s="2">
        <v>115</v>
      </c>
      <c r="H675" s="2">
        <v>2185</v>
      </c>
      <c r="I675" s="4">
        <v>0.06</v>
      </c>
      <c r="J675" s="2">
        <v>2053.9</v>
      </c>
      <c r="K675" s="1">
        <v>44210</v>
      </c>
      <c r="L675" s="1">
        <v>44210</v>
      </c>
      <c r="M675">
        <v>674</v>
      </c>
      <c r="N675">
        <v>3</v>
      </c>
      <c r="O675" t="s">
        <v>52</v>
      </c>
      <c r="P675" s="3">
        <v>0.05</v>
      </c>
      <c r="Q675" s="2">
        <v>102.69500000000001</v>
      </c>
      <c r="R675">
        <v>2</v>
      </c>
      <c r="S675" t="str">
        <f t="shared" si="10"/>
        <v>Janeiro</v>
      </c>
    </row>
    <row r="676" spans="1:19">
      <c r="A676">
        <v>675</v>
      </c>
      <c r="B676" s="1">
        <v>44199</v>
      </c>
      <c r="C676">
        <v>64</v>
      </c>
      <c r="D676" t="s">
        <v>78</v>
      </c>
      <c r="E676" t="s">
        <v>24</v>
      </c>
      <c r="F676">
        <v>27</v>
      </c>
      <c r="G676" s="2">
        <v>99</v>
      </c>
      <c r="H676" s="2">
        <v>2673</v>
      </c>
      <c r="I676" s="4">
        <v>0.08</v>
      </c>
      <c r="J676" s="2">
        <v>2459.16</v>
      </c>
      <c r="K676" s="1">
        <v>44208</v>
      </c>
      <c r="L676" s="1">
        <v>44208</v>
      </c>
      <c r="M676">
        <v>675</v>
      </c>
      <c r="N676">
        <v>6</v>
      </c>
      <c r="O676" t="s">
        <v>69</v>
      </c>
      <c r="P676" s="3">
        <v>0.09</v>
      </c>
      <c r="Q676" s="2">
        <v>221.32439999999997</v>
      </c>
      <c r="R676">
        <v>3</v>
      </c>
      <c r="S676" t="str">
        <f t="shared" si="10"/>
        <v>Janeiro</v>
      </c>
    </row>
    <row r="677" spans="1:19">
      <c r="A677">
        <v>676</v>
      </c>
      <c r="B677" s="1">
        <v>44199</v>
      </c>
      <c r="C677">
        <v>20</v>
      </c>
      <c r="D677" t="s">
        <v>39</v>
      </c>
      <c r="E677" t="s">
        <v>54</v>
      </c>
      <c r="F677">
        <v>47</v>
      </c>
      <c r="G677" s="2">
        <v>94</v>
      </c>
      <c r="H677" s="2">
        <v>4418</v>
      </c>
      <c r="I677" s="4">
        <v>0.08</v>
      </c>
      <c r="J677" s="2">
        <v>4064.56</v>
      </c>
      <c r="K677" s="1">
        <v>44215</v>
      </c>
      <c r="L677" s="1">
        <v>44215</v>
      </c>
      <c r="M677">
        <v>676</v>
      </c>
      <c r="N677">
        <v>7</v>
      </c>
      <c r="O677" t="s">
        <v>69</v>
      </c>
      <c r="P677" s="3">
        <v>0.1</v>
      </c>
      <c r="Q677" s="2">
        <v>406.45600000000002</v>
      </c>
      <c r="R677">
        <v>4</v>
      </c>
      <c r="S677" t="str">
        <f t="shared" si="10"/>
        <v>Janeiro</v>
      </c>
    </row>
    <row r="678" spans="1:19">
      <c r="A678">
        <v>677</v>
      </c>
      <c r="B678" s="1">
        <v>44200</v>
      </c>
      <c r="C678">
        <v>47</v>
      </c>
      <c r="D678" t="s">
        <v>40</v>
      </c>
      <c r="E678" t="s">
        <v>31</v>
      </c>
      <c r="F678">
        <v>34</v>
      </c>
      <c r="G678" s="2">
        <v>108</v>
      </c>
      <c r="H678" s="2">
        <v>3672</v>
      </c>
      <c r="I678" s="4">
        <v>0.01</v>
      </c>
      <c r="J678" s="2">
        <v>3635.28</v>
      </c>
      <c r="K678" s="1">
        <v>44204</v>
      </c>
      <c r="L678" s="1">
        <v>44204</v>
      </c>
      <c r="M678">
        <v>677</v>
      </c>
      <c r="N678">
        <v>6</v>
      </c>
      <c r="O678" t="s">
        <v>52</v>
      </c>
      <c r="P678" s="3">
        <v>0.05</v>
      </c>
      <c r="Q678" s="2">
        <v>181.76400000000001</v>
      </c>
      <c r="R678">
        <v>5</v>
      </c>
      <c r="S678" t="str">
        <f t="shared" si="10"/>
        <v>Janeiro</v>
      </c>
    </row>
    <row r="679" spans="1:19">
      <c r="A679">
        <v>678</v>
      </c>
      <c r="B679" s="1">
        <v>44201</v>
      </c>
      <c r="C679">
        <v>92</v>
      </c>
      <c r="D679" t="s">
        <v>26</v>
      </c>
      <c r="E679" t="s">
        <v>46</v>
      </c>
      <c r="F679">
        <v>30</v>
      </c>
      <c r="G679" s="2">
        <v>95</v>
      </c>
      <c r="H679" s="2">
        <v>2850</v>
      </c>
      <c r="I679" s="4">
        <v>0.03</v>
      </c>
      <c r="J679" s="2">
        <v>2764.5</v>
      </c>
      <c r="K679" s="1">
        <v>44217</v>
      </c>
      <c r="L679" s="1">
        <v>44217</v>
      </c>
      <c r="M679">
        <v>678</v>
      </c>
      <c r="N679">
        <v>7</v>
      </c>
      <c r="O679" t="s">
        <v>47</v>
      </c>
      <c r="P679" s="3">
        <v>0.08</v>
      </c>
      <c r="Q679" s="2">
        <v>221.16</v>
      </c>
      <c r="R679">
        <v>6</v>
      </c>
      <c r="S679" t="str">
        <f t="shared" si="10"/>
        <v>Janeiro</v>
      </c>
    </row>
    <row r="680" spans="1:19">
      <c r="A680">
        <v>679</v>
      </c>
      <c r="B680" s="1">
        <v>44202</v>
      </c>
      <c r="C680">
        <v>70</v>
      </c>
      <c r="D680" t="s">
        <v>67</v>
      </c>
      <c r="E680" t="s">
        <v>46</v>
      </c>
      <c r="F680">
        <v>30</v>
      </c>
      <c r="G680" s="2">
        <v>91</v>
      </c>
      <c r="H680" s="2">
        <v>2730</v>
      </c>
      <c r="I680" s="4">
        <v>0.05</v>
      </c>
      <c r="J680" s="2">
        <v>2593.5</v>
      </c>
      <c r="K680" s="1">
        <v>44228</v>
      </c>
      <c r="L680" s="1">
        <v>44228</v>
      </c>
      <c r="M680">
        <v>679</v>
      </c>
      <c r="N680">
        <v>4</v>
      </c>
      <c r="O680" t="s">
        <v>32</v>
      </c>
      <c r="P680" s="3">
        <v>0.08</v>
      </c>
      <c r="Q680" s="2">
        <v>207.48000000000002</v>
      </c>
      <c r="R680">
        <v>7</v>
      </c>
      <c r="S680" t="str">
        <f t="shared" si="10"/>
        <v>Janeiro</v>
      </c>
    </row>
    <row r="681" spans="1:19">
      <c r="A681">
        <v>680</v>
      </c>
      <c r="B681" s="1">
        <v>44202</v>
      </c>
      <c r="C681">
        <v>33</v>
      </c>
      <c r="D681" t="s">
        <v>76</v>
      </c>
      <c r="E681" t="s">
        <v>46</v>
      </c>
      <c r="F681">
        <v>29</v>
      </c>
      <c r="G681" s="2">
        <v>92</v>
      </c>
      <c r="H681" s="2">
        <v>2668</v>
      </c>
      <c r="I681" s="4">
        <v>0.14000000000000001</v>
      </c>
      <c r="J681" s="2">
        <v>2294.48</v>
      </c>
      <c r="K681" s="1">
        <v>44204</v>
      </c>
      <c r="L681" s="1">
        <v>44204</v>
      </c>
      <c r="M681">
        <v>680</v>
      </c>
      <c r="N681">
        <v>1</v>
      </c>
      <c r="O681" t="s">
        <v>25</v>
      </c>
      <c r="P681" s="3">
        <v>0.08</v>
      </c>
      <c r="Q681" s="2">
        <v>183.55840000000001</v>
      </c>
      <c r="R681">
        <v>1</v>
      </c>
      <c r="S681" t="str">
        <f t="shared" si="10"/>
        <v>Janeiro</v>
      </c>
    </row>
    <row r="682" spans="1:19">
      <c r="A682">
        <v>681</v>
      </c>
      <c r="B682" s="1">
        <v>44202</v>
      </c>
      <c r="C682">
        <v>50</v>
      </c>
      <c r="D682" t="s">
        <v>81</v>
      </c>
      <c r="E682" t="s">
        <v>50</v>
      </c>
      <c r="F682">
        <v>19</v>
      </c>
      <c r="G682" s="2">
        <v>111</v>
      </c>
      <c r="H682" s="2">
        <v>2109</v>
      </c>
      <c r="I682" s="4">
        <v>0.08</v>
      </c>
      <c r="J682" s="2">
        <v>1940.28</v>
      </c>
      <c r="K682" s="1">
        <v>44205</v>
      </c>
      <c r="L682" s="1">
        <v>44205</v>
      </c>
      <c r="M682">
        <v>681</v>
      </c>
      <c r="N682">
        <v>7</v>
      </c>
      <c r="O682" t="s">
        <v>43</v>
      </c>
      <c r="P682" s="3">
        <v>0.08</v>
      </c>
      <c r="Q682" s="2">
        <v>155.22239999999999</v>
      </c>
      <c r="R682">
        <v>2</v>
      </c>
      <c r="S682" t="str">
        <f t="shared" si="10"/>
        <v>Janeiro</v>
      </c>
    </row>
    <row r="683" spans="1:19">
      <c r="A683">
        <v>682</v>
      </c>
      <c r="B683" s="1">
        <v>44202</v>
      </c>
      <c r="C683">
        <v>57</v>
      </c>
      <c r="D683" t="s">
        <v>89</v>
      </c>
      <c r="E683" t="s">
        <v>41</v>
      </c>
      <c r="F683">
        <v>27</v>
      </c>
      <c r="G683" s="2">
        <v>111</v>
      </c>
      <c r="H683" s="2">
        <v>2997</v>
      </c>
      <c r="I683" s="4">
        <v>0.04</v>
      </c>
      <c r="J683" s="2">
        <v>2877.12</v>
      </c>
      <c r="K683" s="1">
        <v>44209</v>
      </c>
      <c r="L683" s="1">
        <v>44209</v>
      </c>
      <c r="M683">
        <v>682</v>
      </c>
      <c r="N683">
        <v>3</v>
      </c>
      <c r="O683" t="s">
        <v>37</v>
      </c>
      <c r="P683" s="3">
        <v>0.06</v>
      </c>
      <c r="Q683" s="2">
        <v>172.62719999999999</v>
      </c>
      <c r="R683">
        <v>3</v>
      </c>
      <c r="S683" t="str">
        <f t="shared" si="10"/>
        <v>Janeiro</v>
      </c>
    </row>
    <row r="684" spans="1:19">
      <c r="A684">
        <v>683</v>
      </c>
      <c r="B684" s="1">
        <v>44202</v>
      </c>
      <c r="C684">
        <v>7</v>
      </c>
      <c r="D684" t="s">
        <v>102</v>
      </c>
      <c r="E684" t="s">
        <v>31</v>
      </c>
      <c r="F684">
        <v>43</v>
      </c>
      <c r="G684" s="2">
        <v>118</v>
      </c>
      <c r="H684" s="2">
        <v>5074</v>
      </c>
      <c r="I684" s="4">
        <v>0.15</v>
      </c>
      <c r="J684" s="2">
        <v>4312.8999999999996</v>
      </c>
      <c r="K684" s="1">
        <v>44205</v>
      </c>
      <c r="L684" s="1">
        <v>44205</v>
      </c>
      <c r="M684">
        <v>683</v>
      </c>
      <c r="N684">
        <v>7</v>
      </c>
      <c r="O684" t="s">
        <v>22</v>
      </c>
      <c r="P684" s="3">
        <v>0.09</v>
      </c>
      <c r="Q684" s="2">
        <v>388.16099999999994</v>
      </c>
      <c r="R684">
        <v>4</v>
      </c>
      <c r="S684" t="str">
        <f t="shared" si="10"/>
        <v>Janeiro</v>
      </c>
    </row>
    <row r="685" spans="1:19">
      <c r="A685">
        <v>684</v>
      </c>
      <c r="B685" s="1">
        <v>44203</v>
      </c>
      <c r="C685">
        <v>62</v>
      </c>
      <c r="D685" t="s">
        <v>38</v>
      </c>
      <c r="E685" t="s">
        <v>31</v>
      </c>
      <c r="F685">
        <v>13</v>
      </c>
      <c r="G685" s="2">
        <v>101</v>
      </c>
      <c r="H685" s="2">
        <v>1313</v>
      </c>
      <c r="I685" s="4">
        <v>0.06</v>
      </c>
      <c r="J685" s="2">
        <v>1234.22</v>
      </c>
      <c r="K685" s="1">
        <v>44229</v>
      </c>
      <c r="L685" s="1">
        <v>44229</v>
      </c>
      <c r="M685">
        <v>684</v>
      </c>
      <c r="N685">
        <v>3</v>
      </c>
      <c r="O685" t="s">
        <v>29</v>
      </c>
      <c r="P685" s="3">
        <v>0.1</v>
      </c>
      <c r="Q685" s="2">
        <v>123.42200000000001</v>
      </c>
      <c r="R685">
        <v>5</v>
      </c>
      <c r="S685" t="str">
        <f t="shared" si="10"/>
        <v>Janeiro</v>
      </c>
    </row>
    <row r="686" spans="1:19">
      <c r="A686">
        <v>685</v>
      </c>
      <c r="B686" s="1">
        <v>44203</v>
      </c>
      <c r="C686">
        <v>32</v>
      </c>
      <c r="D686" t="s">
        <v>77</v>
      </c>
      <c r="E686" t="s">
        <v>31</v>
      </c>
      <c r="F686">
        <v>32</v>
      </c>
      <c r="G686" s="2">
        <v>112</v>
      </c>
      <c r="H686" s="2">
        <v>3584</v>
      </c>
      <c r="I686" s="4">
        <v>0.09</v>
      </c>
      <c r="J686" s="2">
        <v>3261.44</v>
      </c>
      <c r="K686" s="1">
        <v>44205</v>
      </c>
      <c r="L686" s="1">
        <v>44205</v>
      </c>
      <c r="M686">
        <v>685</v>
      </c>
      <c r="N686">
        <v>2</v>
      </c>
      <c r="O686" t="s">
        <v>37</v>
      </c>
      <c r="P686" s="3">
        <v>0.06</v>
      </c>
      <c r="Q686" s="2">
        <v>195.68639999999999</v>
      </c>
      <c r="R686">
        <v>6</v>
      </c>
      <c r="S686" t="str">
        <f t="shared" si="10"/>
        <v>Janeiro</v>
      </c>
    </row>
    <row r="687" spans="1:19">
      <c r="A687">
        <v>686</v>
      </c>
      <c r="B687" s="1">
        <v>44204</v>
      </c>
      <c r="C687">
        <v>40</v>
      </c>
      <c r="D687" t="s">
        <v>49</v>
      </c>
      <c r="E687" t="s">
        <v>24</v>
      </c>
      <c r="F687">
        <v>23</v>
      </c>
      <c r="G687" s="2">
        <v>119</v>
      </c>
      <c r="H687" s="2">
        <v>2737</v>
      </c>
      <c r="I687" s="4">
        <v>0.01</v>
      </c>
      <c r="J687" s="2">
        <v>2709.63</v>
      </c>
      <c r="K687" s="1">
        <v>44210</v>
      </c>
      <c r="L687" s="1">
        <v>44210</v>
      </c>
      <c r="M687">
        <v>686</v>
      </c>
      <c r="N687">
        <v>3</v>
      </c>
      <c r="O687" t="s">
        <v>52</v>
      </c>
      <c r="P687" s="3">
        <v>0.09</v>
      </c>
      <c r="Q687" s="2">
        <v>243.86670000000001</v>
      </c>
      <c r="R687">
        <v>7</v>
      </c>
      <c r="S687" t="str">
        <f t="shared" si="10"/>
        <v>Janeiro</v>
      </c>
    </row>
    <row r="688" spans="1:19">
      <c r="A688">
        <v>687</v>
      </c>
      <c r="B688" s="1">
        <v>44205</v>
      </c>
      <c r="C688">
        <v>5</v>
      </c>
      <c r="D688" t="s">
        <v>38</v>
      </c>
      <c r="E688" t="s">
        <v>46</v>
      </c>
      <c r="F688">
        <v>36</v>
      </c>
      <c r="G688" s="2">
        <v>101</v>
      </c>
      <c r="H688" s="2">
        <v>3636</v>
      </c>
      <c r="I688" s="4">
        <v>7.0000000000000007E-2</v>
      </c>
      <c r="J688" s="2">
        <v>3381.48</v>
      </c>
      <c r="K688" s="1">
        <v>44220</v>
      </c>
      <c r="L688" s="1">
        <v>44220</v>
      </c>
      <c r="M688">
        <v>687</v>
      </c>
      <c r="N688">
        <v>4</v>
      </c>
      <c r="O688" t="s">
        <v>22</v>
      </c>
      <c r="P688" s="3">
        <v>7.0000000000000007E-2</v>
      </c>
      <c r="Q688" s="2">
        <v>236.70360000000002</v>
      </c>
      <c r="R688">
        <v>1</v>
      </c>
      <c r="S688" t="str">
        <f t="shared" si="10"/>
        <v>Janeiro</v>
      </c>
    </row>
    <row r="689" spans="1:19">
      <c r="A689">
        <v>688</v>
      </c>
      <c r="B689" s="1">
        <v>44205</v>
      </c>
      <c r="C689">
        <v>97</v>
      </c>
      <c r="D689" t="s">
        <v>66</v>
      </c>
      <c r="E689" t="s">
        <v>59</v>
      </c>
      <c r="F689">
        <v>20</v>
      </c>
      <c r="G689" s="2">
        <v>103</v>
      </c>
      <c r="H689" s="2">
        <v>2060</v>
      </c>
      <c r="I689" s="4">
        <v>7.0000000000000007E-2</v>
      </c>
      <c r="J689" s="2">
        <v>1915.8</v>
      </c>
      <c r="K689" s="1">
        <v>44205</v>
      </c>
      <c r="L689" s="1">
        <v>44205</v>
      </c>
      <c r="M689">
        <v>688</v>
      </c>
      <c r="N689">
        <v>3</v>
      </c>
      <c r="O689" t="s">
        <v>25</v>
      </c>
      <c r="P689" s="3">
        <v>0.06</v>
      </c>
      <c r="Q689" s="2">
        <v>114.94799999999999</v>
      </c>
      <c r="R689">
        <v>2</v>
      </c>
      <c r="S689" t="str">
        <f t="shared" si="10"/>
        <v>Janeiro</v>
      </c>
    </row>
    <row r="690" spans="1:19">
      <c r="A690">
        <v>689</v>
      </c>
      <c r="B690" s="1">
        <v>44206</v>
      </c>
      <c r="C690">
        <v>69</v>
      </c>
      <c r="D690" t="s">
        <v>67</v>
      </c>
      <c r="E690" t="s">
        <v>31</v>
      </c>
      <c r="F690">
        <v>14</v>
      </c>
      <c r="G690" s="2">
        <v>109</v>
      </c>
      <c r="H690" s="2">
        <v>1526</v>
      </c>
      <c r="I690" s="4">
        <v>0.09</v>
      </c>
      <c r="J690" s="2">
        <v>1388.66</v>
      </c>
      <c r="K690" s="1">
        <v>44228</v>
      </c>
      <c r="L690" s="1">
        <v>44228</v>
      </c>
      <c r="M690">
        <v>689</v>
      </c>
      <c r="N690">
        <v>2</v>
      </c>
      <c r="O690" t="s">
        <v>69</v>
      </c>
      <c r="P690" s="3">
        <v>0.06</v>
      </c>
      <c r="Q690" s="2">
        <v>83.319600000000008</v>
      </c>
      <c r="R690">
        <v>3</v>
      </c>
      <c r="S690" t="str">
        <f t="shared" si="10"/>
        <v>Janeiro</v>
      </c>
    </row>
    <row r="691" spans="1:19">
      <c r="A691">
        <v>690</v>
      </c>
      <c r="B691" s="1">
        <v>44207</v>
      </c>
      <c r="C691">
        <v>75</v>
      </c>
      <c r="D691" t="s">
        <v>38</v>
      </c>
      <c r="E691" t="s">
        <v>54</v>
      </c>
      <c r="F691">
        <v>30</v>
      </c>
      <c r="G691" s="2">
        <v>113</v>
      </c>
      <c r="H691" s="2">
        <v>3390</v>
      </c>
      <c r="I691" s="4">
        <v>7.0000000000000007E-2</v>
      </c>
      <c r="J691" s="2">
        <v>3152.7</v>
      </c>
      <c r="K691" s="1">
        <v>44228</v>
      </c>
      <c r="L691" s="1">
        <v>44228</v>
      </c>
      <c r="M691">
        <v>690</v>
      </c>
      <c r="N691">
        <v>3</v>
      </c>
      <c r="O691" t="s">
        <v>32</v>
      </c>
      <c r="P691" s="3">
        <v>7.0000000000000007E-2</v>
      </c>
      <c r="Q691" s="2">
        <v>220.68900000000002</v>
      </c>
      <c r="R691">
        <v>4</v>
      </c>
      <c r="S691" t="str">
        <f t="shared" si="10"/>
        <v>Janeiro</v>
      </c>
    </row>
    <row r="692" spans="1:19">
      <c r="A692">
        <v>691</v>
      </c>
      <c r="B692" s="1">
        <v>44207</v>
      </c>
      <c r="C692">
        <v>4</v>
      </c>
      <c r="D692" t="s">
        <v>86</v>
      </c>
      <c r="E692" t="s">
        <v>50</v>
      </c>
      <c r="F692">
        <v>39</v>
      </c>
      <c r="G692" s="2">
        <v>105</v>
      </c>
      <c r="H692" s="2">
        <v>4095</v>
      </c>
      <c r="I692" s="4">
        <v>7.0000000000000007E-2</v>
      </c>
      <c r="J692" s="2">
        <v>3808.35</v>
      </c>
      <c r="K692" s="1">
        <v>44232</v>
      </c>
      <c r="M692">
        <v>691</v>
      </c>
      <c r="N692">
        <v>6</v>
      </c>
      <c r="O692" t="s">
        <v>52</v>
      </c>
      <c r="P692" s="3">
        <v>0.1</v>
      </c>
      <c r="Q692" s="2">
        <v>380.83500000000004</v>
      </c>
      <c r="R692">
        <v>5</v>
      </c>
      <c r="S692" t="str">
        <f t="shared" si="10"/>
        <v>Janeiro</v>
      </c>
    </row>
    <row r="693" spans="1:19">
      <c r="A693">
        <v>692</v>
      </c>
      <c r="B693" s="1">
        <v>44208</v>
      </c>
      <c r="C693">
        <v>82</v>
      </c>
      <c r="D693" t="s">
        <v>67</v>
      </c>
      <c r="E693" t="s">
        <v>54</v>
      </c>
      <c r="F693">
        <v>20</v>
      </c>
      <c r="G693" s="2">
        <v>119</v>
      </c>
      <c r="H693" s="2">
        <v>2380</v>
      </c>
      <c r="I693" s="4">
        <v>0.13</v>
      </c>
      <c r="J693" s="2">
        <v>2070.6</v>
      </c>
      <c r="K693" s="1">
        <v>44238</v>
      </c>
      <c r="L693" s="1">
        <v>44238</v>
      </c>
      <c r="M693">
        <v>692</v>
      </c>
      <c r="N693">
        <v>3</v>
      </c>
      <c r="O693" t="s">
        <v>22</v>
      </c>
      <c r="P693" s="3">
        <v>0.09</v>
      </c>
      <c r="Q693" s="2">
        <v>186.35399999999998</v>
      </c>
      <c r="R693">
        <v>6</v>
      </c>
      <c r="S693" t="str">
        <f t="shared" si="10"/>
        <v>Janeiro</v>
      </c>
    </row>
    <row r="694" spans="1:19">
      <c r="A694">
        <v>693</v>
      </c>
      <c r="B694" s="1">
        <v>44208</v>
      </c>
      <c r="C694">
        <v>54</v>
      </c>
      <c r="D694" t="s">
        <v>79</v>
      </c>
      <c r="E694" t="s">
        <v>46</v>
      </c>
      <c r="F694">
        <v>36</v>
      </c>
      <c r="G694" s="2">
        <v>112</v>
      </c>
      <c r="H694" s="2">
        <v>4032</v>
      </c>
      <c r="I694" s="4">
        <v>0.01</v>
      </c>
      <c r="J694" s="2">
        <v>3991.68</v>
      </c>
      <c r="K694" s="1">
        <v>44230</v>
      </c>
      <c r="L694" s="1">
        <v>44230</v>
      </c>
      <c r="M694">
        <v>693</v>
      </c>
      <c r="N694">
        <v>7</v>
      </c>
      <c r="O694" t="s">
        <v>25</v>
      </c>
      <c r="P694" s="3">
        <v>0.08</v>
      </c>
      <c r="Q694" s="2">
        <v>319.33440000000002</v>
      </c>
      <c r="R694">
        <v>7</v>
      </c>
      <c r="S694" t="str">
        <f t="shared" si="10"/>
        <v>Janeiro</v>
      </c>
    </row>
    <row r="695" spans="1:19">
      <c r="A695">
        <v>694</v>
      </c>
      <c r="B695" s="1">
        <v>44209</v>
      </c>
      <c r="C695">
        <v>29</v>
      </c>
      <c r="D695" t="s">
        <v>98</v>
      </c>
      <c r="E695" t="s">
        <v>24</v>
      </c>
      <c r="F695">
        <v>47</v>
      </c>
      <c r="G695" s="2">
        <v>97</v>
      </c>
      <c r="H695" s="2">
        <v>4559</v>
      </c>
      <c r="I695" s="4">
        <v>7.0000000000000007E-2</v>
      </c>
      <c r="J695" s="2">
        <v>4239.87</v>
      </c>
      <c r="K695" s="1">
        <v>44230</v>
      </c>
      <c r="L695" s="1">
        <v>44230</v>
      </c>
      <c r="M695">
        <v>694</v>
      </c>
      <c r="N695">
        <v>6</v>
      </c>
      <c r="O695" t="s">
        <v>47</v>
      </c>
      <c r="P695" s="3">
        <v>0.09</v>
      </c>
      <c r="Q695" s="2">
        <v>381.5883</v>
      </c>
      <c r="R695">
        <v>1</v>
      </c>
      <c r="S695" t="str">
        <f t="shared" si="10"/>
        <v>Janeiro</v>
      </c>
    </row>
    <row r="696" spans="1:19">
      <c r="A696">
        <v>695</v>
      </c>
      <c r="B696" s="1">
        <v>44209</v>
      </c>
      <c r="C696">
        <v>8</v>
      </c>
      <c r="D696" t="s">
        <v>38</v>
      </c>
      <c r="E696" t="s">
        <v>55</v>
      </c>
      <c r="F696">
        <v>37</v>
      </c>
      <c r="G696" s="2">
        <v>120</v>
      </c>
      <c r="H696" s="2">
        <v>4440</v>
      </c>
      <c r="I696" s="4">
        <v>0.06</v>
      </c>
      <c r="J696" s="2">
        <v>4173.6000000000004</v>
      </c>
      <c r="K696" s="1">
        <v>44211</v>
      </c>
      <c r="L696" s="1">
        <v>44211</v>
      </c>
      <c r="M696">
        <v>695</v>
      </c>
      <c r="N696">
        <v>4</v>
      </c>
      <c r="O696" t="s">
        <v>43</v>
      </c>
      <c r="P696" s="3">
        <v>0.08</v>
      </c>
      <c r="Q696" s="2">
        <v>333.88800000000003</v>
      </c>
      <c r="R696">
        <v>2</v>
      </c>
      <c r="S696" t="str">
        <f t="shared" si="10"/>
        <v>Janeiro</v>
      </c>
    </row>
    <row r="697" spans="1:19">
      <c r="A697">
        <v>696</v>
      </c>
      <c r="B697" s="1">
        <v>44209</v>
      </c>
      <c r="C697">
        <v>40</v>
      </c>
      <c r="D697" t="s">
        <v>49</v>
      </c>
      <c r="E697" t="s">
        <v>24</v>
      </c>
      <c r="F697">
        <v>29</v>
      </c>
      <c r="G697" s="2">
        <v>108</v>
      </c>
      <c r="H697" s="2">
        <v>3132</v>
      </c>
      <c r="I697" s="4">
        <v>0</v>
      </c>
      <c r="J697" s="2">
        <v>3132</v>
      </c>
      <c r="K697" s="1">
        <v>44232</v>
      </c>
      <c r="L697" s="1">
        <v>44232</v>
      </c>
      <c r="M697">
        <v>696</v>
      </c>
      <c r="N697">
        <v>5</v>
      </c>
      <c r="O697" t="s">
        <v>43</v>
      </c>
      <c r="P697" s="3">
        <v>0.06</v>
      </c>
      <c r="Q697" s="2">
        <v>187.92</v>
      </c>
      <c r="R697">
        <v>3</v>
      </c>
      <c r="S697" t="str">
        <f t="shared" si="10"/>
        <v>Janeiro</v>
      </c>
    </row>
    <row r="698" spans="1:19">
      <c r="A698">
        <v>697</v>
      </c>
      <c r="B698" s="1">
        <v>44209</v>
      </c>
      <c r="C698">
        <v>13</v>
      </c>
      <c r="D698" t="s">
        <v>75</v>
      </c>
      <c r="E698" t="s">
        <v>55</v>
      </c>
      <c r="F698">
        <v>24</v>
      </c>
      <c r="G698" s="2">
        <v>93</v>
      </c>
      <c r="H698" s="2">
        <v>2232</v>
      </c>
      <c r="I698" s="4">
        <v>0.11</v>
      </c>
      <c r="J698" s="2">
        <v>1986.48</v>
      </c>
      <c r="K698" s="1">
        <v>44230</v>
      </c>
      <c r="L698" s="1">
        <v>44230</v>
      </c>
      <c r="M698">
        <v>697</v>
      </c>
      <c r="N698">
        <v>3</v>
      </c>
      <c r="O698" t="s">
        <v>32</v>
      </c>
      <c r="P698" s="3">
        <v>0.08</v>
      </c>
      <c r="Q698" s="2">
        <v>158.91839999999999</v>
      </c>
      <c r="R698">
        <v>4</v>
      </c>
      <c r="S698" t="str">
        <f t="shared" si="10"/>
        <v>Janeiro</v>
      </c>
    </row>
    <row r="699" spans="1:19">
      <c r="A699">
        <v>698</v>
      </c>
      <c r="B699" s="1">
        <v>44210</v>
      </c>
      <c r="C699">
        <v>69</v>
      </c>
      <c r="D699" t="s">
        <v>67</v>
      </c>
      <c r="E699" t="s">
        <v>55</v>
      </c>
      <c r="F699">
        <v>18</v>
      </c>
      <c r="G699" s="2">
        <v>106</v>
      </c>
      <c r="H699" s="2">
        <v>1908</v>
      </c>
      <c r="I699" s="4">
        <v>0.15</v>
      </c>
      <c r="J699" s="2">
        <v>1621.8</v>
      </c>
      <c r="K699" s="1">
        <v>44218</v>
      </c>
      <c r="L699" s="1">
        <v>44218</v>
      </c>
      <c r="M699">
        <v>698</v>
      </c>
      <c r="N699">
        <v>1</v>
      </c>
      <c r="O699" t="s">
        <v>37</v>
      </c>
      <c r="P699" s="3">
        <v>7.0000000000000007E-2</v>
      </c>
      <c r="Q699" s="2">
        <v>113.52600000000001</v>
      </c>
      <c r="R699">
        <v>5</v>
      </c>
      <c r="S699" t="str">
        <f t="shared" si="10"/>
        <v>Janeiro</v>
      </c>
    </row>
    <row r="700" spans="1:19">
      <c r="A700">
        <v>699</v>
      </c>
      <c r="B700" s="1">
        <v>44210</v>
      </c>
      <c r="C700">
        <v>63</v>
      </c>
      <c r="D700" t="s">
        <v>80</v>
      </c>
      <c r="E700" t="s">
        <v>21</v>
      </c>
      <c r="F700">
        <v>26</v>
      </c>
      <c r="G700" s="2">
        <v>107</v>
      </c>
      <c r="H700" s="2">
        <v>2782</v>
      </c>
      <c r="I700" s="4">
        <v>0.15</v>
      </c>
      <c r="J700" s="2">
        <v>2364.6999999999998</v>
      </c>
      <c r="K700" s="1">
        <v>44232</v>
      </c>
      <c r="L700" s="1">
        <v>44232</v>
      </c>
      <c r="M700">
        <v>699</v>
      </c>
      <c r="N700">
        <v>1</v>
      </c>
      <c r="O700" t="s">
        <v>47</v>
      </c>
      <c r="P700" s="3">
        <v>0.1</v>
      </c>
      <c r="Q700" s="2">
        <v>236.47</v>
      </c>
      <c r="R700">
        <v>6</v>
      </c>
      <c r="S700" t="str">
        <f t="shared" si="10"/>
        <v>Janeiro</v>
      </c>
    </row>
    <row r="701" spans="1:19">
      <c r="A701">
        <v>700</v>
      </c>
      <c r="B701" s="1">
        <v>44210</v>
      </c>
      <c r="C701">
        <v>6</v>
      </c>
      <c r="D701" t="s">
        <v>88</v>
      </c>
      <c r="E701" t="s">
        <v>31</v>
      </c>
      <c r="F701">
        <v>49</v>
      </c>
      <c r="G701" s="2">
        <v>103</v>
      </c>
      <c r="H701" s="2">
        <v>5047</v>
      </c>
      <c r="I701" s="4">
        <v>0.13</v>
      </c>
      <c r="J701" s="2">
        <v>4390.8900000000003</v>
      </c>
      <c r="K701" s="1">
        <v>44235</v>
      </c>
      <c r="L701" s="1">
        <v>44235</v>
      </c>
      <c r="M701">
        <v>700</v>
      </c>
      <c r="N701">
        <v>1</v>
      </c>
      <c r="O701" t="s">
        <v>69</v>
      </c>
      <c r="P701" s="3">
        <v>0.1</v>
      </c>
      <c r="Q701" s="2">
        <v>439.08900000000006</v>
      </c>
      <c r="R701">
        <v>7</v>
      </c>
      <c r="S701" t="str">
        <f t="shared" si="10"/>
        <v>Janeiro</v>
      </c>
    </row>
    <row r="702" spans="1:19">
      <c r="A702">
        <v>701</v>
      </c>
      <c r="B702" s="1">
        <v>44211</v>
      </c>
      <c r="C702">
        <v>31</v>
      </c>
      <c r="D702" t="s">
        <v>85</v>
      </c>
      <c r="E702" t="s">
        <v>31</v>
      </c>
      <c r="F702">
        <v>25</v>
      </c>
      <c r="G702" s="2">
        <v>92</v>
      </c>
      <c r="H702" s="2">
        <v>2300</v>
      </c>
      <c r="I702" s="4">
        <v>0.01</v>
      </c>
      <c r="J702" s="2">
        <v>2277</v>
      </c>
      <c r="K702" s="1">
        <v>44224</v>
      </c>
      <c r="L702" s="1">
        <v>44224</v>
      </c>
      <c r="M702">
        <v>701</v>
      </c>
      <c r="N702">
        <v>1</v>
      </c>
      <c r="O702" t="s">
        <v>25</v>
      </c>
      <c r="P702" s="3">
        <v>0.05</v>
      </c>
      <c r="Q702" s="2">
        <v>113.85000000000001</v>
      </c>
      <c r="R702">
        <v>1</v>
      </c>
      <c r="S702" t="str">
        <f t="shared" si="10"/>
        <v>Janeiro</v>
      </c>
    </row>
    <row r="703" spans="1:19">
      <c r="A703">
        <v>702</v>
      </c>
      <c r="B703" s="1">
        <v>44214</v>
      </c>
      <c r="C703">
        <v>96</v>
      </c>
      <c r="D703" t="s">
        <v>42</v>
      </c>
      <c r="E703" t="s">
        <v>24</v>
      </c>
      <c r="F703">
        <v>16</v>
      </c>
      <c r="G703" s="2">
        <v>98</v>
      </c>
      <c r="H703" s="2">
        <v>1568</v>
      </c>
      <c r="I703" s="4">
        <v>0.15</v>
      </c>
      <c r="J703" s="2">
        <v>1332.8</v>
      </c>
      <c r="K703" s="1">
        <v>44225</v>
      </c>
      <c r="L703" s="1">
        <v>44225</v>
      </c>
      <c r="M703">
        <v>702</v>
      </c>
      <c r="N703">
        <v>5</v>
      </c>
      <c r="O703" t="s">
        <v>37</v>
      </c>
      <c r="P703" s="3">
        <v>7.0000000000000007E-2</v>
      </c>
      <c r="Q703" s="2">
        <v>93.296000000000006</v>
      </c>
      <c r="R703">
        <v>2</v>
      </c>
      <c r="S703" t="str">
        <f t="shared" si="10"/>
        <v>Janeiro</v>
      </c>
    </row>
    <row r="704" spans="1:19">
      <c r="A704">
        <v>703</v>
      </c>
      <c r="B704" s="1">
        <v>44214</v>
      </c>
      <c r="C704">
        <v>62</v>
      </c>
      <c r="D704" t="s">
        <v>38</v>
      </c>
      <c r="E704" t="s">
        <v>54</v>
      </c>
      <c r="F704">
        <v>29</v>
      </c>
      <c r="G704" s="2">
        <v>112</v>
      </c>
      <c r="H704" s="2">
        <v>3248</v>
      </c>
      <c r="I704" s="4">
        <v>0.03</v>
      </c>
      <c r="J704" s="2">
        <v>3150.56</v>
      </c>
      <c r="K704" s="1">
        <v>44233</v>
      </c>
      <c r="L704" s="1">
        <v>44233</v>
      </c>
      <c r="M704">
        <v>703</v>
      </c>
      <c r="N704">
        <v>6</v>
      </c>
      <c r="O704" t="s">
        <v>29</v>
      </c>
      <c r="P704" s="3">
        <v>0.06</v>
      </c>
      <c r="Q704" s="2">
        <v>189.03359999999998</v>
      </c>
      <c r="R704">
        <v>3</v>
      </c>
      <c r="S704" t="str">
        <f t="shared" si="10"/>
        <v>Janeiro</v>
      </c>
    </row>
    <row r="705" spans="1:19">
      <c r="A705">
        <v>704</v>
      </c>
      <c r="B705" s="1">
        <v>44214</v>
      </c>
      <c r="C705">
        <v>85</v>
      </c>
      <c r="D705" t="s">
        <v>57</v>
      </c>
      <c r="E705" t="s">
        <v>59</v>
      </c>
      <c r="F705">
        <v>32</v>
      </c>
      <c r="G705" s="2">
        <v>97</v>
      </c>
      <c r="H705" s="2">
        <v>3104</v>
      </c>
      <c r="I705" s="4">
        <v>0.01</v>
      </c>
      <c r="J705" s="2">
        <v>3072.96</v>
      </c>
      <c r="K705" s="1">
        <v>44217</v>
      </c>
      <c r="L705" s="1">
        <v>44217</v>
      </c>
      <c r="M705">
        <v>704</v>
      </c>
      <c r="N705">
        <v>2</v>
      </c>
      <c r="O705" t="s">
        <v>22</v>
      </c>
      <c r="P705" s="3">
        <v>0.1</v>
      </c>
      <c r="Q705" s="2">
        <v>307.29600000000005</v>
      </c>
      <c r="R705">
        <v>4</v>
      </c>
      <c r="S705" t="str">
        <f t="shared" si="10"/>
        <v>Janeiro</v>
      </c>
    </row>
    <row r="706" spans="1:19">
      <c r="A706">
        <v>705</v>
      </c>
      <c r="B706" s="1">
        <v>44214</v>
      </c>
      <c r="C706">
        <v>38</v>
      </c>
      <c r="D706" t="s">
        <v>73</v>
      </c>
      <c r="E706" t="s">
        <v>31</v>
      </c>
      <c r="F706">
        <v>46</v>
      </c>
      <c r="G706" s="2">
        <v>102</v>
      </c>
      <c r="H706" s="2">
        <v>4692</v>
      </c>
      <c r="I706" s="4">
        <v>0.08</v>
      </c>
      <c r="J706" s="2">
        <v>4316.6400000000003</v>
      </c>
      <c r="K706" s="1">
        <v>44240</v>
      </c>
      <c r="L706" s="1">
        <v>44240</v>
      </c>
      <c r="M706">
        <v>705</v>
      </c>
      <c r="N706">
        <v>1</v>
      </c>
      <c r="O706" t="s">
        <v>37</v>
      </c>
      <c r="P706" s="3">
        <v>0.05</v>
      </c>
      <c r="Q706" s="2">
        <v>215.83200000000002</v>
      </c>
      <c r="R706">
        <v>5</v>
      </c>
      <c r="S706" t="str">
        <f t="shared" si="10"/>
        <v>Janeiro</v>
      </c>
    </row>
    <row r="707" spans="1:19">
      <c r="A707">
        <v>706</v>
      </c>
      <c r="B707" s="1">
        <v>44215</v>
      </c>
      <c r="C707">
        <v>27</v>
      </c>
      <c r="D707" t="s">
        <v>101</v>
      </c>
      <c r="E707" t="s">
        <v>54</v>
      </c>
      <c r="F707">
        <v>14</v>
      </c>
      <c r="G707" s="2">
        <v>110</v>
      </c>
      <c r="H707" s="2">
        <v>1540</v>
      </c>
      <c r="I707" s="4">
        <v>0.06</v>
      </c>
      <c r="J707" s="2">
        <v>1447.6</v>
      </c>
      <c r="K707" s="1">
        <v>44233</v>
      </c>
      <c r="L707" s="1">
        <v>44233</v>
      </c>
      <c r="M707">
        <v>706</v>
      </c>
      <c r="N707">
        <v>1</v>
      </c>
      <c r="O707" t="s">
        <v>43</v>
      </c>
      <c r="P707" s="3">
        <v>0.06</v>
      </c>
      <c r="Q707" s="2">
        <v>86.855999999999995</v>
      </c>
      <c r="R707">
        <v>6</v>
      </c>
      <c r="S707" t="str">
        <f t="shared" ref="S707:S770" si="11">PROPER(TEXT(B707,"mmmm"))</f>
        <v>Janeiro</v>
      </c>
    </row>
    <row r="708" spans="1:19">
      <c r="A708">
        <v>707</v>
      </c>
      <c r="B708" s="1">
        <v>44215</v>
      </c>
      <c r="C708">
        <v>31</v>
      </c>
      <c r="D708" t="s">
        <v>85</v>
      </c>
      <c r="E708" t="s">
        <v>28</v>
      </c>
      <c r="F708">
        <v>14</v>
      </c>
      <c r="G708" s="2">
        <v>116</v>
      </c>
      <c r="H708" s="2">
        <v>1624</v>
      </c>
      <c r="I708" s="4">
        <v>0.14000000000000001</v>
      </c>
      <c r="J708" s="2">
        <v>1396.6399999999999</v>
      </c>
      <c r="K708" s="1">
        <v>44217</v>
      </c>
      <c r="L708" s="1">
        <v>44217</v>
      </c>
      <c r="M708">
        <v>707</v>
      </c>
      <c r="N708">
        <v>1</v>
      </c>
      <c r="O708" t="s">
        <v>22</v>
      </c>
      <c r="P708" s="3">
        <v>0.08</v>
      </c>
      <c r="Q708" s="2">
        <v>111.73119999999999</v>
      </c>
      <c r="R708">
        <v>7</v>
      </c>
      <c r="S708" t="str">
        <f t="shared" si="11"/>
        <v>Janeiro</v>
      </c>
    </row>
    <row r="709" spans="1:19">
      <c r="A709">
        <v>708</v>
      </c>
      <c r="B709" s="1">
        <v>44215</v>
      </c>
      <c r="C709">
        <v>84</v>
      </c>
      <c r="D709" t="s">
        <v>44</v>
      </c>
      <c r="E709" t="s">
        <v>46</v>
      </c>
      <c r="F709">
        <v>39</v>
      </c>
      <c r="G709" s="2">
        <v>117</v>
      </c>
      <c r="H709" s="2">
        <v>4563</v>
      </c>
      <c r="I709" s="4">
        <v>0.12</v>
      </c>
      <c r="J709" s="2">
        <v>4015.44</v>
      </c>
      <c r="K709" s="1">
        <v>44233</v>
      </c>
      <c r="L709" s="1">
        <v>44233</v>
      </c>
      <c r="M709">
        <v>708</v>
      </c>
      <c r="N709">
        <v>6</v>
      </c>
      <c r="O709" t="s">
        <v>47</v>
      </c>
      <c r="P709" s="3">
        <v>0.08</v>
      </c>
      <c r="Q709" s="2">
        <v>321.23520000000002</v>
      </c>
      <c r="R709">
        <v>1</v>
      </c>
      <c r="S709" t="str">
        <f t="shared" si="11"/>
        <v>Janeiro</v>
      </c>
    </row>
    <row r="710" spans="1:19">
      <c r="A710">
        <v>709</v>
      </c>
      <c r="B710" s="1">
        <v>44215</v>
      </c>
      <c r="C710">
        <v>2</v>
      </c>
      <c r="D710" t="s">
        <v>35</v>
      </c>
      <c r="E710" t="s">
        <v>50</v>
      </c>
      <c r="F710">
        <v>13</v>
      </c>
      <c r="G710" s="2">
        <v>97</v>
      </c>
      <c r="H710" s="2">
        <v>1261</v>
      </c>
      <c r="I710" s="4">
        <v>0</v>
      </c>
      <c r="J710" s="2">
        <v>1261</v>
      </c>
      <c r="K710" s="1">
        <v>44237</v>
      </c>
      <c r="L710" s="1">
        <v>44237</v>
      </c>
      <c r="M710">
        <v>709</v>
      </c>
      <c r="N710">
        <v>2</v>
      </c>
      <c r="O710" t="s">
        <v>47</v>
      </c>
      <c r="P710" s="3">
        <v>0.06</v>
      </c>
      <c r="Q710" s="2">
        <v>75.66</v>
      </c>
      <c r="R710">
        <v>2</v>
      </c>
      <c r="S710" t="str">
        <f t="shared" si="11"/>
        <v>Janeiro</v>
      </c>
    </row>
    <row r="711" spans="1:19">
      <c r="A711">
        <v>710</v>
      </c>
      <c r="B711" s="1">
        <v>44215</v>
      </c>
      <c r="C711">
        <v>59</v>
      </c>
      <c r="D711" t="s">
        <v>97</v>
      </c>
      <c r="E711" t="s">
        <v>24</v>
      </c>
      <c r="F711">
        <v>21</v>
      </c>
      <c r="G711" s="2">
        <v>114</v>
      </c>
      <c r="H711" s="2">
        <v>2394</v>
      </c>
      <c r="I711" s="4">
        <v>0.12</v>
      </c>
      <c r="J711" s="2">
        <v>2106.7200000000003</v>
      </c>
      <c r="K711" s="1">
        <v>44245</v>
      </c>
      <c r="L711" s="1">
        <v>44245</v>
      </c>
      <c r="M711">
        <v>710</v>
      </c>
      <c r="N711">
        <v>7</v>
      </c>
      <c r="O711" t="s">
        <v>52</v>
      </c>
      <c r="P711" s="3">
        <v>0.05</v>
      </c>
      <c r="Q711" s="2">
        <v>105.33600000000001</v>
      </c>
      <c r="R711">
        <v>3</v>
      </c>
      <c r="S711" t="str">
        <f t="shared" si="11"/>
        <v>Janeiro</v>
      </c>
    </row>
    <row r="712" spans="1:19">
      <c r="A712">
        <v>711</v>
      </c>
      <c r="B712" s="1">
        <v>44217</v>
      </c>
      <c r="C712">
        <v>47</v>
      </c>
      <c r="D712" t="s">
        <v>40</v>
      </c>
      <c r="E712" t="s">
        <v>50</v>
      </c>
      <c r="F712">
        <v>32</v>
      </c>
      <c r="G712" s="2">
        <v>119</v>
      </c>
      <c r="H712" s="2">
        <v>3808</v>
      </c>
      <c r="I712" s="4">
        <v>0</v>
      </c>
      <c r="J712" s="2">
        <v>3808</v>
      </c>
      <c r="K712" s="1">
        <v>44226</v>
      </c>
      <c r="L712" s="1">
        <v>44226</v>
      </c>
      <c r="M712">
        <v>711</v>
      </c>
      <c r="N712">
        <v>3</v>
      </c>
      <c r="O712" t="s">
        <v>22</v>
      </c>
      <c r="P712" s="3">
        <v>0.1</v>
      </c>
      <c r="Q712" s="2">
        <v>380.8</v>
      </c>
      <c r="R712">
        <v>4</v>
      </c>
      <c r="S712" t="str">
        <f t="shared" si="11"/>
        <v>Janeiro</v>
      </c>
    </row>
    <row r="713" spans="1:19">
      <c r="A713">
        <v>712</v>
      </c>
      <c r="B713" s="1">
        <v>44217</v>
      </c>
      <c r="C713">
        <v>44</v>
      </c>
      <c r="D713" t="s">
        <v>71</v>
      </c>
      <c r="E713" t="s">
        <v>59</v>
      </c>
      <c r="F713">
        <v>28</v>
      </c>
      <c r="G713" s="2">
        <v>108</v>
      </c>
      <c r="H713" s="2">
        <v>3024</v>
      </c>
      <c r="I713" s="4">
        <v>0.14000000000000001</v>
      </c>
      <c r="J713" s="2">
        <v>2600.64</v>
      </c>
      <c r="K713" s="1">
        <v>44240</v>
      </c>
      <c r="L713" s="1">
        <v>44240</v>
      </c>
      <c r="M713">
        <v>712</v>
      </c>
      <c r="N713">
        <v>7</v>
      </c>
      <c r="O713" t="s">
        <v>37</v>
      </c>
      <c r="P713" s="3">
        <v>0.1</v>
      </c>
      <c r="Q713" s="2">
        <v>260.06400000000002</v>
      </c>
      <c r="R713">
        <v>5</v>
      </c>
      <c r="S713" t="str">
        <f t="shared" si="11"/>
        <v>Janeiro</v>
      </c>
    </row>
    <row r="714" spans="1:19">
      <c r="A714">
        <v>713</v>
      </c>
      <c r="B714" s="1">
        <v>44218</v>
      </c>
      <c r="C714">
        <v>34</v>
      </c>
      <c r="D714" t="s">
        <v>58</v>
      </c>
      <c r="E714" t="s">
        <v>55</v>
      </c>
      <c r="F714">
        <v>31</v>
      </c>
      <c r="G714" s="2">
        <v>119</v>
      </c>
      <c r="H714" s="2">
        <v>3689</v>
      </c>
      <c r="I714" s="4">
        <v>0.12</v>
      </c>
      <c r="J714" s="2">
        <v>3246.32</v>
      </c>
      <c r="K714" s="1">
        <v>44233</v>
      </c>
      <c r="L714" s="1">
        <v>44233</v>
      </c>
      <c r="M714">
        <v>713</v>
      </c>
      <c r="N714">
        <v>6</v>
      </c>
      <c r="O714" t="s">
        <v>52</v>
      </c>
      <c r="P714" s="3">
        <v>0.09</v>
      </c>
      <c r="Q714" s="2">
        <v>292.16879999999998</v>
      </c>
      <c r="R714">
        <v>6</v>
      </c>
      <c r="S714" t="str">
        <f t="shared" si="11"/>
        <v>Janeiro</v>
      </c>
    </row>
    <row r="715" spans="1:19">
      <c r="A715">
        <v>714</v>
      </c>
      <c r="B715" s="1">
        <v>44218</v>
      </c>
      <c r="C715">
        <v>51</v>
      </c>
      <c r="D715" t="s">
        <v>53</v>
      </c>
      <c r="E715" t="s">
        <v>46</v>
      </c>
      <c r="F715">
        <v>15</v>
      </c>
      <c r="G715" s="2">
        <v>116</v>
      </c>
      <c r="H715" s="2">
        <v>1740</v>
      </c>
      <c r="I715" s="4">
        <v>0.15</v>
      </c>
      <c r="J715" s="2">
        <v>1479</v>
      </c>
      <c r="K715" s="1">
        <v>44233</v>
      </c>
      <c r="L715" s="1">
        <v>44233</v>
      </c>
      <c r="M715">
        <v>714</v>
      </c>
      <c r="N715">
        <v>6</v>
      </c>
      <c r="O715" t="s">
        <v>34</v>
      </c>
      <c r="P715" s="3">
        <v>0.06</v>
      </c>
      <c r="Q715" s="2">
        <v>88.74</v>
      </c>
      <c r="R715">
        <v>7</v>
      </c>
      <c r="S715" t="str">
        <f t="shared" si="11"/>
        <v>Janeiro</v>
      </c>
    </row>
    <row r="716" spans="1:19">
      <c r="A716">
        <v>715</v>
      </c>
      <c r="B716" s="1">
        <v>44219</v>
      </c>
      <c r="C716">
        <v>41</v>
      </c>
      <c r="D716" t="s">
        <v>68</v>
      </c>
      <c r="E716" t="s">
        <v>46</v>
      </c>
      <c r="F716">
        <v>11</v>
      </c>
      <c r="G716" s="2">
        <v>90</v>
      </c>
      <c r="H716" s="2">
        <v>990</v>
      </c>
      <c r="I716" s="4">
        <v>0.09</v>
      </c>
      <c r="J716" s="2">
        <v>900.9</v>
      </c>
      <c r="K716" s="1">
        <v>44229</v>
      </c>
      <c r="L716" s="1">
        <v>44229</v>
      </c>
      <c r="M716">
        <v>715</v>
      </c>
      <c r="N716">
        <v>5</v>
      </c>
      <c r="O716" t="s">
        <v>32</v>
      </c>
      <c r="P716" s="3">
        <v>0.1</v>
      </c>
      <c r="Q716" s="2">
        <v>90.09</v>
      </c>
      <c r="R716">
        <v>1</v>
      </c>
      <c r="S716" t="str">
        <f t="shared" si="11"/>
        <v>Janeiro</v>
      </c>
    </row>
    <row r="717" spans="1:19">
      <c r="A717">
        <v>716</v>
      </c>
      <c r="B717" s="1">
        <v>44219</v>
      </c>
      <c r="C717">
        <v>89</v>
      </c>
      <c r="D717" t="s">
        <v>49</v>
      </c>
      <c r="E717" t="s">
        <v>59</v>
      </c>
      <c r="F717">
        <v>26</v>
      </c>
      <c r="G717" s="2">
        <v>116</v>
      </c>
      <c r="H717" s="2">
        <v>3016</v>
      </c>
      <c r="I717" s="4">
        <v>0.03</v>
      </c>
      <c r="J717" s="2">
        <v>2925.52</v>
      </c>
      <c r="K717" s="1">
        <v>44225</v>
      </c>
      <c r="L717" s="1">
        <v>44225</v>
      </c>
      <c r="M717">
        <v>716</v>
      </c>
      <c r="N717">
        <v>4</v>
      </c>
      <c r="O717" t="s">
        <v>32</v>
      </c>
      <c r="P717" s="3">
        <v>0.1</v>
      </c>
      <c r="Q717" s="2">
        <v>292.55200000000002</v>
      </c>
      <c r="R717">
        <v>2</v>
      </c>
      <c r="S717" t="str">
        <f t="shared" si="11"/>
        <v>Janeiro</v>
      </c>
    </row>
    <row r="718" spans="1:19">
      <c r="A718">
        <v>717</v>
      </c>
      <c r="B718" s="1">
        <v>44220</v>
      </c>
      <c r="C718">
        <v>61</v>
      </c>
      <c r="D718" t="s">
        <v>56</v>
      </c>
      <c r="E718" t="s">
        <v>28</v>
      </c>
      <c r="F718">
        <v>29</v>
      </c>
      <c r="G718" s="2">
        <v>97</v>
      </c>
      <c r="H718" s="2">
        <v>2813</v>
      </c>
      <c r="I718" s="4">
        <v>0</v>
      </c>
      <c r="J718" s="2">
        <v>2813</v>
      </c>
      <c r="K718" s="1">
        <v>44235</v>
      </c>
      <c r="L718" s="1">
        <v>44235</v>
      </c>
      <c r="M718">
        <v>717</v>
      </c>
      <c r="N718">
        <v>1</v>
      </c>
      <c r="O718" t="s">
        <v>22</v>
      </c>
      <c r="P718" s="3">
        <v>0.06</v>
      </c>
      <c r="Q718" s="2">
        <v>168.78</v>
      </c>
      <c r="R718">
        <v>3</v>
      </c>
      <c r="S718" t="str">
        <f t="shared" si="11"/>
        <v>Janeiro</v>
      </c>
    </row>
    <row r="719" spans="1:19">
      <c r="A719">
        <v>718</v>
      </c>
      <c r="B719" s="1">
        <v>44221</v>
      </c>
      <c r="C719">
        <v>83</v>
      </c>
      <c r="D719" t="s">
        <v>100</v>
      </c>
      <c r="E719" t="s">
        <v>21</v>
      </c>
      <c r="F719">
        <v>16</v>
      </c>
      <c r="G719" s="2">
        <v>92</v>
      </c>
      <c r="H719" s="2">
        <v>1472</v>
      </c>
      <c r="I719" s="4">
        <v>0.04</v>
      </c>
      <c r="J719" s="2">
        <v>1413.12</v>
      </c>
      <c r="K719" s="1">
        <v>44229</v>
      </c>
      <c r="L719" s="1">
        <v>44229</v>
      </c>
      <c r="M719">
        <v>718</v>
      </c>
      <c r="N719">
        <v>1</v>
      </c>
      <c r="O719" t="s">
        <v>37</v>
      </c>
      <c r="P719" s="3">
        <v>0.08</v>
      </c>
      <c r="Q719" s="2">
        <v>113.0496</v>
      </c>
      <c r="R719">
        <v>4</v>
      </c>
      <c r="S719" t="str">
        <f t="shared" si="11"/>
        <v>Janeiro</v>
      </c>
    </row>
    <row r="720" spans="1:19">
      <c r="A720">
        <v>719</v>
      </c>
      <c r="B720" s="1">
        <v>44222</v>
      </c>
      <c r="C720">
        <v>30</v>
      </c>
      <c r="D720" t="s">
        <v>96</v>
      </c>
      <c r="E720" t="s">
        <v>31</v>
      </c>
      <c r="F720">
        <v>23</v>
      </c>
      <c r="G720" s="2">
        <v>109</v>
      </c>
      <c r="H720" s="2">
        <v>2507</v>
      </c>
      <c r="I720" s="4">
        <v>0.04</v>
      </c>
      <c r="J720" s="2">
        <v>2406.7199999999998</v>
      </c>
      <c r="K720" s="1">
        <v>44239</v>
      </c>
      <c r="L720" s="1">
        <v>44239</v>
      </c>
      <c r="M720">
        <v>719</v>
      </c>
      <c r="N720">
        <v>4</v>
      </c>
      <c r="O720" t="s">
        <v>52</v>
      </c>
      <c r="P720" s="3">
        <v>0.1</v>
      </c>
      <c r="Q720" s="2">
        <v>240.672</v>
      </c>
      <c r="R720">
        <v>5</v>
      </c>
      <c r="S720" t="str">
        <f t="shared" si="11"/>
        <v>Janeiro</v>
      </c>
    </row>
    <row r="721" spans="1:19">
      <c r="A721">
        <v>720</v>
      </c>
      <c r="B721" s="1">
        <v>44222</v>
      </c>
      <c r="C721">
        <v>93</v>
      </c>
      <c r="D721" t="s">
        <v>33</v>
      </c>
      <c r="E721" t="s">
        <v>28</v>
      </c>
      <c r="F721">
        <v>50</v>
      </c>
      <c r="G721" s="2">
        <v>120</v>
      </c>
      <c r="H721" s="2">
        <v>6000</v>
      </c>
      <c r="I721" s="4">
        <v>0.08</v>
      </c>
      <c r="J721" s="2">
        <v>5520</v>
      </c>
      <c r="K721" s="1">
        <v>44243</v>
      </c>
      <c r="L721" s="1">
        <v>44243</v>
      </c>
      <c r="M721">
        <v>720</v>
      </c>
      <c r="N721">
        <v>1</v>
      </c>
      <c r="O721" t="s">
        <v>52</v>
      </c>
      <c r="P721" s="3">
        <v>0.1</v>
      </c>
      <c r="Q721" s="2">
        <v>552</v>
      </c>
      <c r="R721">
        <v>6</v>
      </c>
      <c r="S721" t="str">
        <f t="shared" si="11"/>
        <v>Janeiro</v>
      </c>
    </row>
    <row r="722" spans="1:19">
      <c r="A722">
        <v>721</v>
      </c>
      <c r="B722" s="1">
        <v>44223</v>
      </c>
      <c r="C722">
        <v>38</v>
      </c>
      <c r="D722" t="s">
        <v>73</v>
      </c>
      <c r="E722" t="s">
        <v>59</v>
      </c>
      <c r="F722">
        <v>37</v>
      </c>
      <c r="G722" s="2">
        <v>109</v>
      </c>
      <c r="H722" s="2">
        <v>4033</v>
      </c>
      <c r="I722" s="4">
        <v>0.05</v>
      </c>
      <c r="J722" s="2">
        <v>3831.35</v>
      </c>
      <c r="K722" s="1">
        <v>44225</v>
      </c>
      <c r="L722" s="1">
        <v>44225</v>
      </c>
      <c r="M722">
        <v>721</v>
      </c>
      <c r="N722">
        <v>5</v>
      </c>
      <c r="O722" t="s">
        <v>37</v>
      </c>
      <c r="P722" s="3">
        <v>0.05</v>
      </c>
      <c r="Q722" s="2">
        <v>191.5675</v>
      </c>
      <c r="R722">
        <v>7</v>
      </c>
      <c r="S722" t="str">
        <f t="shared" si="11"/>
        <v>Janeiro</v>
      </c>
    </row>
    <row r="723" spans="1:19">
      <c r="A723">
        <v>722</v>
      </c>
      <c r="B723" s="1">
        <v>44223</v>
      </c>
      <c r="C723">
        <v>95</v>
      </c>
      <c r="D723" t="s">
        <v>38</v>
      </c>
      <c r="E723" t="s">
        <v>21</v>
      </c>
      <c r="F723">
        <v>23</v>
      </c>
      <c r="G723" s="2">
        <v>108</v>
      </c>
      <c r="H723" s="2">
        <v>2484</v>
      </c>
      <c r="I723" s="4">
        <v>0.01</v>
      </c>
      <c r="J723" s="2">
        <v>2459.16</v>
      </c>
      <c r="K723" s="1">
        <v>44244</v>
      </c>
      <c r="L723" s="1">
        <v>44244</v>
      </c>
      <c r="M723">
        <v>722</v>
      </c>
      <c r="N723">
        <v>2</v>
      </c>
      <c r="O723" t="s">
        <v>34</v>
      </c>
      <c r="P723" s="3">
        <v>0.05</v>
      </c>
      <c r="Q723" s="2">
        <v>122.958</v>
      </c>
      <c r="R723">
        <v>1</v>
      </c>
      <c r="S723" t="str">
        <f t="shared" si="11"/>
        <v>Janeiro</v>
      </c>
    </row>
    <row r="724" spans="1:19">
      <c r="A724">
        <v>723</v>
      </c>
      <c r="B724" s="1">
        <v>44224</v>
      </c>
      <c r="C724">
        <v>81</v>
      </c>
      <c r="D724" t="s">
        <v>103</v>
      </c>
      <c r="E724" t="s">
        <v>24</v>
      </c>
      <c r="F724">
        <v>11</v>
      </c>
      <c r="G724" s="2">
        <v>91</v>
      </c>
      <c r="H724" s="2">
        <v>1001</v>
      </c>
      <c r="I724" s="4">
        <v>0.04</v>
      </c>
      <c r="J724" s="2">
        <v>960.96</v>
      </c>
      <c r="K724" s="1">
        <v>44250</v>
      </c>
      <c r="L724" s="1">
        <v>44250</v>
      </c>
      <c r="M724">
        <v>723</v>
      </c>
      <c r="N724">
        <v>3</v>
      </c>
      <c r="O724" t="s">
        <v>52</v>
      </c>
      <c r="P724" s="3">
        <v>0.08</v>
      </c>
      <c r="Q724" s="2">
        <v>76.876800000000003</v>
      </c>
      <c r="R724">
        <v>2</v>
      </c>
      <c r="S724" t="str">
        <f t="shared" si="11"/>
        <v>Janeiro</v>
      </c>
    </row>
    <row r="725" spans="1:19">
      <c r="A725">
        <v>724</v>
      </c>
      <c r="B725" s="1">
        <v>44226</v>
      </c>
      <c r="C725">
        <v>84</v>
      </c>
      <c r="D725" t="s">
        <v>44</v>
      </c>
      <c r="E725" t="s">
        <v>24</v>
      </c>
      <c r="F725">
        <v>16</v>
      </c>
      <c r="G725" s="2">
        <v>119</v>
      </c>
      <c r="H725" s="2">
        <v>1904</v>
      </c>
      <c r="I725" s="4">
        <v>0.08</v>
      </c>
      <c r="J725" s="2">
        <v>1751.68</v>
      </c>
      <c r="K725" s="1">
        <v>44253</v>
      </c>
      <c r="L725" s="1">
        <v>44253</v>
      </c>
      <c r="M725">
        <v>724</v>
      </c>
      <c r="N725">
        <v>3</v>
      </c>
      <c r="O725" t="s">
        <v>29</v>
      </c>
      <c r="P725" s="3">
        <v>0.06</v>
      </c>
      <c r="Q725" s="2">
        <v>105.10080000000001</v>
      </c>
      <c r="R725">
        <v>3</v>
      </c>
      <c r="S725" t="str">
        <f t="shared" si="11"/>
        <v>Janeiro</v>
      </c>
    </row>
    <row r="726" spans="1:19">
      <c r="A726">
        <v>725</v>
      </c>
      <c r="B726" s="1">
        <v>44226</v>
      </c>
      <c r="C726">
        <v>96</v>
      </c>
      <c r="D726" t="s">
        <v>42</v>
      </c>
      <c r="E726" t="s">
        <v>21</v>
      </c>
      <c r="F726">
        <v>13</v>
      </c>
      <c r="G726" s="2">
        <v>107</v>
      </c>
      <c r="H726" s="2">
        <v>1391</v>
      </c>
      <c r="I726" s="4">
        <v>0.14000000000000001</v>
      </c>
      <c r="J726" s="2">
        <v>1196.26</v>
      </c>
      <c r="K726" s="1">
        <v>44230</v>
      </c>
      <c r="L726" s="1">
        <v>44230</v>
      </c>
      <c r="M726">
        <v>725</v>
      </c>
      <c r="N726">
        <v>7</v>
      </c>
      <c r="O726" t="s">
        <v>37</v>
      </c>
      <c r="P726" s="3">
        <v>0.09</v>
      </c>
      <c r="Q726" s="2">
        <v>107.6634</v>
      </c>
      <c r="R726">
        <v>4</v>
      </c>
      <c r="S726" t="str">
        <f t="shared" si="11"/>
        <v>Janeiro</v>
      </c>
    </row>
    <row r="727" spans="1:19">
      <c r="A727">
        <v>726</v>
      </c>
      <c r="B727" s="1">
        <v>44228</v>
      </c>
      <c r="C727">
        <v>18</v>
      </c>
      <c r="D727" t="s">
        <v>83</v>
      </c>
      <c r="E727" t="s">
        <v>21</v>
      </c>
      <c r="F727">
        <v>43</v>
      </c>
      <c r="G727" s="2">
        <v>90</v>
      </c>
      <c r="H727" s="2">
        <v>3870</v>
      </c>
      <c r="I727" s="4">
        <v>0.06</v>
      </c>
      <c r="J727" s="2">
        <v>3637.8</v>
      </c>
      <c r="K727" s="1">
        <v>44253</v>
      </c>
      <c r="L727" s="1">
        <v>44253</v>
      </c>
      <c r="M727">
        <v>726</v>
      </c>
      <c r="N727">
        <v>3</v>
      </c>
      <c r="O727" t="s">
        <v>47</v>
      </c>
      <c r="P727" s="3">
        <v>0.08</v>
      </c>
      <c r="Q727" s="2">
        <v>291.024</v>
      </c>
      <c r="R727">
        <v>5</v>
      </c>
      <c r="S727" t="str">
        <f t="shared" si="11"/>
        <v>Fevereiro</v>
      </c>
    </row>
    <row r="728" spans="1:19">
      <c r="A728">
        <v>727</v>
      </c>
      <c r="B728" s="1">
        <v>44228</v>
      </c>
      <c r="C728">
        <v>6</v>
      </c>
      <c r="D728" t="s">
        <v>88</v>
      </c>
      <c r="E728" t="s">
        <v>55</v>
      </c>
      <c r="F728">
        <v>27</v>
      </c>
      <c r="G728" s="2">
        <v>97</v>
      </c>
      <c r="H728" s="2">
        <v>2619</v>
      </c>
      <c r="I728" s="4">
        <v>0.02</v>
      </c>
      <c r="J728" s="2">
        <v>2566.62</v>
      </c>
      <c r="K728" s="1">
        <v>44256</v>
      </c>
      <c r="L728" s="1">
        <v>44256</v>
      </c>
      <c r="M728">
        <v>727</v>
      </c>
      <c r="N728">
        <v>6</v>
      </c>
      <c r="O728" t="s">
        <v>52</v>
      </c>
      <c r="P728" s="3">
        <v>0.08</v>
      </c>
      <c r="Q728" s="2">
        <v>205.3296</v>
      </c>
      <c r="R728">
        <v>6</v>
      </c>
      <c r="S728" t="str">
        <f t="shared" si="11"/>
        <v>Fevereiro</v>
      </c>
    </row>
    <row r="729" spans="1:19">
      <c r="A729">
        <v>728</v>
      </c>
      <c r="B729" s="1">
        <v>44228</v>
      </c>
      <c r="C729">
        <v>76</v>
      </c>
      <c r="D729" t="s">
        <v>104</v>
      </c>
      <c r="E729" t="s">
        <v>46</v>
      </c>
      <c r="F729">
        <v>34</v>
      </c>
      <c r="G729" s="2">
        <v>120</v>
      </c>
      <c r="H729" s="2">
        <v>4080</v>
      </c>
      <c r="I729" s="4">
        <v>0.02</v>
      </c>
      <c r="J729" s="2">
        <v>3998.4</v>
      </c>
      <c r="K729" s="1">
        <v>44231</v>
      </c>
      <c r="L729" s="1">
        <v>44231</v>
      </c>
      <c r="M729">
        <v>728</v>
      </c>
      <c r="N729">
        <v>7</v>
      </c>
      <c r="O729" t="s">
        <v>34</v>
      </c>
      <c r="P729" s="3">
        <v>0.09</v>
      </c>
      <c r="Q729" s="2">
        <v>359.85599999999999</v>
      </c>
      <c r="R729">
        <v>7</v>
      </c>
      <c r="S729" t="str">
        <f t="shared" si="11"/>
        <v>Fevereiro</v>
      </c>
    </row>
    <row r="730" spans="1:19">
      <c r="A730">
        <v>729</v>
      </c>
      <c r="B730" s="1">
        <v>44230</v>
      </c>
      <c r="C730">
        <v>32</v>
      </c>
      <c r="D730" t="s">
        <v>77</v>
      </c>
      <c r="E730" t="s">
        <v>28</v>
      </c>
      <c r="F730">
        <v>46</v>
      </c>
      <c r="G730" s="2">
        <v>93</v>
      </c>
      <c r="H730" s="2">
        <v>4278</v>
      </c>
      <c r="I730" s="4">
        <v>0</v>
      </c>
      <c r="J730" s="2">
        <v>4278</v>
      </c>
      <c r="K730" s="1">
        <v>44255</v>
      </c>
      <c r="L730" s="1">
        <v>44255</v>
      </c>
      <c r="M730">
        <v>729</v>
      </c>
      <c r="N730">
        <v>6</v>
      </c>
      <c r="O730" t="s">
        <v>22</v>
      </c>
      <c r="P730" s="3">
        <v>0.09</v>
      </c>
      <c r="Q730" s="2">
        <v>385.02</v>
      </c>
      <c r="R730">
        <v>1</v>
      </c>
      <c r="S730" t="str">
        <f t="shared" si="11"/>
        <v>Fevereiro</v>
      </c>
    </row>
    <row r="731" spans="1:19">
      <c r="A731">
        <v>730</v>
      </c>
      <c r="B731" s="1">
        <v>44230</v>
      </c>
      <c r="C731">
        <v>5</v>
      </c>
      <c r="D731" t="s">
        <v>38</v>
      </c>
      <c r="E731" t="s">
        <v>46</v>
      </c>
      <c r="F731">
        <v>45</v>
      </c>
      <c r="G731" s="2">
        <v>91</v>
      </c>
      <c r="H731" s="2">
        <v>4095</v>
      </c>
      <c r="I731" s="4">
        <v>0.03</v>
      </c>
      <c r="J731" s="2">
        <v>3972.15</v>
      </c>
      <c r="K731" s="1">
        <v>44253</v>
      </c>
      <c r="L731" s="1">
        <v>44253</v>
      </c>
      <c r="M731">
        <v>730</v>
      </c>
      <c r="N731">
        <v>5</v>
      </c>
      <c r="O731" t="s">
        <v>69</v>
      </c>
      <c r="P731" s="3">
        <v>7.0000000000000007E-2</v>
      </c>
      <c r="Q731" s="2">
        <v>278.05050000000006</v>
      </c>
      <c r="R731">
        <v>2</v>
      </c>
      <c r="S731" t="str">
        <f t="shared" si="11"/>
        <v>Fevereiro</v>
      </c>
    </row>
    <row r="732" spans="1:19">
      <c r="A732">
        <v>731</v>
      </c>
      <c r="B732" s="1">
        <v>44232</v>
      </c>
      <c r="C732">
        <v>31</v>
      </c>
      <c r="D732" t="s">
        <v>85</v>
      </c>
      <c r="E732" t="s">
        <v>41</v>
      </c>
      <c r="F732">
        <v>50</v>
      </c>
      <c r="G732" s="2">
        <v>104</v>
      </c>
      <c r="H732" s="2">
        <v>5200</v>
      </c>
      <c r="I732" s="4">
        <v>0.15</v>
      </c>
      <c r="J732" s="2">
        <v>4420</v>
      </c>
      <c r="K732" s="1">
        <v>44252</v>
      </c>
      <c r="L732" s="1">
        <v>44252</v>
      </c>
      <c r="M732">
        <v>731</v>
      </c>
      <c r="N732">
        <v>7</v>
      </c>
      <c r="O732" t="s">
        <v>47</v>
      </c>
      <c r="P732" s="3">
        <v>0.06</v>
      </c>
      <c r="Q732" s="2">
        <v>265.2</v>
      </c>
      <c r="R732">
        <v>3</v>
      </c>
      <c r="S732" t="str">
        <f t="shared" si="11"/>
        <v>Fevereiro</v>
      </c>
    </row>
    <row r="733" spans="1:19">
      <c r="A733">
        <v>732</v>
      </c>
      <c r="B733" s="1">
        <v>44232</v>
      </c>
      <c r="C733">
        <v>72</v>
      </c>
      <c r="D733" t="s">
        <v>38</v>
      </c>
      <c r="E733" t="s">
        <v>21</v>
      </c>
      <c r="F733">
        <v>32</v>
      </c>
      <c r="G733" s="2">
        <v>99</v>
      </c>
      <c r="H733" s="2">
        <v>3168</v>
      </c>
      <c r="I733" s="4">
        <v>7.0000000000000007E-2</v>
      </c>
      <c r="J733" s="2">
        <v>2946.24</v>
      </c>
      <c r="K733" s="1">
        <v>44249</v>
      </c>
      <c r="L733" s="1">
        <v>44249</v>
      </c>
      <c r="M733">
        <v>732</v>
      </c>
      <c r="N733">
        <v>5</v>
      </c>
      <c r="O733" t="s">
        <v>25</v>
      </c>
      <c r="P733" s="3">
        <v>7.0000000000000007E-2</v>
      </c>
      <c r="Q733" s="2">
        <v>206.23680000000002</v>
      </c>
      <c r="R733">
        <v>4</v>
      </c>
      <c r="S733" t="str">
        <f t="shared" si="11"/>
        <v>Fevereiro</v>
      </c>
    </row>
    <row r="734" spans="1:19">
      <c r="A734">
        <v>733</v>
      </c>
      <c r="B734" s="1">
        <v>44232</v>
      </c>
      <c r="C734">
        <v>55</v>
      </c>
      <c r="D734" t="s">
        <v>44</v>
      </c>
      <c r="E734" t="s">
        <v>50</v>
      </c>
      <c r="F734">
        <v>19</v>
      </c>
      <c r="G734" s="2">
        <v>111</v>
      </c>
      <c r="H734" s="2">
        <v>2109</v>
      </c>
      <c r="I734" s="4">
        <v>0.02</v>
      </c>
      <c r="J734" s="2">
        <v>2066.8200000000002</v>
      </c>
      <c r="K734" s="1">
        <v>44248</v>
      </c>
      <c r="L734" s="1">
        <v>44248</v>
      </c>
      <c r="M734">
        <v>733</v>
      </c>
      <c r="N734">
        <v>4</v>
      </c>
      <c r="O734" t="s">
        <v>43</v>
      </c>
      <c r="P734" s="3">
        <v>0.06</v>
      </c>
      <c r="Q734" s="2">
        <v>124.00920000000001</v>
      </c>
      <c r="R734">
        <v>5</v>
      </c>
      <c r="S734" t="str">
        <f t="shared" si="11"/>
        <v>Fevereiro</v>
      </c>
    </row>
    <row r="735" spans="1:19">
      <c r="A735">
        <v>734</v>
      </c>
      <c r="B735" s="1">
        <v>44232</v>
      </c>
      <c r="C735">
        <v>7</v>
      </c>
      <c r="D735" t="s">
        <v>102</v>
      </c>
      <c r="E735" t="s">
        <v>50</v>
      </c>
      <c r="F735">
        <v>25</v>
      </c>
      <c r="G735" s="2">
        <v>107</v>
      </c>
      <c r="H735" s="2">
        <v>2675</v>
      </c>
      <c r="I735" s="4">
        <v>0.02</v>
      </c>
      <c r="J735" s="2">
        <v>2621.5</v>
      </c>
      <c r="K735" s="1">
        <v>44259</v>
      </c>
      <c r="L735" s="1">
        <v>44259</v>
      </c>
      <c r="M735">
        <v>734</v>
      </c>
      <c r="N735">
        <v>6</v>
      </c>
      <c r="O735" t="s">
        <v>47</v>
      </c>
      <c r="P735" s="3">
        <v>0.06</v>
      </c>
      <c r="Q735" s="2">
        <v>157.29</v>
      </c>
      <c r="R735">
        <v>6</v>
      </c>
      <c r="S735" t="str">
        <f t="shared" si="11"/>
        <v>Fevereiro</v>
      </c>
    </row>
    <row r="736" spans="1:19">
      <c r="A736">
        <v>735</v>
      </c>
      <c r="B736" s="1">
        <v>44233</v>
      </c>
      <c r="C736">
        <v>19</v>
      </c>
      <c r="D736" t="s">
        <v>38</v>
      </c>
      <c r="E736" t="s">
        <v>50</v>
      </c>
      <c r="F736">
        <v>20</v>
      </c>
      <c r="G736" s="2">
        <v>107</v>
      </c>
      <c r="H736" s="2">
        <v>2140</v>
      </c>
      <c r="I736" s="4">
        <v>0.05</v>
      </c>
      <c r="J736" s="2">
        <v>2033</v>
      </c>
      <c r="K736" s="1">
        <v>44241</v>
      </c>
      <c r="L736" s="1">
        <v>44241</v>
      </c>
      <c r="M736">
        <v>735</v>
      </c>
      <c r="N736">
        <v>2</v>
      </c>
      <c r="O736" t="s">
        <v>22</v>
      </c>
      <c r="P736" s="3">
        <v>0.09</v>
      </c>
      <c r="Q736" s="2">
        <v>182.97</v>
      </c>
      <c r="R736">
        <v>7</v>
      </c>
      <c r="S736" t="str">
        <f t="shared" si="11"/>
        <v>Fevereiro</v>
      </c>
    </row>
    <row r="737" spans="1:19">
      <c r="A737">
        <v>736</v>
      </c>
      <c r="B737" s="1">
        <v>44233</v>
      </c>
      <c r="C737">
        <v>7</v>
      </c>
      <c r="D737" t="s">
        <v>102</v>
      </c>
      <c r="E737" t="s">
        <v>31</v>
      </c>
      <c r="F737">
        <v>27</v>
      </c>
      <c r="G737" s="2">
        <v>112</v>
      </c>
      <c r="H737" s="2">
        <v>3024</v>
      </c>
      <c r="I737" s="4">
        <v>0.04</v>
      </c>
      <c r="J737" s="2">
        <v>2903.04</v>
      </c>
      <c r="K737" s="1">
        <v>44233</v>
      </c>
      <c r="L737" s="1">
        <v>44233</v>
      </c>
      <c r="M737">
        <v>736</v>
      </c>
      <c r="N737">
        <v>1</v>
      </c>
      <c r="O737" t="s">
        <v>52</v>
      </c>
      <c r="P737" s="3">
        <v>0.09</v>
      </c>
      <c r="Q737" s="2">
        <v>261.27359999999999</v>
      </c>
      <c r="R737">
        <v>1</v>
      </c>
      <c r="S737" t="str">
        <f t="shared" si="11"/>
        <v>Fevereiro</v>
      </c>
    </row>
    <row r="738" spans="1:19">
      <c r="A738">
        <v>737</v>
      </c>
      <c r="B738" s="1">
        <v>44233</v>
      </c>
      <c r="C738">
        <v>47</v>
      </c>
      <c r="D738" t="s">
        <v>40</v>
      </c>
      <c r="E738" t="s">
        <v>54</v>
      </c>
      <c r="F738">
        <v>28</v>
      </c>
      <c r="G738" s="2">
        <v>113</v>
      </c>
      <c r="H738" s="2">
        <v>3164</v>
      </c>
      <c r="I738" s="4">
        <v>0.04</v>
      </c>
      <c r="J738" s="2">
        <v>3037.44</v>
      </c>
      <c r="K738" s="1">
        <v>44233</v>
      </c>
      <c r="L738" s="1">
        <v>44233</v>
      </c>
      <c r="M738">
        <v>737</v>
      </c>
      <c r="N738">
        <v>6</v>
      </c>
      <c r="O738" t="s">
        <v>37</v>
      </c>
      <c r="P738" s="3">
        <v>0.09</v>
      </c>
      <c r="Q738" s="2">
        <v>273.36959999999999</v>
      </c>
      <c r="R738">
        <v>2</v>
      </c>
      <c r="S738" t="str">
        <f t="shared" si="11"/>
        <v>Fevereiro</v>
      </c>
    </row>
    <row r="739" spans="1:19">
      <c r="A739">
        <v>738</v>
      </c>
      <c r="B739" s="1">
        <v>44233</v>
      </c>
      <c r="C739">
        <v>48</v>
      </c>
      <c r="D739" t="s">
        <v>61</v>
      </c>
      <c r="E739" t="s">
        <v>54</v>
      </c>
      <c r="F739">
        <v>33</v>
      </c>
      <c r="G739" s="2">
        <v>110</v>
      </c>
      <c r="H739" s="2">
        <v>3630</v>
      </c>
      <c r="I739" s="4">
        <v>0</v>
      </c>
      <c r="J739" s="2">
        <v>3630</v>
      </c>
      <c r="K739" s="1">
        <v>44255</v>
      </c>
      <c r="L739" s="1">
        <v>44255</v>
      </c>
      <c r="M739">
        <v>738</v>
      </c>
      <c r="N739">
        <v>4</v>
      </c>
      <c r="O739" t="s">
        <v>69</v>
      </c>
      <c r="P739" s="3">
        <v>7.0000000000000007E-2</v>
      </c>
      <c r="Q739" s="2">
        <v>254.10000000000002</v>
      </c>
      <c r="R739">
        <v>3</v>
      </c>
      <c r="S739" t="str">
        <f t="shared" si="11"/>
        <v>Fevereiro</v>
      </c>
    </row>
    <row r="740" spans="1:19">
      <c r="A740">
        <v>739</v>
      </c>
      <c r="B740" s="1">
        <v>44234</v>
      </c>
      <c r="C740">
        <v>37</v>
      </c>
      <c r="D740" t="s">
        <v>48</v>
      </c>
      <c r="E740" t="s">
        <v>31</v>
      </c>
      <c r="F740">
        <v>16</v>
      </c>
      <c r="G740" s="2">
        <v>92</v>
      </c>
      <c r="H740" s="2">
        <v>1472</v>
      </c>
      <c r="I740" s="4">
        <v>0.14000000000000001</v>
      </c>
      <c r="J740" s="2">
        <v>1265.92</v>
      </c>
      <c r="K740" s="1">
        <v>44235</v>
      </c>
      <c r="L740" s="1">
        <v>44235</v>
      </c>
      <c r="M740">
        <v>739</v>
      </c>
      <c r="N740">
        <v>7</v>
      </c>
      <c r="O740" t="s">
        <v>37</v>
      </c>
      <c r="P740" s="3">
        <v>0.08</v>
      </c>
      <c r="Q740" s="2">
        <v>101.2736</v>
      </c>
      <c r="R740">
        <v>4</v>
      </c>
      <c r="S740" t="str">
        <f t="shared" si="11"/>
        <v>Fevereiro</v>
      </c>
    </row>
    <row r="741" spans="1:19">
      <c r="A741">
        <v>740</v>
      </c>
      <c r="B741" s="1">
        <v>44235</v>
      </c>
      <c r="C741">
        <v>65</v>
      </c>
      <c r="D741" t="s">
        <v>64</v>
      </c>
      <c r="E741" t="s">
        <v>50</v>
      </c>
      <c r="F741">
        <v>15</v>
      </c>
      <c r="G741" s="2">
        <v>99</v>
      </c>
      <c r="H741" s="2">
        <v>1485</v>
      </c>
      <c r="I741" s="4">
        <v>0.12</v>
      </c>
      <c r="J741" s="2">
        <v>1306.8</v>
      </c>
      <c r="K741" s="1">
        <v>44250</v>
      </c>
      <c r="L741" s="1">
        <v>44250</v>
      </c>
      <c r="M741">
        <v>740</v>
      </c>
      <c r="N741">
        <v>4</v>
      </c>
      <c r="O741" t="s">
        <v>34</v>
      </c>
      <c r="P741" s="3">
        <v>0.06</v>
      </c>
      <c r="Q741" s="2">
        <v>78.408000000000001</v>
      </c>
      <c r="R741">
        <v>5</v>
      </c>
      <c r="S741" t="str">
        <f t="shared" si="11"/>
        <v>Fevereiro</v>
      </c>
    </row>
    <row r="742" spans="1:19">
      <c r="A742">
        <v>741</v>
      </c>
      <c r="B742" s="1">
        <v>44236</v>
      </c>
      <c r="C742">
        <v>7</v>
      </c>
      <c r="D742" t="s">
        <v>102</v>
      </c>
      <c r="E742" t="s">
        <v>46</v>
      </c>
      <c r="F742">
        <v>44</v>
      </c>
      <c r="G742" s="2">
        <v>101</v>
      </c>
      <c r="H742" s="2">
        <v>4444</v>
      </c>
      <c r="I742" s="4">
        <v>0.08</v>
      </c>
      <c r="J742" s="2">
        <v>4088.48</v>
      </c>
      <c r="K742" s="1">
        <v>44263</v>
      </c>
      <c r="L742" s="1">
        <v>44263</v>
      </c>
      <c r="M742">
        <v>741</v>
      </c>
      <c r="N742">
        <v>1</v>
      </c>
      <c r="O742" t="s">
        <v>22</v>
      </c>
      <c r="P742" s="3">
        <v>0.06</v>
      </c>
      <c r="Q742" s="2">
        <v>245.30879999999999</v>
      </c>
      <c r="R742">
        <v>6</v>
      </c>
      <c r="S742" t="str">
        <f t="shared" si="11"/>
        <v>Fevereiro</v>
      </c>
    </row>
    <row r="743" spans="1:19">
      <c r="A743">
        <v>742</v>
      </c>
      <c r="B743" s="1">
        <v>44236</v>
      </c>
      <c r="C743">
        <v>28</v>
      </c>
      <c r="D743" t="s">
        <v>86</v>
      </c>
      <c r="E743" t="s">
        <v>28</v>
      </c>
      <c r="F743">
        <v>30</v>
      </c>
      <c r="G743" s="2">
        <v>119</v>
      </c>
      <c r="H743" s="2">
        <v>3570</v>
      </c>
      <c r="I743" s="4">
        <v>0.15</v>
      </c>
      <c r="J743" s="2">
        <v>3034.5</v>
      </c>
      <c r="K743" s="1">
        <v>44265</v>
      </c>
      <c r="L743" s="1">
        <v>44265</v>
      </c>
      <c r="M743">
        <v>742</v>
      </c>
      <c r="N743">
        <v>4</v>
      </c>
      <c r="O743" t="s">
        <v>29</v>
      </c>
      <c r="P743" s="3">
        <v>7.0000000000000007E-2</v>
      </c>
      <c r="Q743" s="2">
        <v>212.41500000000002</v>
      </c>
      <c r="R743">
        <v>7</v>
      </c>
      <c r="S743" t="str">
        <f t="shared" si="11"/>
        <v>Fevereiro</v>
      </c>
    </row>
    <row r="744" spans="1:19">
      <c r="A744">
        <v>743</v>
      </c>
      <c r="B744" s="1">
        <v>44237</v>
      </c>
      <c r="C744">
        <v>23</v>
      </c>
      <c r="D744" t="s">
        <v>105</v>
      </c>
      <c r="E744" t="s">
        <v>46</v>
      </c>
      <c r="F744">
        <v>19</v>
      </c>
      <c r="G744" s="2">
        <v>98</v>
      </c>
      <c r="H744" s="2">
        <v>1862</v>
      </c>
      <c r="I744" s="4">
        <v>0</v>
      </c>
      <c r="J744" s="2">
        <v>1862</v>
      </c>
      <c r="K744" s="1">
        <v>44249</v>
      </c>
      <c r="L744" s="1">
        <v>44249</v>
      </c>
      <c r="M744">
        <v>743</v>
      </c>
      <c r="N744">
        <v>5</v>
      </c>
      <c r="O744" t="s">
        <v>37</v>
      </c>
      <c r="P744" s="3">
        <v>7.0000000000000007E-2</v>
      </c>
      <c r="Q744" s="2">
        <v>130.34</v>
      </c>
      <c r="R744">
        <v>1</v>
      </c>
      <c r="S744" t="str">
        <f t="shared" si="11"/>
        <v>Fevereiro</v>
      </c>
    </row>
    <row r="745" spans="1:19">
      <c r="A745">
        <v>744</v>
      </c>
      <c r="B745" s="1">
        <v>44239</v>
      </c>
      <c r="C745">
        <v>29</v>
      </c>
      <c r="D745" t="s">
        <v>98</v>
      </c>
      <c r="E745" t="s">
        <v>50</v>
      </c>
      <c r="F745">
        <v>49</v>
      </c>
      <c r="G745" s="2">
        <v>92</v>
      </c>
      <c r="H745" s="2">
        <v>4508</v>
      </c>
      <c r="I745" s="4">
        <v>0.02</v>
      </c>
      <c r="J745" s="2">
        <v>4417.84</v>
      </c>
      <c r="K745" s="1">
        <v>44239</v>
      </c>
      <c r="L745" s="1">
        <v>44239</v>
      </c>
      <c r="M745">
        <v>744</v>
      </c>
      <c r="N745">
        <v>5</v>
      </c>
      <c r="O745" t="s">
        <v>34</v>
      </c>
      <c r="P745" s="3">
        <v>0.08</v>
      </c>
      <c r="Q745" s="2">
        <v>353.42720000000003</v>
      </c>
      <c r="R745">
        <v>2</v>
      </c>
      <c r="S745" t="str">
        <f t="shared" si="11"/>
        <v>Fevereiro</v>
      </c>
    </row>
    <row r="746" spans="1:19">
      <c r="A746">
        <v>745</v>
      </c>
      <c r="B746" s="1">
        <v>44240</v>
      </c>
      <c r="C746">
        <v>42</v>
      </c>
      <c r="D746" t="s">
        <v>92</v>
      </c>
      <c r="E746" t="s">
        <v>24</v>
      </c>
      <c r="F746">
        <v>19</v>
      </c>
      <c r="G746" s="2">
        <v>92</v>
      </c>
      <c r="H746" s="2">
        <v>1748</v>
      </c>
      <c r="I746" s="4">
        <v>0.03</v>
      </c>
      <c r="J746" s="2">
        <v>1695.56</v>
      </c>
      <c r="K746" s="1">
        <v>44258</v>
      </c>
      <c r="L746" s="1">
        <v>44258</v>
      </c>
      <c r="M746">
        <v>745</v>
      </c>
      <c r="N746">
        <v>5</v>
      </c>
      <c r="O746" t="s">
        <v>22</v>
      </c>
      <c r="P746" s="3">
        <v>7.0000000000000007E-2</v>
      </c>
      <c r="Q746" s="2">
        <v>118.68920000000001</v>
      </c>
      <c r="R746">
        <v>3</v>
      </c>
      <c r="S746" t="str">
        <f t="shared" si="11"/>
        <v>Fevereiro</v>
      </c>
    </row>
    <row r="747" spans="1:19">
      <c r="A747">
        <v>746</v>
      </c>
      <c r="B747" s="1">
        <v>44241</v>
      </c>
      <c r="C747">
        <v>16</v>
      </c>
      <c r="D747" t="s">
        <v>27</v>
      </c>
      <c r="E747" t="s">
        <v>24</v>
      </c>
      <c r="F747">
        <v>29</v>
      </c>
      <c r="G747" s="2">
        <v>96</v>
      </c>
      <c r="H747" s="2">
        <v>2784</v>
      </c>
      <c r="I747" s="4">
        <v>7.0000000000000007E-2</v>
      </c>
      <c r="J747" s="2">
        <v>2589.12</v>
      </c>
      <c r="K747" s="1">
        <v>44266</v>
      </c>
      <c r="L747" s="1">
        <v>44266</v>
      </c>
      <c r="M747">
        <v>746</v>
      </c>
      <c r="N747">
        <v>5</v>
      </c>
      <c r="O747" t="s">
        <v>47</v>
      </c>
      <c r="P747" s="3">
        <v>0.08</v>
      </c>
      <c r="Q747" s="2">
        <v>207.12959999999998</v>
      </c>
      <c r="R747">
        <v>4</v>
      </c>
      <c r="S747" t="str">
        <f t="shared" si="11"/>
        <v>Fevereiro</v>
      </c>
    </row>
    <row r="748" spans="1:19">
      <c r="A748">
        <v>747</v>
      </c>
      <c r="B748" s="1">
        <v>44241</v>
      </c>
      <c r="C748">
        <v>74</v>
      </c>
      <c r="D748" t="s">
        <v>38</v>
      </c>
      <c r="E748" t="s">
        <v>55</v>
      </c>
      <c r="F748">
        <v>32</v>
      </c>
      <c r="G748" s="2">
        <v>103</v>
      </c>
      <c r="H748" s="2">
        <v>3296</v>
      </c>
      <c r="I748" s="4">
        <v>0.03</v>
      </c>
      <c r="J748" s="2">
        <v>3197.12</v>
      </c>
      <c r="K748" s="1">
        <v>44243</v>
      </c>
      <c r="L748" s="1">
        <v>44243</v>
      </c>
      <c r="M748">
        <v>747</v>
      </c>
      <c r="N748">
        <v>1</v>
      </c>
      <c r="O748" t="s">
        <v>32</v>
      </c>
      <c r="P748" s="3">
        <v>0.08</v>
      </c>
      <c r="Q748" s="2">
        <v>255.7696</v>
      </c>
      <c r="R748">
        <v>5</v>
      </c>
      <c r="S748" t="str">
        <f t="shared" si="11"/>
        <v>Fevereiro</v>
      </c>
    </row>
    <row r="749" spans="1:19">
      <c r="A749">
        <v>748</v>
      </c>
      <c r="B749" s="1">
        <v>44241</v>
      </c>
      <c r="C749">
        <v>30</v>
      </c>
      <c r="D749" t="s">
        <v>96</v>
      </c>
      <c r="E749" t="s">
        <v>24</v>
      </c>
      <c r="F749">
        <v>38</v>
      </c>
      <c r="G749" s="2">
        <v>117</v>
      </c>
      <c r="H749" s="2">
        <v>4446</v>
      </c>
      <c r="I749" s="4">
        <v>0.14000000000000001</v>
      </c>
      <c r="J749" s="2">
        <v>3823.56</v>
      </c>
      <c r="K749" s="1">
        <v>44252</v>
      </c>
      <c r="L749" s="1">
        <v>44252</v>
      </c>
      <c r="M749">
        <v>748</v>
      </c>
      <c r="N749">
        <v>6</v>
      </c>
      <c r="O749" t="s">
        <v>25</v>
      </c>
      <c r="P749" s="3">
        <v>7.0000000000000007E-2</v>
      </c>
      <c r="Q749" s="2">
        <v>267.64920000000001</v>
      </c>
      <c r="R749">
        <v>6</v>
      </c>
      <c r="S749" t="str">
        <f t="shared" si="11"/>
        <v>Fevereiro</v>
      </c>
    </row>
    <row r="750" spans="1:19">
      <c r="A750">
        <v>749</v>
      </c>
      <c r="B750" s="1">
        <v>44242</v>
      </c>
      <c r="C750">
        <v>94</v>
      </c>
      <c r="D750" t="s">
        <v>49</v>
      </c>
      <c r="E750" t="s">
        <v>46</v>
      </c>
      <c r="F750">
        <v>18</v>
      </c>
      <c r="G750" s="2">
        <v>97</v>
      </c>
      <c r="H750" s="2">
        <v>1746</v>
      </c>
      <c r="I750" s="4">
        <v>0.06</v>
      </c>
      <c r="J750" s="2">
        <v>1641.24</v>
      </c>
      <c r="K750" s="1">
        <v>44272</v>
      </c>
      <c r="L750" s="1">
        <v>44272</v>
      </c>
      <c r="M750">
        <v>749</v>
      </c>
      <c r="N750">
        <v>7</v>
      </c>
      <c r="O750" t="s">
        <v>37</v>
      </c>
      <c r="P750" s="3">
        <v>0.08</v>
      </c>
      <c r="Q750" s="2">
        <v>131.29920000000001</v>
      </c>
      <c r="R750">
        <v>7</v>
      </c>
      <c r="S750" t="str">
        <f t="shared" si="11"/>
        <v>Fevereiro</v>
      </c>
    </row>
    <row r="751" spans="1:19">
      <c r="A751">
        <v>750</v>
      </c>
      <c r="B751" s="1">
        <v>44242</v>
      </c>
      <c r="C751">
        <v>62</v>
      </c>
      <c r="D751" t="s">
        <v>38</v>
      </c>
      <c r="E751" t="s">
        <v>59</v>
      </c>
      <c r="F751">
        <v>47</v>
      </c>
      <c r="G751" s="2">
        <v>90</v>
      </c>
      <c r="H751" s="2">
        <v>4230</v>
      </c>
      <c r="I751" s="4">
        <v>0.06</v>
      </c>
      <c r="J751" s="2">
        <v>3976.2</v>
      </c>
      <c r="K751" s="1">
        <v>44266</v>
      </c>
      <c r="L751" s="1">
        <v>44266</v>
      </c>
      <c r="M751">
        <v>750</v>
      </c>
      <c r="N751">
        <v>7</v>
      </c>
      <c r="O751" t="s">
        <v>69</v>
      </c>
      <c r="P751" s="3">
        <v>0.05</v>
      </c>
      <c r="Q751" s="2">
        <v>198.81</v>
      </c>
      <c r="R751">
        <v>1</v>
      </c>
      <c r="S751" t="str">
        <f t="shared" si="11"/>
        <v>Fevereiro</v>
      </c>
    </row>
    <row r="752" spans="1:19">
      <c r="A752">
        <v>751</v>
      </c>
      <c r="B752" s="1">
        <v>44243</v>
      </c>
      <c r="C752">
        <v>12</v>
      </c>
      <c r="D752" t="s">
        <v>45</v>
      </c>
      <c r="E752" t="s">
        <v>54</v>
      </c>
      <c r="F752">
        <v>49</v>
      </c>
      <c r="G752" s="2">
        <v>117</v>
      </c>
      <c r="H752" s="2">
        <v>5733</v>
      </c>
      <c r="I752" s="4">
        <v>0.04</v>
      </c>
      <c r="J752" s="2">
        <v>5503.68</v>
      </c>
      <c r="K752" s="1">
        <v>44273</v>
      </c>
      <c r="L752" s="1">
        <v>44273</v>
      </c>
      <c r="M752">
        <v>751</v>
      </c>
      <c r="N752">
        <v>1</v>
      </c>
      <c r="O752" t="s">
        <v>32</v>
      </c>
      <c r="P752" s="3">
        <v>0.09</v>
      </c>
      <c r="Q752" s="2">
        <v>495.33120000000002</v>
      </c>
      <c r="R752">
        <v>2</v>
      </c>
      <c r="S752" t="str">
        <f t="shared" si="11"/>
        <v>Fevereiro</v>
      </c>
    </row>
    <row r="753" spans="1:19">
      <c r="A753">
        <v>752</v>
      </c>
      <c r="B753" s="1">
        <v>44244</v>
      </c>
      <c r="C753">
        <v>54</v>
      </c>
      <c r="D753" t="s">
        <v>79</v>
      </c>
      <c r="E753" t="s">
        <v>54</v>
      </c>
      <c r="F753">
        <v>49</v>
      </c>
      <c r="G753" s="2">
        <v>115</v>
      </c>
      <c r="H753" s="2">
        <v>5635</v>
      </c>
      <c r="I753" s="4">
        <v>0.15</v>
      </c>
      <c r="J753" s="2">
        <v>4789.75</v>
      </c>
      <c r="K753" s="1">
        <v>44270</v>
      </c>
      <c r="L753" s="1">
        <v>44270</v>
      </c>
      <c r="M753">
        <v>752</v>
      </c>
      <c r="N753">
        <v>3</v>
      </c>
      <c r="O753" t="s">
        <v>37</v>
      </c>
      <c r="P753" s="3">
        <v>0.08</v>
      </c>
      <c r="Q753" s="2">
        <v>383.18</v>
      </c>
      <c r="R753">
        <v>3</v>
      </c>
      <c r="S753" t="str">
        <f t="shared" si="11"/>
        <v>Fevereiro</v>
      </c>
    </row>
    <row r="754" spans="1:19">
      <c r="A754">
        <v>753</v>
      </c>
      <c r="B754" s="1">
        <v>44245</v>
      </c>
      <c r="C754">
        <v>84</v>
      </c>
      <c r="D754" t="s">
        <v>44</v>
      </c>
      <c r="E754" t="s">
        <v>54</v>
      </c>
      <c r="F754">
        <v>11</v>
      </c>
      <c r="G754" s="2">
        <v>113</v>
      </c>
      <c r="H754" s="2">
        <v>1243</v>
      </c>
      <c r="I754" s="4">
        <v>0.13</v>
      </c>
      <c r="J754" s="2">
        <v>1081.4100000000001</v>
      </c>
      <c r="K754" s="1">
        <v>44265</v>
      </c>
      <c r="L754" s="1">
        <v>44265</v>
      </c>
      <c r="M754">
        <v>753</v>
      </c>
      <c r="N754">
        <v>1</v>
      </c>
      <c r="O754" t="s">
        <v>25</v>
      </c>
      <c r="P754" s="3">
        <v>7.0000000000000007E-2</v>
      </c>
      <c r="Q754" s="2">
        <v>75.698700000000017</v>
      </c>
      <c r="R754">
        <v>4</v>
      </c>
      <c r="S754" t="str">
        <f t="shared" si="11"/>
        <v>Fevereiro</v>
      </c>
    </row>
    <row r="755" spans="1:19">
      <c r="A755">
        <v>754</v>
      </c>
      <c r="B755" s="1">
        <v>44245</v>
      </c>
      <c r="C755">
        <v>79</v>
      </c>
      <c r="D755" t="s">
        <v>33</v>
      </c>
      <c r="E755" t="s">
        <v>31</v>
      </c>
      <c r="F755">
        <v>19</v>
      </c>
      <c r="G755" s="2">
        <v>115</v>
      </c>
      <c r="H755" s="2">
        <v>2185</v>
      </c>
      <c r="I755" s="4">
        <v>7.0000000000000007E-2</v>
      </c>
      <c r="J755" s="2">
        <v>2032.05</v>
      </c>
      <c r="K755" s="1">
        <v>44271</v>
      </c>
      <c r="L755" s="1">
        <v>44271</v>
      </c>
      <c r="M755">
        <v>754</v>
      </c>
      <c r="N755">
        <v>5</v>
      </c>
      <c r="O755" t="s">
        <v>37</v>
      </c>
      <c r="P755" s="3">
        <v>0.05</v>
      </c>
      <c r="Q755" s="2">
        <v>101.60250000000001</v>
      </c>
      <c r="R755">
        <v>5</v>
      </c>
      <c r="S755" t="str">
        <f t="shared" si="11"/>
        <v>Fevereiro</v>
      </c>
    </row>
    <row r="756" spans="1:19">
      <c r="A756">
        <v>755</v>
      </c>
      <c r="B756" s="1">
        <v>44246</v>
      </c>
      <c r="C756">
        <v>93</v>
      </c>
      <c r="D756" t="s">
        <v>33</v>
      </c>
      <c r="E756" t="s">
        <v>50</v>
      </c>
      <c r="F756">
        <v>44</v>
      </c>
      <c r="G756" s="2">
        <v>105</v>
      </c>
      <c r="H756" s="2">
        <v>4620</v>
      </c>
      <c r="I756" s="4">
        <v>0.04</v>
      </c>
      <c r="J756" s="2">
        <v>4435.2</v>
      </c>
      <c r="K756" s="1">
        <v>44269</v>
      </c>
      <c r="L756" s="1">
        <v>44269</v>
      </c>
      <c r="M756">
        <v>755</v>
      </c>
      <c r="N756">
        <v>4</v>
      </c>
      <c r="O756" t="s">
        <v>25</v>
      </c>
      <c r="P756" s="3">
        <v>7.0000000000000007E-2</v>
      </c>
      <c r="Q756" s="2">
        <v>310.464</v>
      </c>
      <c r="R756">
        <v>6</v>
      </c>
      <c r="S756" t="str">
        <f t="shared" si="11"/>
        <v>Fevereiro</v>
      </c>
    </row>
    <row r="757" spans="1:19">
      <c r="A757">
        <v>756</v>
      </c>
      <c r="B757" s="1">
        <v>44246</v>
      </c>
      <c r="C757">
        <v>83</v>
      </c>
      <c r="D757" t="s">
        <v>100</v>
      </c>
      <c r="E757" t="s">
        <v>46</v>
      </c>
      <c r="F757">
        <v>20</v>
      </c>
      <c r="G757" s="2">
        <v>90</v>
      </c>
      <c r="H757" s="2">
        <v>1800</v>
      </c>
      <c r="I757" s="4">
        <v>0</v>
      </c>
      <c r="J757" s="2">
        <v>1800</v>
      </c>
      <c r="K757" s="1">
        <v>44258</v>
      </c>
      <c r="L757" s="1">
        <v>44258</v>
      </c>
      <c r="M757">
        <v>756</v>
      </c>
      <c r="N757">
        <v>6</v>
      </c>
      <c r="O757" t="s">
        <v>37</v>
      </c>
      <c r="P757" s="3">
        <v>0.05</v>
      </c>
      <c r="Q757" s="2">
        <v>90</v>
      </c>
      <c r="R757">
        <v>7</v>
      </c>
      <c r="S757" t="str">
        <f t="shared" si="11"/>
        <v>Fevereiro</v>
      </c>
    </row>
    <row r="758" spans="1:19">
      <c r="A758">
        <v>757</v>
      </c>
      <c r="B758" s="1">
        <v>44246</v>
      </c>
      <c r="C758">
        <v>87</v>
      </c>
      <c r="D758" t="s">
        <v>40</v>
      </c>
      <c r="E758" t="s">
        <v>50</v>
      </c>
      <c r="F758">
        <v>39</v>
      </c>
      <c r="G758" s="2">
        <v>105</v>
      </c>
      <c r="H758" s="2">
        <v>4095</v>
      </c>
      <c r="I758" s="4">
        <v>0.08</v>
      </c>
      <c r="J758" s="2">
        <v>3767.4</v>
      </c>
      <c r="K758" s="1">
        <v>44255</v>
      </c>
      <c r="L758" s="1">
        <v>44255</v>
      </c>
      <c r="M758">
        <v>757</v>
      </c>
      <c r="N758">
        <v>7</v>
      </c>
      <c r="O758" t="s">
        <v>25</v>
      </c>
      <c r="P758" s="3">
        <v>0.08</v>
      </c>
      <c r="Q758" s="2">
        <v>301.392</v>
      </c>
      <c r="R758">
        <v>1</v>
      </c>
      <c r="S758" t="str">
        <f t="shared" si="11"/>
        <v>Fevereiro</v>
      </c>
    </row>
    <row r="759" spans="1:19">
      <c r="A759">
        <v>758</v>
      </c>
      <c r="B759" s="1">
        <v>44246</v>
      </c>
      <c r="C759">
        <v>34</v>
      </c>
      <c r="D759" t="s">
        <v>58</v>
      </c>
      <c r="E759" t="s">
        <v>24</v>
      </c>
      <c r="F759">
        <v>14</v>
      </c>
      <c r="G759" s="2">
        <v>106</v>
      </c>
      <c r="H759" s="2">
        <v>1484</v>
      </c>
      <c r="I759" s="4">
        <v>0.12</v>
      </c>
      <c r="J759" s="2">
        <v>1305.92</v>
      </c>
      <c r="K759" s="1">
        <v>44251</v>
      </c>
      <c r="L759" s="1">
        <v>44251</v>
      </c>
      <c r="M759">
        <v>758</v>
      </c>
      <c r="N759">
        <v>1</v>
      </c>
      <c r="O759" t="s">
        <v>25</v>
      </c>
      <c r="P759" s="3">
        <v>0.1</v>
      </c>
      <c r="Q759" s="2">
        <v>130.59200000000001</v>
      </c>
      <c r="R759">
        <v>2</v>
      </c>
      <c r="S759" t="str">
        <f t="shared" si="11"/>
        <v>Fevereiro</v>
      </c>
    </row>
    <row r="760" spans="1:19">
      <c r="A760">
        <v>759</v>
      </c>
      <c r="B760" s="1">
        <v>44247</v>
      </c>
      <c r="C760">
        <v>94</v>
      </c>
      <c r="D760" t="s">
        <v>49</v>
      </c>
      <c r="E760" t="s">
        <v>31</v>
      </c>
      <c r="F760">
        <v>12</v>
      </c>
      <c r="G760" s="2">
        <v>90</v>
      </c>
      <c r="H760" s="2">
        <v>1080</v>
      </c>
      <c r="I760" s="4">
        <v>0.05</v>
      </c>
      <c r="J760" s="2">
        <v>1026</v>
      </c>
      <c r="K760" s="1">
        <v>44256</v>
      </c>
      <c r="L760" s="1">
        <v>44256</v>
      </c>
      <c r="M760">
        <v>759</v>
      </c>
      <c r="N760">
        <v>7</v>
      </c>
      <c r="O760" t="s">
        <v>69</v>
      </c>
      <c r="P760" s="3">
        <v>0.08</v>
      </c>
      <c r="Q760" s="2">
        <v>82.08</v>
      </c>
      <c r="R760">
        <v>3</v>
      </c>
      <c r="S760" t="str">
        <f t="shared" si="11"/>
        <v>Fevereiro</v>
      </c>
    </row>
    <row r="761" spans="1:19">
      <c r="A761">
        <v>760</v>
      </c>
      <c r="B761" s="1">
        <v>44247</v>
      </c>
      <c r="C761">
        <v>84</v>
      </c>
      <c r="D761" t="s">
        <v>44</v>
      </c>
      <c r="E761" t="s">
        <v>24</v>
      </c>
      <c r="F761">
        <v>27</v>
      </c>
      <c r="G761" s="2">
        <v>100</v>
      </c>
      <c r="H761" s="2">
        <v>2700</v>
      </c>
      <c r="I761" s="4">
        <v>0.11</v>
      </c>
      <c r="J761" s="2">
        <v>2403</v>
      </c>
      <c r="K761" s="1">
        <v>44261</v>
      </c>
      <c r="L761" s="1">
        <v>44261</v>
      </c>
      <c r="M761">
        <v>760</v>
      </c>
      <c r="N761">
        <v>3</v>
      </c>
      <c r="O761" t="s">
        <v>43</v>
      </c>
      <c r="P761" s="3">
        <v>7.0000000000000007E-2</v>
      </c>
      <c r="Q761" s="2">
        <v>168.21</v>
      </c>
      <c r="R761">
        <v>4</v>
      </c>
      <c r="S761" t="str">
        <f t="shared" si="11"/>
        <v>Fevereiro</v>
      </c>
    </row>
    <row r="762" spans="1:19">
      <c r="A762">
        <v>761</v>
      </c>
      <c r="B762" s="1">
        <v>44248</v>
      </c>
      <c r="C762">
        <v>74</v>
      </c>
      <c r="D762" t="s">
        <v>38</v>
      </c>
      <c r="E762" t="s">
        <v>46</v>
      </c>
      <c r="F762">
        <v>27</v>
      </c>
      <c r="G762" s="2">
        <v>90</v>
      </c>
      <c r="H762" s="2">
        <v>2430</v>
      </c>
      <c r="I762" s="4">
        <v>0.14000000000000001</v>
      </c>
      <c r="J762" s="2">
        <v>2089.8000000000002</v>
      </c>
      <c r="K762" s="1">
        <v>44248</v>
      </c>
      <c r="L762" s="1">
        <v>44248</v>
      </c>
      <c r="M762">
        <v>761</v>
      </c>
      <c r="N762">
        <v>5</v>
      </c>
      <c r="O762" t="s">
        <v>29</v>
      </c>
      <c r="P762" s="3">
        <v>0.08</v>
      </c>
      <c r="Q762" s="2">
        <v>167.18400000000003</v>
      </c>
      <c r="R762">
        <v>5</v>
      </c>
      <c r="S762" t="str">
        <f t="shared" si="11"/>
        <v>Fevereiro</v>
      </c>
    </row>
    <row r="763" spans="1:19">
      <c r="A763">
        <v>762</v>
      </c>
      <c r="B763" s="1">
        <v>44248</v>
      </c>
      <c r="C763">
        <v>26</v>
      </c>
      <c r="D763" t="s">
        <v>95</v>
      </c>
      <c r="E763" t="s">
        <v>28</v>
      </c>
      <c r="F763">
        <v>48</v>
      </c>
      <c r="G763" s="2">
        <v>96</v>
      </c>
      <c r="H763" s="2">
        <v>4608</v>
      </c>
      <c r="I763" s="4">
        <v>0.13</v>
      </c>
      <c r="J763" s="2">
        <v>4008.96</v>
      </c>
      <c r="K763" s="1">
        <v>44278</v>
      </c>
      <c r="L763" s="1">
        <v>44278</v>
      </c>
      <c r="M763">
        <v>762</v>
      </c>
      <c r="N763">
        <v>2</v>
      </c>
      <c r="O763" t="s">
        <v>47</v>
      </c>
      <c r="P763" s="3">
        <v>7.0000000000000007E-2</v>
      </c>
      <c r="Q763" s="2">
        <v>280.62720000000002</v>
      </c>
      <c r="R763">
        <v>6</v>
      </c>
      <c r="S763" t="str">
        <f t="shared" si="11"/>
        <v>Fevereiro</v>
      </c>
    </row>
    <row r="764" spans="1:19">
      <c r="A764">
        <v>763</v>
      </c>
      <c r="B764" s="1">
        <v>44248</v>
      </c>
      <c r="C764">
        <v>53</v>
      </c>
      <c r="D764" t="s">
        <v>88</v>
      </c>
      <c r="E764" t="s">
        <v>50</v>
      </c>
      <c r="F764">
        <v>41</v>
      </c>
      <c r="G764" s="2">
        <v>100</v>
      </c>
      <c r="H764" s="2">
        <v>4100</v>
      </c>
      <c r="I764" s="4">
        <v>0</v>
      </c>
      <c r="J764" s="2">
        <v>4100</v>
      </c>
      <c r="K764" s="1">
        <v>44271</v>
      </c>
      <c r="L764" s="1">
        <v>44271</v>
      </c>
      <c r="M764">
        <v>763</v>
      </c>
      <c r="N764">
        <v>5</v>
      </c>
      <c r="O764" t="s">
        <v>43</v>
      </c>
      <c r="P764" s="3">
        <v>0.06</v>
      </c>
      <c r="Q764" s="2">
        <v>246</v>
      </c>
      <c r="R764">
        <v>7</v>
      </c>
      <c r="S764" t="str">
        <f t="shared" si="11"/>
        <v>Fevereiro</v>
      </c>
    </row>
    <row r="765" spans="1:19">
      <c r="A765">
        <v>764</v>
      </c>
      <c r="B765" s="1">
        <v>44248</v>
      </c>
      <c r="C765">
        <v>65</v>
      </c>
      <c r="D765" t="s">
        <v>64</v>
      </c>
      <c r="E765" t="s">
        <v>31</v>
      </c>
      <c r="F765">
        <v>45</v>
      </c>
      <c r="G765" s="2">
        <v>112</v>
      </c>
      <c r="H765" s="2">
        <v>5040</v>
      </c>
      <c r="I765" s="4">
        <v>0.05</v>
      </c>
      <c r="J765" s="2">
        <v>4788</v>
      </c>
      <c r="K765" s="1">
        <v>44249</v>
      </c>
      <c r="L765" s="1">
        <v>44249</v>
      </c>
      <c r="M765">
        <v>764</v>
      </c>
      <c r="N765">
        <v>3</v>
      </c>
      <c r="O765" t="s">
        <v>25</v>
      </c>
      <c r="P765" s="3">
        <v>0.09</v>
      </c>
      <c r="Q765" s="2">
        <v>430.91999999999996</v>
      </c>
      <c r="R765">
        <v>1</v>
      </c>
      <c r="S765" t="str">
        <f t="shared" si="11"/>
        <v>Fevereiro</v>
      </c>
    </row>
    <row r="766" spans="1:19">
      <c r="A766">
        <v>765</v>
      </c>
      <c r="B766" s="1">
        <v>44248</v>
      </c>
      <c r="C766">
        <v>18</v>
      </c>
      <c r="D766" t="s">
        <v>83</v>
      </c>
      <c r="E766" t="s">
        <v>31</v>
      </c>
      <c r="F766">
        <v>20</v>
      </c>
      <c r="G766" s="2">
        <v>92</v>
      </c>
      <c r="H766" s="2">
        <v>1840</v>
      </c>
      <c r="I766" s="4">
        <v>0.15</v>
      </c>
      <c r="J766" s="2">
        <v>1564</v>
      </c>
      <c r="K766" s="1">
        <v>44270</v>
      </c>
      <c r="L766" s="1">
        <v>44270</v>
      </c>
      <c r="M766">
        <v>765</v>
      </c>
      <c r="N766">
        <v>3</v>
      </c>
      <c r="O766" t="s">
        <v>34</v>
      </c>
      <c r="P766" s="3">
        <v>0.05</v>
      </c>
      <c r="Q766" s="2">
        <v>78.2</v>
      </c>
      <c r="R766">
        <v>2</v>
      </c>
      <c r="S766" t="str">
        <f t="shared" si="11"/>
        <v>Fevereiro</v>
      </c>
    </row>
    <row r="767" spans="1:19">
      <c r="A767">
        <v>766</v>
      </c>
      <c r="B767" s="1">
        <v>44248</v>
      </c>
      <c r="C767">
        <v>94</v>
      </c>
      <c r="D767" t="s">
        <v>49</v>
      </c>
      <c r="E767" t="s">
        <v>31</v>
      </c>
      <c r="F767">
        <v>28</v>
      </c>
      <c r="G767" s="2">
        <v>105</v>
      </c>
      <c r="H767" s="2">
        <v>2940</v>
      </c>
      <c r="I767" s="4">
        <v>0.02</v>
      </c>
      <c r="J767" s="2">
        <v>2881.2</v>
      </c>
      <c r="K767" s="1">
        <v>44250</v>
      </c>
      <c r="L767" s="1">
        <v>44250</v>
      </c>
      <c r="M767">
        <v>766</v>
      </c>
      <c r="N767">
        <v>5</v>
      </c>
      <c r="O767" t="s">
        <v>25</v>
      </c>
      <c r="P767" s="3">
        <v>0.1</v>
      </c>
      <c r="Q767" s="2">
        <v>288.12</v>
      </c>
      <c r="R767">
        <v>3</v>
      </c>
      <c r="S767" t="str">
        <f t="shared" si="11"/>
        <v>Fevereiro</v>
      </c>
    </row>
    <row r="768" spans="1:19">
      <c r="A768">
        <v>767</v>
      </c>
      <c r="B768" s="1">
        <v>44249</v>
      </c>
      <c r="C768">
        <v>38</v>
      </c>
      <c r="D768" t="s">
        <v>73</v>
      </c>
      <c r="E768" t="s">
        <v>46</v>
      </c>
      <c r="F768">
        <v>38</v>
      </c>
      <c r="G768" s="2">
        <v>119</v>
      </c>
      <c r="H768" s="2">
        <v>4522</v>
      </c>
      <c r="I768" s="4">
        <v>0.04</v>
      </c>
      <c r="J768" s="2">
        <v>4341.12</v>
      </c>
      <c r="K768" s="1">
        <v>44259</v>
      </c>
      <c r="L768" s="1">
        <v>44259</v>
      </c>
      <c r="M768">
        <v>767</v>
      </c>
      <c r="N768">
        <v>4</v>
      </c>
      <c r="O768" t="s">
        <v>32</v>
      </c>
      <c r="P768" s="3">
        <v>0.06</v>
      </c>
      <c r="Q768" s="2">
        <v>260.46719999999999</v>
      </c>
      <c r="R768">
        <v>4</v>
      </c>
      <c r="S768" t="str">
        <f t="shared" si="11"/>
        <v>Fevereiro</v>
      </c>
    </row>
    <row r="769" spans="1:19">
      <c r="A769">
        <v>768</v>
      </c>
      <c r="B769" s="1">
        <v>44249</v>
      </c>
      <c r="C769">
        <v>23</v>
      </c>
      <c r="D769" t="s">
        <v>105</v>
      </c>
      <c r="E769" t="s">
        <v>46</v>
      </c>
      <c r="F769">
        <v>29</v>
      </c>
      <c r="G769" s="2">
        <v>109</v>
      </c>
      <c r="H769" s="2">
        <v>3161</v>
      </c>
      <c r="I769" s="4">
        <v>0.09</v>
      </c>
      <c r="J769" s="2">
        <v>2876.51</v>
      </c>
      <c r="K769" s="1">
        <v>44278</v>
      </c>
      <c r="L769" s="1">
        <v>44278</v>
      </c>
      <c r="M769">
        <v>768</v>
      </c>
      <c r="N769">
        <v>3</v>
      </c>
      <c r="O769" t="s">
        <v>22</v>
      </c>
      <c r="P769" s="3">
        <v>0.05</v>
      </c>
      <c r="Q769" s="2">
        <v>143.82550000000001</v>
      </c>
      <c r="R769">
        <v>5</v>
      </c>
      <c r="S769" t="str">
        <f t="shared" si="11"/>
        <v>Fevereiro</v>
      </c>
    </row>
    <row r="770" spans="1:19">
      <c r="A770">
        <v>769</v>
      </c>
      <c r="B770" s="1">
        <v>44249</v>
      </c>
      <c r="C770">
        <v>89</v>
      </c>
      <c r="D770" t="s">
        <v>49</v>
      </c>
      <c r="E770" t="s">
        <v>31</v>
      </c>
      <c r="F770">
        <v>11</v>
      </c>
      <c r="G770" s="2">
        <v>106</v>
      </c>
      <c r="H770" s="2">
        <v>1166</v>
      </c>
      <c r="I770" s="4">
        <v>0.06</v>
      </c>
      <c r="J770" s="2">
        <v>1096.04</v>
      </c>
      <c r="K770" s="1">
        <v>44279</v>
      </c>
      <c r="L770" s="1">
        <v>44279</v>
      </c>
      <c r="M770">
        <v>769</v>
      </c>
      <c r="N770">
        <v>7</v>
      </c>
      <c r="O770" t="s">
        <v>34</v>
      </c>
      <c r="P770" s="3">
        <v>0.05</v>
      </c>
      <c r="Q770" s="2">
        <v>54.802</v>
      </c>
      <c r="R770">
        <v>6</v>
      </c>
      <c r="S770" t="str">
        <f t="shared" si="11"/>
        <v>Fevereiro</v>
      </c>
    </row>
    <row r="771" spans="1:19">
      <c r="A771">
        <v>770</v>
      </c>
      <c r="B771" s="1">
        <v>44250</v>
      </c>
      <c r="C771">
        <v>96</v>
      </c>
      <c r="D771" t="s">
        <v>42</v>
      </c>
      <c r="E771" t="s">
        <v>55</v>
      </c>
      <c r="F771">
        <v>20</v>
      </c>
      <c r="G771" s="2">
        <v>102</v>
      </c>
      <c r="H771" s="2">
        <v>2040</v>
      </c>
      <c r="I771" s="4">
        <v>0.08</v>
      </c>
      <c r="J771" s="2">
        <v>1876.8</v>
      </c>
      <c r="K771" s="1">
        <v>44267</v>
      </c>
      <c r="L771" s="1">
        <v>44267</v>
      </c>
      <c r="M771">
        <v>770</v>
      </c>
      <c r="N771">
        <v>5</v>
      </c>
      <c r="O771" t="s">
        <v>47</v>
      </c>
      <c r="P771" s="3">
        <v>0.08</v>
      </c>
      <c r="Q771" s="2">
        <v>150.14400000000001</v>
      </c>
      <c r="R771">
        <v>7</v>
      </c>
      <c r="S771" t="str">
        <f t="shared" ref="S771:S834" si="12">PROPER(TEXT(B771,"mmmm"))</f>
        <v>Fevereiro</v>
      </c>
    </row>
    <row r="772" spans="1:19">
      <c r="A772">
        <v>771</v>
      </c>
      <c r="B772" s="1">
        <v>44250</v>
      </c>
      <c r="C772">
        <v>86</v>
      </c>
      <c r="D772" t="s">
        <v>90</v>
      </c>
      <c r="E772" t="s">
        <v>28</v>
      </c>
      <c r="F772">
        <v>33</v>
      </c>
      <c r="G772" s="2">
        <v>118</v>
      </c>
      <c r="H772" s="2">
        <v>3894</v>
      </c>
      <c r="I772" s="4">
        <v>0.09</v>
      </c>
      <c r="J772" s="2">
        <v>3543.54</v>
      </c>
      <c r="K772" s="1">
        <v>44260</v>
      </c>
      <c r="L772" s="1">
        <v>44260</v>
      </c>
      <c r="M772">
        <v>771</v>
      </c>
      <c r="N772">
        <v>7</v>
      </c>
      <c r="O772" t="s">
        <v>43</v>
      </c>
      <c r="P772" s="3">
        <v>0.05</v>
      </c>
      <c r="Q772" s="2">
        <v>177.17700000000002</v>
      </c>
      <c r="R772">
        <v>1</v>
      </c>
      <c r="S772" t="str">
        <f t="shared" si="12"/>
        <v>Fevereiro</v>
      </c>
    </row>
    <row r="773" spans="1:19">
      <c r="A773">
        <v>772</v>
      </c>
      <c r="B773" s="1">
        <v>44251</v>
      </c>
      <c r="C773">
        <v>51</v>
      </c>
      <c r="D773" t="s">
        <v>53</v>
      </c>
      <c r="E773" t="s">
        <v>28</v>
      </c>
      <c r="F773">
        <v>19</v>
      </c>
      <c r="G773" s="2">
        <v>99</v>
      </c>
      <c r="H773" s="2">
        <v>1881</v>
      </c>
      <c r="I773" s="4">
        <v>0.06</v>
      </c>
      <c r="J773" s="2">
        <v>1768.14</v>
      </c>
      <c r="K773" s="1">
        <v>44275</v>
      </c>
      <c r="L773" s="1">
        <v>44275</v>
      </c>
      <c r="M773">
        <v>772</v>
      </c>
      <c r="N773">
        <v>6</v>
      </c>
      <c r="O773" t="s">
        <v>52</v>
      </c>
      <c r="P773" s="3">
        <v>0.08</v>
      </c>
      <c r="Q773" s="2">
        <v>141.4512</v>
      </c>
      <c r="R773">
        <v>2</v>
      </c>
      <c r="S773" t="str">
        <f t="shared" si="12"/>
        <v>Fevereiro</v>
      </c>
    </row>
    <row r="774" spans="1:19">
      <c r="A774">
        <v>773</v>
      </c>
      <c r="B774" s="1">
        <v>44251</v>
      </c>
      <c r="C774">
        <v>33</v>
      </c>
      <c r="D774" t="s">
        <v>76</v>
      </c>
      <c r="E774" t="s">
        <v>50</v>
      </c>
      <c r="F774">
        <v>36</v>
      </c>
      <c r="G774" s="2">
        <v>98</v>
      </c>
      <c r="H774" s="2">
        <v>3528</v>
      </c>
      <c r="I774" s="4">
        <v>0.1</v>
      </c>
      <c r="J774" s="2">
        <v>3175.2</v>
      </c>
      <c r="K774" s="1">
        <v>44279</v>
      </c>
      <c r="L774" s="1">
        <v>44279</v>
      </c>
      <c r="M774">
        <v>773</v>
      </c>
      <c r="N774">
        <v>1</v>
      </c>
      <c r="O774" t="s">
        <v>52</v>
      </c>
      <c r="P774" s="3">
        <v>0.09</v>
      </c>
      <c r="Q774" s="2">
        <v>285.76799999999997</v>
      </c>
      <c r="R774">
        <v>3</v>
      </c>
      <c r="S774" t="str">
        <f t="shared" si="12"/>
        <v>Fevereiro</v>
      </c>
    </row>
    <row r="775" spans="1:19">
      <c r="A775">
        <v>774</v>
      </c>
      <c r="B775" s="1">
        <v>44252</v>
      </c>
      <c r="C775">
        <v>60</v>
      </c>
      <c r="D775" t="s">
        <v>82</v>
      </c>
      <c r="E775" t="s">
        <v>31</v>
      </c>
      <c r="F775">
        <v>28</v>
      </c>
      <c r="G775" s="2">
        <v>97</v>
      </c>
      <c r="H775" s="2">
        <v>2716</v>
      </c>
      <c r="I775" s="4">
        <v>0.06</v>
      </c>
      <c r="J775" s="2">
        <v>2553.04</v>
      </c>
      <c r="K775" s="1">
        <v>44260</v>
      </c>
      <c r="L775" s="1">
        <v>44260</v>
      </c>
      <c r="M775">
        <v>774</v>
      </c>
      <c r="N775">
        <v>1</v>
      </c>
      <c r="O775" t="s">
        <v>69</v>
      </c>
      <c r="P775" s="3">
        <v>0.08</v>
      </c>
      <c r="Q775" s="2">
        <v>204.2432</v>
      </c>
      <c r="R775">
        <v>4</v>
      </c>
      <c r="S775" t="str">
        <f t="shared" si="12"/>
        <v>Fevereiro</v>
      </c>
    </row>
    <row r="776" spans="1:19">
      <c r="A776">
        <v>775</v>
      </c>
      <c r="B776" s="1">
        <v>44252</v>
      </c>
      <c r="C776">
        <v>75</v>
      </c>
      <c r="D776" t="s">
        <v>38</v>
      </c>
      <c r="E776" t="s">
        <v>24</v>
      </c>
      <c r="F776">
        <v>39</v>
      </c>
      <c r="G776" s="2">
        <v>113</v>
      </c>
      <c r="H776" s="2">
        <v>4407</v>
      </c>
      <c r="I776" s="4">
        <v>0.1</v>
      </c>
      <c r="J776" s="2">
        <v>3966.3</v>
      </c>
      <c r="K776" s="1">
        <v>44282</v>
      </c>
      <c r="L776" s="1">
        <v>44282</v>
      </c>
      <c r="M776">
        <v>775</v>
      </c>
      <c r="N776">
        <v>5</v>
      </c>
      <c r="O776" t="s">
        <v>25</v>
      </c>
      <c r="P776" s="3">
        <v>0.06</v>
      </c>
      <c r="Q776" s="2">
        <v>237.97800000000001</v>
      </c>
      <c r="R776">
        <v>5</v>
      </c>
      <c r="S776" t="str">
        <f t="shared" si="12"/>
        <v>Fevereiro</v>
      </c>
    </row>
    <row r="777" spans="1:19">
      <c r="A777">
        <v>776</v>
      </c>
      <c r="B777" s="1">
        <v>44252</v>
      </c>
      <c r="C777">
        <v>62</v>
      </c>
      <c r="D777" t="s">
        <v>38</v>
      </c>
      <c r="E777" t="s">
        <v>50</v>
      </c>
      <c r="F777">
        <v>35</v>
      </c>
      <c r="G777" s="2">
        <v>98</v>
      </c>
      <c r="H777" s="2">
        <v>3430</v>
      </c>
      <c r="I777" s="4">
        <v>0.02</v>
      </c>
      <c r="J777" s="2">
        <v>3361.4</v>
      </c>
      <c r="K777" s="1">
        <v>44282</v>
      </c>
      <c r="L777" s="1">
        <v>44282</v>
      </c>
      <c r="M777">
        <v>776</v>
      </c>
      <c r="N777">
        <v>7</v>
      </c>
      <c r="O777" t="s">
        <v>43</v>
      </c>
      <c r="P777" s="3">
        <v>0.05</v>
      </c>
      <c r="Q777" s="2">
        <v>168.07000000000002</v>
      </c>
      <c r="R777">
        <v>6</v>
      </c>
      <c r="S777" t="str">
        <f t="shared" si="12"/>
        <v>Fevereiro</v>
      </c>
    </row>
    <row r="778" spans="1:19">
      <c r="A778">
        <v>777</v>
      </c>
      <c r="B778" s="1">
        <v>44252</v>
      </c>
      <c r="C778">
        <v>21</v>
      </c>
      <c r="D778" t="s">
        <v>87</v>
      </c>
      <c r="E778" t="s">
        <v>28</v>
      </c>
      <c r="F778">
        <v>13</v>
      </c>
      <c r="G778" s="2">
        <v>106</v>
      </c>
      <c r="H778" s="2">
        <v>1378</v>
      </c>
      <c r="I778" s="4">
        <v>0</v>
      </c>
      <c r="J778" s="2">
        <v>1378</v>
      </c>
      <c r="K778" s="1">
        <v>44255</v>
      </c>
      <c r="L778" s="1">
        <v>44255</v>
      </c>
      <c r="M778">
        <v>777</v>
      </c>
      <c r="N778">
        <v>4</v>
      </c>
      <c r="O778" t="s">
        <v>25</v>
      </c>
      <c r="P778" s="3">
        <v>0.05</v>
      </c>
      <c r="Q778" s="2">
        <v>68.900000000000006</v>
      </c>
      <c r="R778">
        <v>7</v>
      </c>
      <c r="S778" t="str">
        <f t="shared" si="12"/>
        <v>Fevereiro</v>
      </c>
    </row>
    <row r="779" spans="1:19">
      <c r="A779">
        <v>778</v>
      </c>
      <c r="B779" s="1">
        <v>44253</v>
      </c>
      <c r="C779">
        <v>17</v>
      </c>
      <c r="D779" t="s">
        <v>67</v>
      </c>
      <c r="E779" t="s">
        <v>46</v>
      </c>
      <c r="F779">
        <v>10</v>
      </c>
      <c r="G779" s="2">
        <v>104</v>
      </c>
      <c r="H779" s="2">
        <v>1040</v>
      </c>
      <c r="I779" s="4">
        <v>0.12</v>
      </c>
      <c r="J779" s="2">
        <v>915.2</v>
      </c>
      <c r="K779" s="1">
        <v>44264</v>
      </c>
      <c r="L779" s="1">
        <v>44264</v>
      </c>
      <c r="M779">
        <v>778</v>
      </c>
      <c r="N779">
        <v>2</v>
      </c>
      <c r="O779" t="s">
        <v>47</v>
      </c>
      <c r="P779" s="3">
        <v>0.09</v>
      </c>
      <c r="Q779" s="2">
        <v>82.367999999999995</v>
      </c>
      <c r="R779">
        <v>1</v>
      </c>
      <c r="S779" t="str">
        <f t="shared" si="12"/>
        <v>Fevereiro</v>
      </c>
    </row>
    <row r="780" spans="1:19">
      <c r="A780">
        <v>779</v>
      </c>
      <c r="B780" s="1">
        <v>44253</v>
      </c>
      <c r="C780">
        <v>49</v>
      </c>
      <c r="D780" t="s">
        <v>38</v>
      </c>
      <c r="E780" t="s">
        <v>54</v>
      </c>
      <c r="F780">
        <v>37</v>
      </c>
      <c r="G780" s="2">
        <v>112</v>
      </c>
      <c r="H780" s="2">
        <v>4144</v>
      </c>
      <c r="I780" s="4">
        <v>0.03</v>
      </c>
      <c r="J780" s="2">
        <v>4019.68</v>
      </c>
      <c r="K780" s="1">
        <v>44269</v>
      </c>
      <c r="L780" s="1">
        <v>44269</v>
      </c>
      <c r="M780">
        <v>779</v>
      </c>
      <c r="N780">
        <v>4</v>
      </c>
      <c r="O780" t="s">
        <v>32</v>
      </c>
      <c r="P780" s="3">
        <v>0.08</v>
      </c>
      <c r="Q780" s="2">
        <v>321.57439999999997</v>
      </c>
      <c r="R780">
        <v>2</v>
      </c>
      <c r="S780" t="str">
        <f t="shared" si="12"/>
        <v>Fevereiro</v>
      </c>
    </row>
    <row r="781" spans="1:19">
      <c r="A781">
        <v>780</v>
      </c>
      <c r="B781" s="1">
        <v>44253</v>
      </c>
      <c r="C781">
        <v>24</v>
      </c>
      <c r="D781" t="s">
        <v>74</v>
      </c>
      <c r="E781" t="s">
        <v>54</v>
      </c>
      <c r="F781">
        <v>30</v>
      </c>
      <c r="G781" s="2">
        <v>110</v>
      </c>
      <c r="H781" s="2">
        <v>3300</v>
      </c>
      <c r="I781" s="4">
        <v>0.01</v>
      </c>
      <c r="J781" s="2">
        <v>3267</v>
      </c>
      <c r="K781" s="1">
        <v>44276</v>
      </c>
      <c r="L781" s="1">
        <v>44276</v>
      </c>
      <c r="M781">
        <v>780</v>
      </c>
      <c r="N781">
        <v>2</v>
      </c>
      <c r="O781" t="s">
        <v>22</v>
      </c>
      <c r="P781" s="3">
        <v>0.08</v>
      </c>
      <c r="Q781" s="2">
        <v>261.36</v>
      </c>
      <c r="R781">
        <v>3</v>
      </c>
      <c r="S781" t="str">
        <f t="shared" si="12"/>
        <v>Fevereiro</v>
      </c>
    </row>
    <row r="782" spans="1:19">
      <c r="A782">
        <v>781</v>
      </c>
      <c r="B782" s="1">
        <v>44254</v>
      </c>
      <c r="C782">
        <v>14</v>
      </c>
      <c r="D782" t="s">
        <v>27</v>
      </c>
      <c r="E782" t="s">
        <v>50</v>
      </c>
      <c r="F782">
        <v>45</v>
      </c>
      <c r="G782" s="2">
        <v>104</v>
      </c>
      <c r="H782" s="2">
        <v>4680</v>
      </c>
      <c r="I782" s="4">
        <v>0.13</v>
      </c>
      <c r="J782" s="2">
        <v>4071.6</v>
      </c>
      <c r="K782" s="1">
        <v>44284</v>
      </c>
      <c r="L782" s="1">
        <v>44284</v>
      </c>
      <c r="M782">
        <v>781</v>
      </c>
      <c r="N782">
        <v>3</v>
      </c>
      <c r="O782" t="s">
        <v>43</v>
      </c>
      <c r="P782" s="3">
        <v>0.06</v>
      </c>
      <c r="Q782" s="2">
        <v>244.29599999999999</v>
      </c>
      <c r="R782">
        <v>4</v>
      </c>
      <c r="S782" t="str">
        <f t="shared" si="12"/>
        <v>Fevereiro</v>
      </c>
    </row>
    <row r="783" spans="1:19">
      <c r="A783">
        <v>782</v>
      </c>
      <c r="B783" s="1">
        <v>44254</v>
      </c>
      <c r="C783">
        <v>21</v>
      </c>
      <c r="D783" t="s">
        <v>87</v>
      </c>
      <c r="E783" t="s">
        <v>28</v>
      </c>
      <c r="F783">
        <v>50</v>
      </c>
      <c r="G783" s="2">
        <v>114</v>
      </c>
      <c r="H783" s="2">
        <v>5700</v>
      </c>
      <c r="I783" s="4">
        <v>0</v>
      </c>
      <c r="J783" s="2">
        <v>5700</v>
      </c>
      <c r="K783" s="1">
        <v>44282</v>
      </c>
      <c r="L783" s="1">
        <v>44282</v>
      </c>
      <c r="M783">
        <v>782</v>
      </c>
      <c r="N783">
        <v>3</v>
      </c>
      <c r="O783" t="s">
        <v>69</v>
      </c>
      <c r="P783" s="3">
        <v>0.1</v>
      </c>
      <c r="Q783" s="2">
        <v>570</v>
      </c>
      <c r="R783">
        <v>5</v>
      </c>
      <c r="S783" t="str">
        <f t="shared" si="12"/>
        <v>Fevereiro</v>
      </c>
    </row>
    <row r="784" spans="1:19">
      <c r="A784">
        <v>783</v>
      </c>
      <c r="B784" s="1">
        <v>44255</v>
      </c>
      <c r="C784">
        <v>15</v>
      </c>
      <c r="D784" t="s">
        <v>77</v>
      </c>
      <c r="E784" t="s">
        <v>28</v>
      </c>
      <c r="F784">
        <v>15</v>
      </c>
      <c r="G784" s="2">
        <v>112</v>
      </c>
      <c r="H784" s="2">
        <v>1680</v>
      </c>
      <c r="I784" s="4">
        <v>0.14000000000000001</v>
      </c>
      <c r="J784" s="2">
        <v>1444.8</v>
      </c>
      <c r="K784" s="1">
        <v>44283</v>
      </c>
      <c r="L784" s="1">
        <v>44283</v>
      </c>
      <c r="M784">
        <v>783</v>
      </c>
      <c r="N784">
        <v>1</v>
      </c>
      <c r="O784" t="s">
        <v>34</v>
      </c>
      <c r="P784" s="3">
        <v>7.0000000000000007E-2</v>
      </c>
      <c r="Q784" s="2">
        <v>101.13600000000001</v>
      </c>
      <c r="R784">
        <v>6</v>
      </c>
      <c r="S784" t="str">
        <f t="shared" si="12"/>
        <v>Fevereiro</v>
      </c>
    </row>
    <row r="785" spans="1:19">
      <c r="A785">
        <v>784</v>
      </c>
      <c r="B785" s="1">
        <v>44256</v>
      </c>
      <c r="C785">
        <v>38</v>
      </c>
      <c r="D785" t="s">
        <v>73</v>
      </c>
      <c r="E785" t="s">
        <v>50</v>
      </c>
      <c r="F785">
        <v>47</v>
      </c>
      <c r="G785" s="2">
        <v>105</v>
      </c>
      <c r="H785" s="2">
        <v>4935</v>
      </c>
      <c r="I785" s="4">
        <v>0.15</v>
      </c>
      <c r="J785" s="2">
        <v>4194.75</v>
      </c>
      <c r="K785" s="1">
        <v>44276</v>
      </c>
      <c r="L785" s="1">
        <v>44276</v>
      </c>
      <c r="M785">
        <v>784</v>
      </c>
      <c r="N785">
        <v>6</v>
      </c>
      <c r="O785" t="s">
        <v>69</v>
      </c>
      <c r="P785" s="3">
        <v>0.1</v>
      </c>
      <c r="Q785" s="2">
        <v>419.47500000000002</v>
      </c>
      <c r="R785">
        <v>7</v>
      </c>
      <c r="S785" t="str">
        <f t="shared" si="12"/>
        <v>Março</v>
      </c>
    </row>
    <row r="786" spans="1:19">
      <c r="A786">
        <v>785</v>
      </c>
      <c r="B786" s="1">
        <v>44257</v>
      </c>
      <c r="C786">
        <v>85</v>
      </c>
      <c r="D786" t="s">
        <v>57</v>
      </c>
      <c r="E786" t="s">
        <v>28</v>
      </c>
      <c r="F786">
        <v>13</v>
      </c>
      <c r="G786" s="2">
        <v>94</v>
      </c>
      <c r="H786" s="2">
        <v>1222</v>
      </c>
      <c r="I786" s="4">
        <v>0.02</v>
      </c>
      <c r="J786" s="2">
        <v>1197.56</v>
      </c>
      <c r="K786" s="1">
        <v>44283</v>
      </c>
      <c r="L786" s="1">
        <v>44283</v>
      </c>
      <c r="M786">
        <v>785</v>
      </c>
      <c r="N786">
        <v>4</v>
      </c>
      <c r="O786" t="s">
        <v>37</v>
      </c>
      <c r="P786" s="3">
        <v>0.09</v>
      </c>
      <c r="Q786" s="2">
        <v>107.78039999999999</v>
      </c>
      <c r="R786">
        <v>1</v>
      </c>
      <c r="S786" t="str">
        <f t="shared" si="12"/>
        <v>Março</v>
      </c>
    </row>
    <row r="787" spans="1:19">
      <c r="A787">
        <v>786</v>
      </c>
      <c r="B787" s="1">
        <v>44257</v>
      </c>
      <c r="C787">
        <v>70</v>
      </c>
      <c r="D787" t="s">
        <v>67</v>
      </c>
      <c r="E787" t="s">
        <v>50</v>
      </c>
      <c r="F787">
        <v>29</v>
      </c>
      <c r="G787" s="2">
        <v>96</v>
      </c>
      <c r="H787" s="2">
        <v>2784</v>
      </c>
      <c r="I787" s="4">
        <v>7.0000000000000007E-2</v>
      </c>
      <c r="J787" s="2">
        <v>2589.12</v>
      </c>
      <c r="K787" s="1">
        <v>44266</v>
      </c>
      <c r="L787" s="1">
        <v>44266</v>
      </c>
      <c r="M787">
        <v>786</v>
      </c>
      <c r="N787">
        <v>1</v>
      </c>
      <c r="O787" t="s">
        <v>29</v>
      </c>
      <c r="P787" s="3">
        <v>7.0000000000000007E-2</v>
      </c>
      <c r="Q787" s="2">
        <v>181.23840000000001</v>
      </c>
      <c r="R787">
        <v>2</v>
      </c>
      <c r="S787" t="str">
        <f t="shared" si="12"/>
        <v>Março</v>
      </c>
    </row>
    <row r="788" spans="1:19">
      <c r="A788">
        <v>787</v>
      </c>
      <c r="B788" s="1">
        <v>44257</v>
      </c>
      <c r="C788">
        <v>30</v>
      </c>
      <c r="D788" t="s">
        <v>96</v>
      </c>
      <c r="E788" t="s">
        <v>50</v>
      </c>
      <c r="F788">
        <v>24</v>
      </c>
      <c r="G788" s="2">
        <v>100</v>
      </c>
      <c r="H788" s="2">
        <v>2400</v>
      </c>
      <c r="I788" s="4">
        <v>0.15</v>
      </c>
      <c r="J788" s="2">
        <v>2040</v>
      </c>
      <c r="K788" s="1">
        <v>44279</v>
      </c>
      <c r="L788" s="1">
        <v>44279</v>
      </c>
      <c r="M788">
        <v>787</v>
      </c>
      <c r="N788">
        <v>3</v>
      </c>
      <c r="O788" t="s">
        <v>47</v>
      </c>
      <c r="P788" s="3">
        <v>0.06</v>
      </c>
      <c r="Q788" s="2">
        <v>122.39999999999999</v>
      </c>
      <c r="R788">
        <v>3</v>
      </c>
      <c r="S788" t="str">
        <f t="shared" si="12"/>
        <v>Março</v>
      </c>
    </row>
    <row r="789" spans="1:19">
      <c r="A789">
        <v>788</v>
      </c>
      <c r="B789" s="1">
        <v>44257</v>
      </c>
      <c r="C789">
        <v>66</v>
      </c>
      <c r="D789" t="s">
        <v>30</v>
      </c>
      <c r="E789" t="s">
        <v>24</v>
      </c>
      <c r="F789">
        <v>34</v>
      </c>
      <c r="G789" s="2">
        <v>111</v>
      </c>
      <c r="H789" s="2">
        <v>3774</v>
      </c>
      <c r="I789" s="4">
        <v>7.0000000000000007E-2</v>
      </c>
      <c r="J789" s="2">
        <v>3509.82</v>
      </c>
      <c r="K789" s="1">
        <v>44279</v>
      </c>
      <c r="L789" s="1">
        <v>44279</v>
      </c>
      <c r="M789">
        <v>788</v>
      </c>
      <c r="N789">
        <v>2</v>
      </c>
      <c r="O789" t="s">
        <v>43</v>
      </c>
      <c r="P789" s="3">
        <v>0.06</v>
      </c>
      <c r="Q789" s="2">
        <v>210.58920000000001</v>
      </c>
      <c r="R789">
        <v>4</v>
      </c>
      <c r="S789" t="str">
        <f t="shared" si="12"/>
        <v>Março</v>
      </c>
    </row>
    <row r="790" spans="1:19">
      <c r="A790">
        <v>789</v>
      </c>
      <c r="B790" s="1">
        <v>44259</v>
      </c>
      <c r="C790">
        <v>98</v>
      </c>
      <c r="D790" t="s">
        <v>26</v>
      </c>
      <c r="E790" t="s">
        <v>31</v>
      </c>
      <c r="F790">
        <v>49</v>
      </c>
      <c r="G790" s="2">
        <v>115</v>
      </c>
      <c r="H790" s="2">
        <v>5635</v>
      </c>
      <c r="I790" s="4">
        <v>0.09</v>
      </c>
      <c r="J790" s="2">
        <v>5127.8500000000004</v>
      </c>
      <c r="K790" s="1">
        <v>44287</v>
      </c>
      <c r="L790" s="1">
        <v>44287</v>
      </c>
      <c r="M790">
        <v>789</v>
      </c>
      <c r="N790">
        <v>1</v>
      </c>
      <c r="O790" t="s">
        <v>69</v>
      </c>
      <c r="P790" s="3">
        <v>0.08</v>
      </c>
      <c r="Q790" s="2">
        <v>410.22800000000007</v>
      </c>
      <c r="R790">
        <v>5</v>
      </c>
      <c r="S790" t="str">
        <f t="shared" si="12"/>
        <v>Março</v>
      </c>
    </row>
    <row r="791" spans="1:19">
      <c r="A791">
        <v>790</v>
      </c>
      <c r="B791" s="1">
        <v>44260</v>
      </c>
      <c r="C791">
        <v>1</v>
      </c>
      <c r="D791" t="s">
        <v>93</v>
      </c>
      <c r="E791" t="s">
        <v>46</v>
      </c>
      <c r="F791">
        <v>37</v>
      </c>
      <c r="G791" s="2">
        <v>97</v>
      </c>
      <c r="H791" s="2">
        <v>3589</v>
      </c>
      <c r="I791" s="4">
        <v>0.03</v>
      </c>
      <c r="J791" s="2">
        <v>3481.33</v>
      </c>
      <c r="K791" s="1">
        <v>44282</v>
      </c>
      <c r="L791" s="1">
        <v>44282</v>
      </c>
      <c r="M791">
        <v>790</v>
      </c>
      <c r="N791">
        <v>4</v>
      </c>
      <c r="O791" t="s">
        <v>47</v>
      </c>
      <c r="P791" s="3">
        <v>0.09</v>
      </c>
      <c r="Q791" s="2">
        <v>313.31969999999995</v>
      </c>
      <c r="R791">
        <v>6</v>
      </c>
      <c r="S791" t="str">
        <f t="shared" si="12"/>
        <v>Março</v>
      </c>
    </row>
    <row r="792" spans="1:19">
      <c r="A792">
        <v>791</v>
      </c>
      <c r="B792" s="1">
        <v>44260</v>
      </c>
      <c r="C792">
        <v>42</v>
      </c>
      <c r="D792" t="s">
        <v>92</v>
      </c>
      <c r="E792" t="s">
        <v>46</v>
      </c>
      <c r="F792">
        <v>47</v>
      </c>
      <c r="G792" s="2">
        <v>98</v>
      </c>
      <c r="H792" s="2">
        <v>4606</v>
      </c>
      <c r="I792" s="4">
        <v>0.01</v>
      </c>
      <c r="J792" s="2">
        <v>4559.9399999999996</v>
      </c>
      <c r="K792" s="1">
        <v>44275</v>
      </c>
      <c r="L792" s="1">
        <v>44275</v>
      </c>
      <c r="M792">
        <v>791</v>
      </c>
      <c r="N792">
        <v>5</v>
      </c>
      <c r="O792" t="s">
        <v>52</v>
      </c>
      <c r="P792" s="3">
        <v>0.06</v>
      </c>
      <c r="Q792" s="2">
        <v>273.59639999999996</v>
      </c>
      <c r="R792">
        <v>7</v>
      </c>
      <c r="S792" t="str">
        <f t="shared" si="12"/>
        <v>Março</v>
      </c>
    </row>
    <row r="793" spans="1:19">
      <c r="A793">
        <v>792</v>
      </c>
      <c r="B793" s="1">
        <v>44260</v>
      </c>
      <c r="C793">
        <v>81</v>
      </c>
      <c r="D793" t="s">
        <v>103</v>
      </c>
      <c r="E793" t="s">
        <v>21</v>
      </c>
      <c r="F793">
        <v>12</v>
      </c>
      <c r="G793" s="2">
        <v>101</v>
      </c>
      <c r="H793" s="2">
        <v>1212</v>
      </c>
      <c r="I793" s="4">
        <v>0.01</v>
      </c>
      <c r="J793" s="2">
        <v>1199.8800000000001</v>
      </c>
      <c r="K793" s="1">
        <v>44283</v>
      </c>
      <c r="L793" s="1">
        <v>44283</v>
      </c>
      <c r="M793">
        <v>792</v>
      </c>
      <c r="N793">
        <v>3</v>
      </c>
      <c r="O793" t="s">
        <v>22</v>
      </c>
      <c r="P793" s="3">
        <v>7.0000000000000007E-2</v>
      </c>
      <c r="Q793" s="2">
        <v>83.99160000000002</v>
      </c>
      <c r="R793">
        <v>1</v>
      </c>
      <c r="S793" t="str">
        <f t="shared" si="12"/>
        <v>Março</v>
      </c>
    </row>
    <row r="794" spans="1:19">
      <c r="A794">
        <v>793</v>
      </c>
      <c r="B794" s="1">
        <v>44261</v>
      </c>
      <c r="C794">
        <v>91</v>
      </c>
      <c r="D794" t="s">
        <v>62</v>
      </c>
      <c r="E794" t="s">
        <v>28</v>
      </c>
      <c r="F794">
        <v>49</v>
      </c>
      <c r="G794" s="2">
        <v>112</v>
      </c>
      <c r="H794" s="2">
        <v>5488</v>
      </c>
      <c r="I794" s="4">
        <v>0.02</v>
      </c>
      <c r="J794" s="2">
        <v>5378.24</v>
      </c>
      <c r="K794" s="1">
        <v>44272</v>
      </c>
      <c r="L794" s="1">
        <v>44272</v>
      </c>
      <c r="M794">
        <v>793</v>
      </c>
      <c r="N794">
        <v>2</v>
      </c>
      <c r="O794" t="s">
        <v>32</v>
      </c>
      <c r="P794" s="3">
        <v>0.1</v>
      </c>
      <c r="Q794" s="2">
        <v>537.82399999999996</v>
      </c>
      <c r="R794">
        <v>2</v>
      </c>
      <c r="S794" t="str">
        <f t="shared" si="12"/>
        <v>Março</v>
      </c>
    </row>
    <row r="795" spans="1:19">
      <c r="A795">
        <v>794</v>
      </c>
      <c r="B795" s="1">
        <v>44261</v>
      </c>
      <c r="C795">
        <v>93</v>
      </c>
      <c r="D795" t="s">
        <v>33</v>
      </c>
      <c r="E795" t="s">
        <v>28</v>
      </c>
      <c r="F795">
        <v>30</v>
      </c>
      <c r="G795" s="2">
        <v>90</v>
      </c>
      <c r="H795" s="2">
        <v>2700</v>
      </c>
      <c r="I795" s="4">
        <v>0.02</v>
      </c>
      <c r="J795" s="2">
        <v>2646</v>
      </c>
      <c r="K795" s="1">
        <v>44289</v>
      </c>
      <c r="L795" s="1">
        <v>44289</v>
      </c>
      <c r="M795">
        <v>794</v>
      </c>
      <c r="N795">
        <v>5</v>
      </c>
      <c r="O795" t="s">
        <v>69</v>
      </c>
      <c r="P795" s="3">
        <v>0.05</v>
      </c>
      <c r="Q795" s="2">
        <v>132.30000000000001</v>
      </c>
      <c r="R795">
        <v>3</v>
      </c>
      <c r="S795" t="str">
        <f t="shared" si="12"/>
        <v>Março</v>
      </c>
    </row>
    <row r="796" spans="1:19">
      <c r="A796">
        <v>795</v>
      </c>
      <c r="B796" s="1">
        <v>44261</v>
      </c>
      <c r="C796">
        <v>6</v>
      </c>
      <c r="D796" t="s">
        <v>88</v>
      </c>
      <c r="E796" t="s">
        <v>46</v>
      </c>
      <c r="F796">
        <v>41</v>
      </c>
      <c r="G796" s="2">
        <v>110</v>
      </c>
      <c r="H796" s="2">
        <v>4510</v>
      </c>
      <c r="I796" s="4">
        <v>0.1</v>
      </c>
      <c r="J796" s="2">
        <v>4059</v>
      </c>
      <c r="K796" s="1">
        <v>44264</v>
      </c>
      <c r="M796">
        <v>795</v>
      </c>
      <c r="N796">
        <v>3</v>
      </c>
      <c r="O796" t="s">
        <v>37</v>
      </c>
      <c r="P796" s="3">
        <v>0.06</v>
      </c>
      <c r="Q796" s="2">
        <v>243.54</v>
      </c>
      <c r="R796">
        <v>4</v>
      </c>
      <c r="S796" t="str">
        <f t="shared" si="12"/>
        <v>Março</v>
      </c>
    </row>
    <row r="797" spans="1:19">
      <c r="A797">
        <v>796</v>
      </c>
      <c r="B797" s="1">
        <v>44261</v>
      </c>
      <c r="C797">
        <v>11</v>
      </c>
      <c r="D797" t="s">
        <v>60</v>
      </c>
      <c r="E797" t="s">
        <v>21</v>
      </c>
      <c r="F797">
        <v>23</v>
      </c>
      <c r="G797" s="2">
        <v>114</v>
      </c>
      <c r="H797" s="2">
        <v>2622</v>
      </c>
      <c r="I797" s="4">
        <v>0.15</v>
      </c>
      <c r="J797" s="2">
        <v>2228.6999999999998</v>
      </c>
      <c r="K797" s="1">
        <v>44268</v>
      </c>
      <c r="L797" s="1">
        <v>44268</v>
      </c>
      <c r="M797">
        <v>796</v>
      </c>
      <c r="N797">
        <v>6</v>
      </c>
      <c r="O797" t="s">
        <v>22</v>
      </c>
      <c r="P797" s="3">
        <v>7.0000000000000007E-2</v>
      </c>
      <c r="Q797" s="2">
        <v>156.00900000000001</v>
      </c>
      <c r="R797">
        <v>5</v>
      </c>
      <c r="S797" t="str">
        <f t="shared" si="12"/>
        <v>Março</v>
      </c>
    </row>
    <row r="798" spans="1:19">
      <c r="A798">
        <v>797</v>
      </c>
      <c r="B798" s="1">
        <v>44261</v>
      </c>
      <c r="C798">
        <v>15</v>
      </c>
      <c r="D798" t="s">
        <v>77</v>
      </c>
      <c r="E798" t="s">
        <v>24</v>
      </c>
      <c r="F798">
        <v>29</v>
      </c>
      <c r="G798" s="2">
        <v>107</v>
      </c>
      <c r="H798" s="2">
        <v>3103</v>
      </c>
      <c r="I798" s="4">
        <v>0.15</v>
      </c>
      <c r="J798" s="2">
        <v>2637.55</v>
      </c>
      <c r="K798" s="1">
        <v>44281</v>
      </c>
      <c r="L798" s="1">
        <v>44281</v>
      </c>
      <c r="M798">
        <v>797</v>
      </c>
      <c r="N798">
        <v>2</v>
      </c>
      <c r="O798" t="s">
        <v>29</v>
      </c>
      <c r="P798" s="3">
        <v>0.06</v>
      </c>
      <c r="Q798" s="2">
        <v>158.25300000000001</v>
      </c>
      <c r="R798">
        <v>6</v>
      </c>
      <c r="S798" t="str">
        <f t="shared" si="12"/>
        <v>Março</v>
      </c>
    </row>
    <row r="799" spans="1:19">
      <c r="A799">
        <v>798</v>
      </c>
      <c r="B799" s="1">
        <v>44262</v>
      </c>
      <c r="C799">
        <v>89</v>
      </c>
      <c r="D799" t="s">
        <v>49</v>
      </c>
      <c r="E799" t="s">
        <v>59</v>
      </c>
      <c r="F799">
        <v>39</v>
      </c>
      <c r="G799" s="2">
        <v>109</v>
      </c>
      <c r="H799" s="2">
        <v>4251</v>
      </c>
      <c r="I799" s="4">
        <v>0</v>
      </c>
      <c r="J799" s="2">
        <v>4251</v>
      </c>
      <c r="K799" s="1">
        <v>44267</v>
      </c>
      <c r="L799" s="1">
        <v>44267</v>
      </c>
      <c r="M799">
        <v>798</v>
      </c>
      <c r="N799">
        <v>5</v>
      </c>
      <c r="O799" t="s">
        <v>69</v>
      </c>
      <c r="P799" s="3">
        <v>0.08</v>
      </c>
      <c r="Q799" s="2">
        <v>340.08</v>
      </c>
      <c r="R799">
        <v>7</v>
      </c>
      <c r="S799" t="str">
        <f t="shared" si="12"/>
        <v>Março</v>
      </c>
    </row>
    <row r="800" spans="1:19">
      <c r="A800">
        <v>799</v>
      </c>
      <c r="B800" s="1">
        <v>44262</v>
      </c>
      <c r="C800">
        <v>15</v>
      </c>
      <c r="D800" t="s">
        <v>77</v>
      </c>
      <c r="E800" t="s">
        <v>50</v>
      </c>
      <c r="F800">
        <v>27</v>
      </c>
      <c r="G800" s="2">
        <v>109</v>
      </c>
      <c r="H800" s="2">
        <v>2943</v>
      </c>
      <c r="I800" s="4">
        <v>0.05</v>
      </c>
      <c r="J800" s="2">
        <v>2795.85</v>
      </c>
      <c r="K800" s="1">
        <v>44277</v>
      </c>
      <c r="L800" s="1">
        <v>44277</v>
      </c>
      <c r="M800">
        <v>799</v>
      </c>
      <c r="N800">
        <v>5</v>
      </c>
      <c r="O800" t="s">
        <v>52</v>
      </c>
      <c r="P800" s="3">
        <v>7.0000000000000007E-2</v>
      </c>
      <c r="Q800" s="2">
        <v>195.70950000000002</v>
      </c>
      <c r="R800">
        <v>1</v>
      </c>
      <c r="S800" t="str">
        <f t="shared" si="12"/>
        <v>Março</v>
      </c>
    </row>
    <row r="801" spans="1:19">
      <c r="A801">
        <v>800</v>
      </c>
      <c r="B801" s="1">
        <v>44262</v>
      </c>
      <c r="C801">
        <v>61</v>
      </c>
      <c r="D801" t="s">
        <v>56</v>
      </c>
      <c r="E801" t="s">
        <v>21</v>
      </c>
      <c r="F801">
        <v>25</v>
      </c>
      <c r="G801" s="2">
        <v>119</v>
      </c>
      <c r="H801" s="2">
        <v>2975</v>
      </c>
      <c r="I801" s="4">
        <v>0.05</v>
      </c>
      <c r="J801" s="2">
        <v>2826.25</v>
      </c>
      <c r="K801" s="1">
        <v>44269</v>
      </c>
      <c r="L801" s="1">
        <v>44269</v>
      </c>
      <c r="M801">
        <v>800</v>
      </c>
      <c r="N801">
        <v>4</v>
      </c>
      <c r="O801" t="s">
        <v>37</v>
      </c>
      <c r="P801" s="3">
        <v>0.09</v>
      </c>
      <c r="Q801" s="2">
        <v>254.36249999999998</v>
      </c>
      <c r="R801">
        <v>2</v>
      </c>
      <c r="S801" t="str">
        <f t="shared" si="12"/>
        <v>Março</v>
      </c>
    </row>
    <row r="802" spans="1:19">
      <c r="A802">
        <v>801</v>
      </c>
      <c r="B802" s="1">
        <v>44262</v>
      </c>
      <c r="C802">
        <v>3</v>
      </c>
      <c r="D802" t="s">
        <v>91</v>
      </c>
      <c r="E802" t="s">
        <v>55</v>
      </c>
      <c r="F802">
        <v>19</v>
      </c>
      <c r="G802" s="2">
        <v>98</v>
      </c>
      <c r="H802" s="2">
        <v>1862</v>
      </c>
      <c r="I802" s="4">
        <v>0.02</v>
      </c>
      <c r="J802" s="2">
        <v>1824.76</v>
      </c>
      <c r="K802" s="1">
        <v>44289</v>
      </c>
      <c r="L802" s="1">
        <v>44289</v>
      </c>
      <c r="M802">
        <v>801</v>
      </c>
      <c r="N802">
        <v>5</v>
      </c>
      <c r="O802" t="s">
        <v>25</v>
      </c>
      <c r="P802" s="3">
        <v>7.0000000000000007E-2</v>
      </c>
      <c r="Q802" s="2">
        <v>127.73320000000001</v>
      </c>
      <c r="R802">
        <v>3</v>
      </c>
      <c r="S802" t="str">
        <f t="shared" si="12"/>
        <v>Março</v>
      </c>
    </row>
    <row r="803" spans="1:19">
      <c r="A803">
        <v>802</v>
      </c>
      <c r="B803" s="1">
        <v>44262</v>
      </c>
      <c r="C803">
        <v>22</v>
      </c>
      <c r="D803" t="s">
        <v>51</v>
      </c>
      <c r="E803" t="s">
        <v>24</v>
      </c>
      <c r="F803">
        <v>10</v>
      </c>
      <c r="G803" s="2">
        <v>97</v>
      </c>
      <c r="H803" s="2">
        <v>970</v>
      </c>
      <c r="I803" s="4">
        <v>0.01</v>
      </c>
      <c r="J803" s="2">
        <v>960.3</v>
      </c>
      <c r="K803" s="1">
        <v>44267</v>
      </c>
      <c r="L803" s="1">
        <v>44267</v>
      </c>
      <c r="M803">
        <v>802</v>
      </c>
      <c r="N803">
        <v>7</v>
      </c>
      <c r="O803" t="s">
        <v>37</v>
      </c>
      <c r="P803" s="3">
        <v>0.1</v>
      </c>
      <c r="Q803" s="2">
        <v>96.03</v>
      </c>
      <c r="R803">
        <v>4</v>
      </c>
      <c r="S803" t="str">
        <f t="shared" si="12"/>
        <v>Março</v>
      </c>
    </row>
    <row r="804" spans="1:19">
      <c r="A804">
        <v>803</v>
      </c>
      <c r="B804" s="1">
        <v>44264</v>
      </c>
      <c r="C804">
        <v>87</v>
      </c>
      <c r="D804" t="s">
        <v>40</v>
      </c>
      <c r="E804" t="s">
        <v>46</v>
      </c>
      <c r="F804">
        <v>25</v>
      </c>
      <c r="G804" s="2">
        <v>119</v>
      </c>
      <c r="H804" s="2">
        <v>2975</v>
      </c>
      <c r="I804" s="4">
        <v>0.01</v>
      </c>
      <c r="J804" s="2">
        <v>2945.25</v>
      </c>
      <c r="K804" s="1">
        <v>44287</v>
      </c>
      <c r="L804" s="1">
        <v>44287</v>
      </c>
      <c r="M804">
        <v>803</v>
      </c>
      <c r="N804">
        <v>3</v>
      </c>
      <c r="O804" t="s">
        <v>29</v>
      </c>
      <c r="P804" s="3">
        <v>0.05</v>
      </c>
      <c r="Q804" s="2">
        <v>147.26250000000002</v>
      </c>
      <c r="R804">
        <v>5</v>
      </c>
      <c r="S804" t="str">
        <f t="shared" si="12"/>
        <v>Março</v>
      </c>
    </row>
    <row r="805" spans="1:19">
      <c r="A805">
        <v>804</v>
      </c>
      <c r="B805" s="1">
        <v>44264</v>
      </c>
      <c r="C805">
        <v>26</v>
      </c>
      <c r="D805" t="s">
        <v>95</v>
      </c>
      <c r="E805" t="s">
        <v>46</v>
      </c>
      <c r="F805">
        <v>45</v>
      </c>
      <c r="G805" s="2">
        <v>116</v>
      </c>
      <c r="H805" s="2">
        <v>5220</v>
      </c>
      <c r="I805" s="4">
        <v>0.15</v>
      </c>
      <c r="J805" s="2">
        <v>4437</v>
      </c>
      <c r="K805" s="1">
        <v>44273</v>
      </c>
      <c r="L805" s="1">
        <v>44273</v>
      </c>
      <c r="M805">
        <v>804</v>
      </c>
      <c r="N805">
        <v>1</v>
      </c>
      <c r="O805" t="s">
        <v>32</v>
      </c>
      <c r="P805" s="3">
        <v>0.06</v>
      </c>
      <c r="Q805" s="2">
        <v>266.21999999999997</v>
      </c>
      <c r="R805">
        <v>6</v>
      </c>
      <c r="S805" t="str">
        <f t="shared" si="12"/>
        <v>Março</v>
      </c>
    </row>
    <row r="806" spans="1:19">
      <c r="A806">
        <v>805</v>
      </c>
      <c r="B806" s="1">
        <v>44264</v>
      </c>
      <c r="C806">
        <v>3</v>
      </c>
      <c r="D806" t="s">
        <v>91</v>
      </c>
      <c r="E806" t="s">
        <v>21</v>
      </c>
      <c r="F806">
        <v>39</v>
      </c>
      <c r="G806" s="2">
        <v>115</v>
      </c>
      <c r="H806" s="2">
        <v>4485</v>
      </c>
      <c r="I806" s="4">
        <v>0.14000000000000001</v>
      </c>
      <c r="J806" s="2">
        <v>3857.1</v>
      </c>
      <c r="K806" s="1">
        <v>44273</v>
      </c>
      <c r="L806" s="1">
        <v>44273</v>
      </c>
      <c r="M806">
        <v>805</v>
      </c>
      <c r="N806">
        <v>6</v>
      </c>
      <c r="O806" t="s">
        <v>29</v>
      </c>
      <c r="P806" s="3">
        <v>0.06</v>
      </c>
      <c r="Q806" s="2">
        <v>231.42599999999999</v>
      </c>
      <c r="R806">
        <v>7</v>
      </c>
      <c r="S806" t="str">
        <f t="shared" si="12"/>
        <v>Março</v>
      </c>
    </row>
    <row r="807" spans="1:19">
      <c r="A807">
        <v>806</v>
      </c>
      <c r="B807" s="1">
        <v>44265</v>
      </c>
      <c r="C807">
        <v>68</v>
      </c>
      <c r="D807" t="s">
        <v>49</v>
      </c>
      <c r="E807" t="s">
        <v>59</v>
      </c>
      <c r="F807">
        <v>48</v>
      </c>
      <c r="G807" s="2">
        <v>112</v>
      </c>
      <c r="H807" s="2">
        <v>5376</v>
      </c>
      <c r="I807" s="4">
        <v>0.09</v>
      </c>
      <c r="J807" s="2">
        <v>4892.16</v>
      </c>
      <c r="K807" s="1">
        <v>44280</v>
      </c>
      <c r="L807" s="1">
        <v>44280</v>
      </c>
      <c r="M807">
        <v>806</v>
      </c>
      <c r="N807">
        <v>1</v>
      </c>
      <c r="O807" t="s">
        <v>37</v>
      </c>
      <c r="P807" s="3">
        <v>7.0000000000000007E-2</v>
      </c>
      <c r="Q807" s="2">
        <v>342.45120000000003</v>
      </c>
      <c r="R807">
        <v>1</v>
      </c>
      <c r="S807" t="str">
        <f t="shared" si="12"/>
        <v>Março</v>
      </c>
    </row>
    <row r="808" spans="1:19">
      <c r="A808">
        <v>807</v>
      </c>
      <c r="B808" s="1">
        <v>44265</v>
      </c>
      <c r="C808">
        <v>46</v>
      </c>
      <c r="D808" t="s">
        <v>94</v>
      </c>
      <c r="E808" t="s">
        <v>24</v>
      </c>
      <c r="F808">
        <v>38</v>
      </c>
      <c r="G808" s="2">
        <v>102</v>
      </c>
      <c r="H808" s="2">
        <v>3876</v>
      </c>
      <c r="I808" s="4">
        <v>0.08</v>
      </c>
      <c r="J808" s="2">
        <v>3565.92</v>
      </c>
      <c r="K808" s="1">
        <v>44269</v>
      </c>
      <c r="L808" s="1">
        <v>44269</v>
      </c>
      <c r="M808">
        <v>807</v>
      </c>
      <c r="N808">
        <v>7</v>
      </c>
      <c r="O808" t="s">
        <v>52</v>
      </c>
      <c r="P808" s="3">
        <v>0.09</v>
      </c>
      <c r="Q808" s="2">
        <v>320.93279999999999</v>
      </c>
      <c r="R808">
        <v>2</v>
      </c>
      <c r="S808" t="str">
        <f t="shared" si="12"/>
        <v>Março</v>
      </c>
    </row>
    <row r="809" spans="1:19">
      <c r="A809">
        <v>808</v>
      </c>
      <c r="B809" s="1">
        <v>44265</v>
      </c>
      <c r="C809">
        <v>37</v>
      </c>
      <c r="D809" t="s">
        <v>48</v>
      </c>
      <c r="E809" t="s">
        <v>31</v>
      </c>
      <c r="F809">
        <v>14</v>
      </c>
      <c r="G809" s="2">
        <v>113</v>
      </c>
      <c r="H809" s="2">
        <v>1582</v>
      </c>
      <c r="I809" s="4">
        <v>0.01</v>
      </c>
      <c r="J809" s="2">
        <v>1566.18</v>
      </c>
      <c r="K809" s="1">
        <v>44291</v>
      </c>
      <c r="M809">
        <v>808</v>
      </c>
      <c r="N809">
        <v>3</v>
      </c>
      <c r="O809" t="s">
        <v>43</v>
      </c>
      <c r="P809" s="3">
        <v>0.05</v>
      </c>
      <c r="Q809" s="2">
        <v>78.309000000000012</v>
      </c>
      <c r="R809">
        <v>3</v>
      </c>
      <c r="S809" t="str">
        <f t="shared" si="12"/>
        <v>Março</v>
      </c>
    </row>
    <row r="810" spans="1:19">
      <c r="A810">
        <v>809</v>
      </c>
      <c r="B810" s="1">
        <v>44265</v>
      </c>
      <c r="C810">
        <v>11</v>
      </c>
      <c r="D810" t="s">
        <v>60</v>
      </c>
      <c r="E810" t="s">
        <v>24</v>
      </c>
      <c r="F810">
        <v>27</v>
      </c>
      <c r="G810" s="2">
        <v>104</v>
      </c>
      <c r="H810" s="2">
        <v>2808</v>
      </c>
      <c r="I810" s="4">
        <v>0.02</v>
      </c>
      <c r="J810" s="2">
        <v>2751.84</v>
      </c>
      <c r="K810" s="1">
        <v>44276</v>
      </c>
      <c r="L810" s="1">
        <v>44276</v>
      </c>
      <c r="M810">
        <v>809</v>
      </c>
      <c r="N810">
        <v>3</v>
      </c>
      <c r="O810" t="s">
        <v>25</v>
      </c>
      <c r="P810" s="3">
        <v>0.08</v>
      </c>
      <c r="Q810" s="2">
        <v>220.14720000000003</v>
      </c>
      <c r="R810">
        <v>4</v>
      </c>
      <c r="S810" t="str">
        <f t="shared" si="12"/>
        <v>Março</v>
      </c>
    </row>
    <row r="811" spans="1:19">
      <c r="A811">
        <v>810</v>
      </c>
      <c r="B811" s="1">
        <v>44266</v>
      </c>
      <c r="C811">
        <v>100</v>
      </c>
      <c r="D811" t="s">
        <v>38</v>
      </c>
      <c r="E811" t="s">
        <v>54</v>
      </c>
      <c r="F811">
        <v>48</v>
      </c>
      <c r="G811" s="2">
        <v>96</v>
      </c>
      <c r="H811" s="2">
        <v>4608</v>
      </c>
      <c r="I811" s="4">
        <v>0.06</v>
      </c>
      <c r="J811" s="2">
        <v>4331.5200000000004</v>
      </c>
      <c r="K811" s="1">
        <v>44282</v>
      </c>
      <c r="L811" s="1">
        <v>44282</v>
      </c>
      <c r="M811">
        <v>810</v>
      </c>
      <c r="N811">
        <v>5</v>
      </c>
      <c r="O811" t="s">
        <v>52</v>
      </c>
      <c r="P811" s="3">
        <v>0.05</v>
      </c>
      <c r="Q811" s="2">
        <v>216.57600000000002</v>
      </c>
      <c r="R811">
        <v>5</v>
      </c>
      <c r="S811" t="str">
        <f t="shared" si="12"/>
        <v>Março</v>
      </c>
    </row>
    <row r="812" spans="1:19">
      <c r="A812">
        <v>811</v>
      </c>
      <c r="B812" s="1">
        <v>44267</v>
      </c>
      <c r="C812">
        <v>75</v>
      </c>
      <c r="D812" t="s">
        <v>38</v>
      </c>
      <c r="E812" t="s">
        <v>59</v>
      </c>
      <c r="F812">
        <v>22</v>
      </c>
      <c r="G812" s="2">
        <v>101</v>
      </c>
      <c r="H812" s="2">
        <v>2222</v>
      </c>
      <c r="I812" s="4">
        <v>0.02</v>
      </c>
      <c r="J812" s="2">
        <v>2177.56</v>
      </c>
      <c r="K812" s="1">
        <v>44289</v>
      </c>
      <c r="L812" s="1">
        <v>44289</v>
      </c>
      <c r="M812">
        <v>811</v>
      </c>
      <c r="N812">
        <v>7</v>
      </c>
      <c r="O812" t="s">
        <v>43</v>
      </c>
      <c r="P812" s="3">
        <v>0.1</v>
      </c>
      <c r="Q812" s="2">
        <v>217.756</v>
      </c>
      <c r="R812">
        <v>6</v>
      </c>
      <c r="S812" t="str">
        <f t="shared" si="12"/>
        <v>Março</v>
      </c>
    </row>
    <row r="813" spans="1:19">
      <c r="A813">
        <v>812</v>
      </c>
      <c r="B813" s="1">
        <v>44267</v>
      </c>
      <c r="C813">
        <v>35</v>
      </c>
      <c r="D813" t="s">
        <v>38</v>
      </c>
      <c r="E813" t="s">
        <v>55</v>
      </c>
      <c r="F813">
        <v>30</v>
      </c>
      <c r="G813" s="2">
        <v>118</v>
      </c>
      <c r="H813" s="2">
        <v>3540</v>
      </c>
      <c r="I813" s="4">
        <v>0.01</v>
      </c>
      <c r="J813" s="2">
        <v>3504.6</v>
      </c>
      <c r="K813" s="1">
        <v>44271</v>
      </c>
      <c r="L813" s="1">
        <v>44271</v>
      </c>
      <c r="M813">
        <v>812</v>
      </c>
      <c r="N813">
        <v>1</v>
      </c>
      <c r="O813" t="s">
        <v>25</v>
      </c>
      <c r="P813" s="3">
        <v>0.06</v>
      </c>
      <c r="Q813" s="2">
        <v>210.27599999999998</v>
      </c>
      <c r="R813">
        <v>7</v>
      </c>
      <c r="S813" t="str">
        <f t="shared" si="12"/>
        <v>Março</v>
      </c>
    </row>
    <row r="814" spans="1:19">
      <c r="A814">
        <v>813</v>
      </c>
      <c r="B814" s="1">
        <v>44268</v>
      </c>
      <c r="C814">
        <v>26</v>
      </c>
      <c r="D814" t="s">
        <v>95</v>
      </c>
      <c r="E814" t="s">
        <v>31</v>
      </c>
      <c r="F814">
        <v>17</v>
      </c>
      <c r="G814" s="2">
        <v>111</v>
      </c>
      <c r="H814" s="2">
        <v>1887</v>
      </c>
      <c r="I814" s="4">
        <v>0</v>
      </c>
      <c r="J814" s="2">
        <v>1887</v>
      </c>
      <c r="K814" s="1">
        <v>44273</v>
      </c>
      <c r="L814" s="1">
        <v>44273</v>
      </c>
      <c r="M814">
        <v>813</v>
      </c>
      <c r="N814">
        <v>5</v>
      </c>
      <c r="O814" t="s">
        <v>52</v>
      </c>
      <c r="P814" s="3">
        <v>0.05</v>
      </c>
      <c r="Q814" s="2">
        <v>94.350000000000009</v>
      </c>
      <c r="R814">
        <v>1</v>
      </c>
      <c r="S814" t="str">
        <f t="shared" si="12"/>
        <v>Março</v>
      </c>
    </row>
    <row r="815" spans="1:19">
      <c r="A815">
        <v>814</v>
      </c>
      <c r="B815" s="1">
        <v>44268</v>
      </c>
      <c r="C815">
        <v>49</v>
      </c>
      <c r="D815" t="s">
        <v>38</v>
      </c>
      <c r="E815" t="s">
        <v>28</v>
      </c>
      <c r="F815">
        <v>14</v>
      </c>
      <c r="G815" s="2">
        <v>113</v>
      </c>
      <c r="H815" s="2">
        <v>1582</v>
      </c>
      <c r="I815" s="4">
        <v>0.11</v>
      </c>
      <c r="J815" s="2">
        <v>1407.98</v>
      </c>
      <c r="K815" s="1">
        <v>44268</v>
      </c>
      <c r="L815" s="1">
        <v>44268</v>
      </c>
      <c r="M815">
        <v>814</v>
      </c>
      <c r="N815">
        <v>3</v>
      </c>
      <c r="O815" t="s">
        <v>29</v>
      </c>
      <c r="P815" s="3">
        <v>7.0000000000000007E-2</v>
      </c>
      <c r="Q815" s="2">
        <v>98.558600000000013</v>
      </c>
      <c r="R815">
        <v>2</v>
      </c>
      <c r="S815" t="str">
        <f t="shared" si="12"/>
        <v>Março</v>
      </c>
    </row>
    <row r="816" spans="1:19">
      <c r="A816">
        <v>815</v>
      </c>
      <c r="B816" s="1">
        <v>44269</v>
      </c>
      <c r="C816">
        <v>14</v>
      </c>
      <c r="D816" t="s">
        <v>27</v>
      </c>
      <c r="E816" t="s">
        <v>46</v>
      </c>
      <c r="F816">
        <v>15</v>
      </c>
      <c r="G816" s="2">
        <v>118</v>
      </c>
      <c r="H816" s="2">
        <v>1770</v>
      </c>
      <c r="I816" s="4">
        <v>0.14000000000000001</v>
      </c>
      <c r="J816" s="2">
        <v>1522.2</v>
      </c>
      <c r="K816" s="1">
        <v>44279</v>
      </c>
      <c r="L816" s="1">
        <v>44279</v>
      </c>
      <c r="M816">
        <v>815</v>
      </c>
      <c r="N816">
        <v>3</v>
      </c>
      <c r="O816" t="s">
        <v>32</v>
      </c>
      <c r="P816" s="3">
        <v>0.09</v>
      </c>
      <c r="Q816" s="2">
        <v>136.99799999999999</v>
      </c>
      <c r="R816">
        <v>3</v>
      </c>
      <c r="S816" t="str">
        <f t="shared" si="12"/>
        <v>Março</v>
      </c>
    </row>
    <row r="817" spans="1:19">
      <c r="A817">
        <v>816</v>
      </c>
      <c r="B817" s="1">
        <v>44270</v>
      </c>
      <c r="C817">
        <v>69</v>
      </c>
      <c r="D817" t="s">
        <v>67</v>
      </c>
      <c r="E817" t="s">
        <v>24</v>
      </c>
      <c r="F817">
        <v>10</v>
      </c>
      <c r="G817" s="2">
        <v>100</v>
      </c>
      <c r="H817" s="2">
        <v>1000</v>
      </c>
      <c r="I817" s="4">
        <v>0.08</v>
      </c>
      <c r="J817" s="2">
        <v>920</v>
      </c>
      <c r="K817" s="1">
        <v>44297</v>
      </c>
      <c r="L817" s="1">
        <v>44297</v>
      </c>
      <c r="M817">
        <v>816</v>
      </c>
      <c r="N817">
        <v>2</v>
      </c>
      <c r="O817" t="s">
        <v>52</v>
      </c>
      <c r="P817" s="3">
        <v>0.08</v>
      </c>
      <c r="Q817" s="2">
        <v>73.600000000000009</v>
      </c>
      <c r="R817">
        <v>4</v>
      </c>
      <c r="S817" t="str">
        <f t="shared" si="12"/>
        <v>Março</v>
      </c>
    </row>
    <row r="818" spans="1:19">
      <c r="A818">
        <v>817</v>
      </c>
      <c r="B818" s="1">
        <v>44271</v>
      </c>
      <c r="C818">
        <v>66</v>
      </c>
      <c r="D818" t="s">
        <v>30</v>
      </c>
      <c r="E818" t="s">
        <v>31</v>
      </c>
      <c r="F818">
        <v>48</v>
      </c>
      <c r="G818" s="2">
        <v>102</v>
      </c>
      <c r="H818" s="2">
        <v>4896</v>
      </c>
      <c r="I818" s="4">
        <v>0.05</v>
      </c>
      <c r="J818" s="2">
        <v>4651.2</v>
      </c>
      <c r="K818" s="1">
        <v>44291</v>
      </c>
      <c r="L818" s="1">
        <v>44291</v>
      </c>
      <c r="M818">
        <v>817</v>
      </c>
      <c r="N818">
        <v>1</v>
      </c>
      <c r="O818" t="s">
        <v>43</v>
      </c>
      <c r="P818" s="3">
        <v>0.08</v>
      </c>
      <c r="Q818" s="2">
        <v>372.096</v>
      </c>
      <c r="R818">
        <v>5</v>
      </c>
      <c r="S818" t="str">
        <f t="shared" si="12"/>
        <v>Março</v>
      </c>
    </row>
    <row r="819" spans="1:19">
      <c r="A819">
        <v>818</v>
      </c>
      <c r="B819" s="1">
        <v>44271</v>
      </c>
      <c r="C819">
        <v>21</v>
      </c>
      <c r="D819" t="s">
        <v>87</v>
      </c>
      <c r="E819" t="s">
        <v>50</v>
      </c>
      <c r="F819">
        <v>11</v>
      </c>
      <c r="G819" s="2">
        <v>92</v>
      </c>
      <c r="H819" s="2">
        <v>1012</v>
      </c>
      <c r="I819" s="4">
        <v>0.14000000000000001</v>
      </c>
      <c r="J819" s="2">
        <v>870.31999999999994</v>
      </c>
      <c r="K819" s="1">
        <v>44288</v>
      </c>
      <c r="L819" s="1">
        <v>44288</v>
      </c>
      <c r="M819">
        <v>818</v>
      </c>
      <c r="N819">
        <v>5</v>
      </c>
      <c r="O819" t="s">
        <v>34</v>
      </c>
      <c r="P819" s="3">
        <v>7.0000000000000007E-2</v>
      </c>
      <c r="Q819" s="2">
        <v>60.922400000000003</v>
      </c>
      <c r="R819">
        <v>6</v>
      </c>
      <c r="S819" t="str">
        <f t="shared" si="12"/>
        <v>Março</v>
      </c>
    </row>
    <row r="820" spans="1:19">
      <c r="A820">
        <v>819</v>
      </c>
      <c r="B820" s="1">
        <v>44271</v>
      </c>
      <c r="C820">
        <v>50</v>
      </c>
      <c r="D820" t="s">
        <v>81</v>
      </c>
      <c r="E820" t="s">
        <v>31</v>
      </c>
      <c r="F820">
        <v>23</v>
      </c>
      <c r="G820" s="2">
        <v>119</v>
      </c>
      <c r="H820" s="2">
        <v>2737</v>
      </c>
      <c r="I820" s="4">
        <v>0.02</v>
      </c>
      <c r="J820" s="2">
        <v>2682.26</v>
      </c>
      <c r="K820" s="1">
        <v>44284</v>
      </c>
      <c r="L820" s="1">
        <v>44284</v>
      </c>
      <c r="M820">
        <v>819</v>
      </c>
      <c r="N820">
        <v>4</v>
      </c>
      <c r="O820" t="s">
        <v>37</v>
      </c>
      <c r="P820" s="3">
        <v>0.08</v>
      </c>
      <c r="Q820" s="2">
        <v>214.58080000000001</v>
      </c>
      <c r="R820">
        <v>7</v>
      </c>
      <c r="S820" t="str">
        <f t="shared" si="12"/>
        <v>Março</v>
      </c>
    </row>
    <row r="821" spans="1:19">
      <c r="A821">
        <v>820</v>
      </c>
      <c r="B821" s="1">
        <v>44272</v>
      </c>
      <c r="C821">
        <v>87</v>
      </c>
      <c r="D821" t="s">
        <v>40</v>
      </c>
      <c r="E821" t="s">
        <v>50</v>
      </c>
      <c r="F821">
        <v>14</v>
      </c>
      <c r="G821" s="2">
        <v>117</v>
      </c>
      <c r="H821" s="2">
        <v>1638</v>
      </c>
      <c r="I821" s="4">
        <v>0.09</v>
      </c>
      <c r="J821" s="2">
        <v>1490.58</v>
      </c>
      <c r="K821" s="1">
        <v>44290</v>
      </c>
      <c r="L821" s="1">
        <v>44290</v>
      </c>
      <c r="M821">
        <v>820</v>
      </c>
      <c r="N821">
        <v>3</v>
      </c>
      <c r="O821" t="s">
        <v>52</v>
      </c>
      <c r="P821" s="3">
        <v>0.06</v>
      </c>
      <c r="Q821" s="2">
        <v>89.434799999999996</v>
      </c>
      <c r="R821">
        <v>1</v>
      </c>
      <c r="S821" t="str">
        <f t="shared" si="12"/>
        <v>Março</v>
      </c>
    </row>
    <row r="822" spans="1:19">
      <c r="A822">
        <v>821</v>
      </c>
      <c r="B822" s="1">
        <v>44273</v>
      </c>
      <c r="C822">
        <v>19</v>
      </c>
      <c r="D822" t="s">
        <v>38</v>
      </c>
      <c r="E822" t="s">
        <v>24</v>
      </c>
      <c r="F822">
        <v>45</v>
      </c>
      <c r="G822" s="2">
        <v>96</v>
      </c>
      <c r="H822" s="2">
        <v>4320</v>
      </c>
      <c r="I822" s="4">
        <v>0.1</v>
      </c>
      <c r="J822" s="2">
        <v>3888</v>
      </c>
      <c r="K822" s="1">
        <v>44290</v>
      </c>
      <c r="L822" s="1">
        <v>44290</v>
      </c>
      <c r="M822">
        <v>821</v>
      </c>
      <c r="N822">
        <v>2</v>
      </c>
      <c r="O822" t="s">
        <v>37</v>
      </c>
      <c r="P822" s="3">
        <v>0.08</v>
      </c>
      <c r="Q822" s="2">
        <v>311.04000000000002</v>
      </c>
      <c r="R822">
        <v>2</v>
      </c>
      <c r="S822" t="str">
        <f t="shared" si="12"/>
        <v>Março</v>
      </c>
    </row>
    <row r="823" spans="1:19">
      <c r="A823">
        <v>822</v>
      </c>
      <c r="B823" s="1">
        <v>44273</v>
      </c>
      <c r="C823">
        <v>61</v>
      </c>
      <c r="D823" t="s">
        <v>56</v>
      </c>
      <c r="E823" t="s">
        <v>24</v>
      </c>
      <c r="F823">
        <v>30</v>
      </c>
      <c r="G823" s="2">
        <v>112</v>
      </c>
      <c r="H823" s="2">
        <v>3360</v>
      </c>
      <c r="I823" s="4">
        <v>0.09</v>
      </c>
      <c r="J823" s="2">
        <v>3057.6</v>
      </c>
      <c r="K823" s="1">
        <v>44300</v>
      </c>
      <c r="L823" s="1">
        <v>44300</v>
      </c>
      <c r="M823">
        <v>822</v>
      </c>
      <c r="N823">
        <v>6</v>
      </c>
      <c r="O823" t="s">
        <v>25</v>
      </c>
      <c r="P823" s="3">
        <v>0.09</v>
      </c>
      <c r="Q823" s="2">
        <v>275.18399999999997</v>
      </c>
      <c r="R823">
        <v>3</v>
      </c>
      <c r="S823" t="str">
        <f t="shared" si="12"/>
        <v>Março</v>
      </c>
    </row>
    <row r="824" spans="1:19">
      <c r="A824">
        <v>823</v>
      </c>
      <c r="B824" s="1">
        <v>44273</v>
      </c>
      <c r="C824">
        <v>73</v>
      </c>
      <c r="D824" t="s">
        <v>38</v>
      </c>
      <c r="E824" t="s">
        <v>46</v>
      </c>
      <c r="F824">
        <v>34</v>
      </c>
      <c r="G824" s="2">
        <v>92</v>
      </c>
      <c r="H824" s="2">
        <v>3128</v>
      </c>
      <c r="I824" s="4">
        <v>0.14000000000000001</v>
      </c>
      <c r="J824" s="2">
        <v>2690.08</v>
      </c>
      <c r="K824" s="1">
        <v>44277</v>
      </c>
      <c r="L824" s="1">
        <v>44277</v>
      </c>
      <c r="M824">
        <v>823</v>
      </c>
      <c r="N824">
        <v>4</v>
      </c>
      <c r="O824" t="s">
        <v>43</v>
      </c>
      <c r="P824" s="3">
        <v>0.05</v>
      </c>
      <c r="Q824" s="2">
        <v>134.50399999999999</v>
      </c>
      <c r="R824">
        <v>4</v>
      </c>
      <c r="S824" t="str">
        <f t="shared" si="12"/>
        <v>Março</v>
      </c>
    </row>
    <row r="825" spans="1:19">
      <c r="A825">
        <v>824</v>
      </c>
      <c r="B825" s="1">
        <v>44273</v>
      </c>
      <c r="C825">
        <v>37</v>
      </c>
      <c r="D825" t="s">
        <v>48</v>
      </c>
      <c r="E825" t="s">
        <v>31</v>
      </c>
      <c r="F825">
        <v>12</v>
      </c>
      <c r="G825" s="2">
        <v>118</v>
      </c>
      <c r="H825" s="2">
        <v>1416</v>
      </c>
      <c r="I825" s="4">
        <v>0.06</v>
      </c>
      <c r="J825" s="2">
        <v>1331.04</v>
      </c>
      <c r="K825" s="1">
        <v>44283</v>
      </c>
      <c r="L825" s="1">
        <v>44283</v>
      </c>
      <c r="M825">
        <v>824</v>
      </c>
      <c r="N825">
        <v>3</v>
      </c>
      <c r="O825" t="s">
        <v>34</v>
      </c>
      <c r="P825" s="3">
        <v>0.05</v>
      </c>
      <c r="Q825" s="2">
        <v>66.552000000000007</v>
      </c>
      <c r="R825">
        <v>5</v>
      </c>
      <c r="S825" t="str">
        <f t="shared" si="12"/>
        <v>Março</v>
      </c>
    </row>
    <row r="826" spans="1:19">
      <c r="A826">
        <v>825</v>
      </c>
      <c r="B826" s="1">
        <v>44274</v>
      </c>
      <c r="C826">
        <v>86</v>
      </c>
      <c r="D826" t="s">
        <v>90</v>
      </c>
      <c r="E826" t="s">
        <v>46</v>
      </c>
      <c r="F826">
        <v>40</v>
      </c>
      <c r="G826" s="2">
        <v>90</v>
      </c>
      <c r="H826" s="2">
        <v>3600</v>
      </c>
      <c r="I826" s="4">
        <v>0.13</v>
      </c>
      <c r="J826" s="2">
        <v>3132</v>
      </c>
      <c r="K826" s="1">
        <v>44282</v>
      </c>
      <c r="L826" s="1">
        <v>44282</v>
      </c>
      <c r="M826">
        <v>825</v>
      </c>
      <c r="N826">
        <v>4</v>
      </c>
      <c r="O826" t="s">
        <v>22</v>
      </c>
      <c r="P826" s="3">
        <v>0.09</v>
      </c>
      <c r="Q826" s="2">
        <v>281.88</v>
      </c>
      <c r="R826">
        <v>6</v>
      </c>
      <c r="S826" t="str">
        <f t="shared" si="12"/>
        <v>Março</v>
      </c>
    </row>
    <row r="827" spans="1:19">
      <c r="A827">
        <v>826</v>
      </c>
      <c r="B827" s="1">
        <v>44275</v>
      </c>
      <c r="C827">
        <v>6</v>
      </c>
      <c r="D827" t="s">
        <v>88</v>
      </c>
      <c r="E827" t="s">
        <v>50</v>
      </c>
      <c r="F827">
        <v>34</v>
      </c>
      <c r="G827" s="2">
        <v>117</v>
      </c>
      <c r="H827" s="2">
        <v>3978</v>
      </c>
      <c r="I827" s="4">
        <v>0.01</v>
      </c>
      <c r="J827" s="2">
        <v>3938.22</v>
      </c>
      <c r="K827" s="1">
        <v>44277</v>
      </c>
      <c r="L827" s="1">
        <v>44277</v>
      </c>
      <c r="M827">
        <v>826</v>
      </c>
      <c r="N827">
        <v>6</v>
      </c>
      <c r="O827" t="s">
        <v>32</v>
      </c>
      <c r="P827" s="3">
        <v>7.0000000000000007E-2</v>
      </c>
      <c r="Q827" s="2">
        <v>275.67540000000002</v>
      </c>
      <c r="R827">
        <v>7</v>
      </c>
      <c r="S827" t="str">
        <f t="shared" si="12"/>
        <v>Março</v>
      </c>
    </row>
    <row r="828" spans="1:19">
      <c r="A828">
        <v>827</v>
      </c>
      <c r="B828" s="1">
        <v>44278</v>
      </c>
      <c r="C828">
        <v>63</v>
      </c>
      <c r="D828" t="s">
        <v>80</v>
      </c>
      <c r="E828" t="s">
        <v>46</v>
      </c>
      <c r="F828">
        <v>48</v>
      </c>
      <c r="G828" s="2">
        <v>108</v>
      </c>
      <c r="H828" s="2">
        <v>5184</v>
      </c>
      <c r="I828" s="4">
        <v>0.04</v>
      </c>
      <c r="J828" s="2">
        <v>4976.6400000000003</v>
      </c>
      <c r="K828" s="1">
        <v>44306</v>
      </c>
      <c r="L828" s="1">
        <v>44306</v>
      </c>
      <c r="M828">
        <v>827</v>
      </c>
      <c r="N828">
        <v>5</v>
      </c>
      <c r="O828" t="s">
        <v>29</v>
      </c>
      <c r="P828" s="3">
        <v>0.09</v>
      </c>
      <c r="Q828" s="2">
        <v>447.89760000000001</v>
      </c>
      <c r="R828">
        <v>1</v>
      </c>
      <c r="S828" t="str">
        <f t="shared" si="12"/>
        <v>Março</v>
      </c>
    </row>
    <row r="829" spans="1:19">
      <c r="A829">
        <v>828</v>
      </c>
      <c r="B829" s="1">
        <v>44279</v>
      </c>
      <c r="C829">
        <v>37</v>
      </c>
      <c r="D829" t="s">
        <v>48</v>
      </c>
      <c r="E829" t="s">
        <v>31</v>
      </c>
      <c r="F829">
        <v>47</v>
      </c>
      <c r="G829" s="2">
        <v>108</v>
      </c>
      <c r="H829" s="2">
        <v>5076</v>
      </c>
      <c r="I829" s="4">
        <v>0</v>
      </c>
      <c r="J829" s="2">
        <v>5076</v>
      </c>
      <c r="K829" s="1">
        <v>44295</v>
      </c>
      <c r="L829" s="1">
        <v>44295</v>
      </c>
      <c r="M829">
        <v>828</v>
      </c>
      <c r="N829">
        <v>5</v>
      </c>
      <c r="O829" t="s">
        <v>34</v>
      </c>
      <c r="P829" s="3">
        <v>7.0000000000000007E-2</v>
      </c>
      <c r="Q829" s="2">
        <v>355.32000000000005</v>
      </c>
      <c r="R829">
        <v>2</v>
      </c>
      <c r="S829" t="str">
        <f t="shared" si="12"/>
        <v>Março</v>
      </c>
    </row>
    <row r="830" spans="1:19">
      <c r="A830">
        <v>829</v>
      </c>
      <c r="B830" s="1">
        <v>44279</v>
      </c>
      <c r="C830">
        <v>10</v>
      </c>
      <c r="D830" t="s">
        <v>89</v>
      </c>
      <c r="E830" t="s">
        <v>24</v>
      </c>
      <c r="F830">
        <v>20</v>
      </c>
      <c r="G830" s="2">
        <v>117</v>
      </c>
      <c r="H830" s="2">
        <v>2340</v>
      </c>
      <c r="I830" s="4">
        <v>0.08</v>
      </c>
      <c r="J830" s="2">
        <v>2152.8000000000002</v>
      </c>
      <c r="K830" s="1">
        <v>44294</v>
      </c>
      <c r="L830" s="1">
        <v>44294</v>
      </c>
      <c r="M830">
        <v>829</v>
      </c>
      <c r="N830">
        <v>3</v>
      </c>
      <c r="O830" t="s">
        <v>29</v>
      </c>
      <c r="P830" s="3">
        <v>0.1</v>
      </c>
      <c r="Q830" s="2">
        <v>215.28000000000003</v>
      </c>
      <c r="R830">
        <v>3</v>
      </c>
      <c r="S830" t="str">
        <f t="shared" si="12"/>
        <v>Março</v>
      </c>
    </row>
    <row r="831" spans="1:19">
      <c r="A831">
        <v>830</v>
      </c>
      <c r="B831" s="1">
        <v>44279</v>
      </c>
      <c r="C831">
        <v>85</v>
      </c>
      <c r="D831" t="s">
        <v>57</v>
      </c>
      <c r="E831" t="s">
        <v>59</v>
      </c>
      <c r="F831">
        <v>50</v>
      </c>
      <c r="G831" s="2">
        <v>107</v>
      </c>
      <c r="H831" s="2">
        <v>5350</v>
      </c>
      <c r="I831" s="4">
        <v>0.15</v>
      </c>
      <c r="J831" s="2">
        <v>4547.5</v>
      </c>
      <c r="K831" s="1">
        <v>44291</v>
      </c>
      <c r="L831" s="1">
        <v>44291</v>
      </c>
      <c r="M831">
        <v>830</v>
      </c>
      <c r="N831">
        <v>6</v>
      </c>
      <c r="O831" t="s">
        <v>32</v>
      </c>
      <c r="P831" s="3">
        <v>0.05</v>
      </c>
      <c r="Q831" s="2">
        <v>227.375</v>
      </c>
      <c r="R831">
        <v>4</v>
      </c>
      <c r="S831" t="str">
        <f t="shared" si="12"/>
        <v>Março</v>
      </c>
    </row>
    <row r="832" spans="1:19">
      <c r="A832">
        <v>831</v>
      </c>
      <c r="B832" s="1">
        <v>44281</v>
      </c>
      <c r="C832">
        <v>39</v>
      </c>
      <c r="D832" t="s">
        <v>38</v>
      </c>
      <c r="E832" t="s">
        <v>28</v>
      </c>
      <c r="F832">
        <v>27</v>
      </c>
      <c r="G832" s="2">
        <v>116</v>
      </c>
      <c r="H832" s="2">
        <v>3132</v>
      </c>
      <c r="I832" s="4">
        <v>0.09</v>
      </c>
      <c r="J832" s="2">
        <v>2850.12</v>
      </c>
      <c r="K832" s="1">
        <v>44295</v>
      </c>
      <c r="L832" s="1">
        <v>44295</v>
      </c>
      <c r="M832">
        <v>831</v>
      </c>
      <c r="N832">
        <v>2</v>
      </c>
      <c r="O832" t="s">
        <v>37</v>
      </c>
      <c r="P832" s="3">
        <v>0.1</v>
      </c>
      <c r="Q832" s="2">
        <v>285.012</v>
      </c>
      <c r="R832">
        <v>5</v>
      </c>
      <c r="S832" t="str">
        <f t="shared" si="12"/>
        <v>Março</v>
      </c>
    </row>
    <row r="833" spans="1:19">
      <c r="A833">
        <v>832</v>
      </c>
      <c r="B833" s="1">
        <v>44281</v>
      </c>
      <c r="C833">
        <v>46</v>
      </c>
      <c r="D833" t="s">
        <v>94</v>
      </c>
      <c r="E833" t="s">
        <v>46</v>
      </c>
      <c r="F833">
        <v>50</v>
      </c>
      <c r="G833" s="2">
        <v>93</v>
      </c>
      <c r="H833" s="2">
        <v>4650</v>
      </c>
      <c r="I833" s="4">
        <v>0.13</v>
      </c>
      <c r="J833" s="2">
        <v>4045.5</v>
      </c>
      <c r="K833" s="1">
        <v>44299</v>
      </c>
      <c r="L833" s="1">
        <v>44299</v>
      </c>
      <c r="M833">
        <v>832</v>
      </c>
      <c r="N833">
        <v>1</v>
      </c>
      <c r="O833" t="s">
        <v>52</v>
      </c>
      <c r="P833" s="3">
        <v>0.1</v>
      </c>
      <c r="Q833" s="2">
        <v>404.55</v>
      </c>
      <c r="R833">
        <v>6</v>
      </c>
      <c r="S833" t="str">
        <f t="shared" si="12"/>
        <v>Março</v>
      </c>
    </row>
    <row r="834" spans="1:19">
      <c r="A834">
        <v>833</v>
      </c>
      <c r="B834" s="1">
        <v>44281</v>
      </c>
      <c r="C834">
        <v>72</v>
      </c>
      <c r="D834" t="s">
        <v>38</v>
      </c>
      <c r="E834" t="s">
        <v>50</v>
      </c>
      <c r="F834">
        <v>21</v>
      </c>
      <c r="G834" s="2">
        <v>115</v>
      </c>
      <c r="H834" s="2">
        <v>2415</v>
      </c>
      <c r="I834" s="4">
        <v>0.12</v>
      </c>
      <c r="J834" s="2">
        <v>2125.1999999999998</v>
      </c>
      <c r="K834" s="1">
        <v>44282</v>
      </c>
      <c r="L834" s="1">
        <v>44282</v>
      </c>
      <c r="M834">
        <v>833</v>
      </c>
      <c r="N834">
        <v>7</v>
      </c>
      <c r="O834" t="s">
        <v>69</v>
      </c>
      <c r="P834" s="3">
        <v>0.09</v>
      </c>
      <c r="Q834" s="2">
        <v>191.26799999999997</v>
      </c>
      <c r="R834">
        <v>7</v>
      </c>
      <c r="S834" t="str">
        <f t="shared" si="12"/>
        <v>Março</v>
      </c>
    </row>
    <row r="835" spans="1:19">
      <c r="A835">
        <v>834</v>
      </c>
      <c r="B835" s="1">
        <v>44281</v>
      </c>
      <c r="C835">
        <v>29</v>
      </c>
      <c r="D835" t="s">
        <v>98</v>
      </c>
      <c r="E835" t="s">
        <v>59</v>
      </c>
      <c r="F835">
        <v>12</v>
      </c>
      <c r="G835" s="2">
        <v>97</v>
      </c>
      <c r="H835" s="2">
        <v>1164</v>
      </c>
      <c r="I835" s="4">
        <v>0.03</v>
      </c>
      <c r="J835" s="2">
        <v>1129.08</v>
      </c>
      <c r="K835" s="1">
        <v>44292</v>
      </c>
      <c r="L835" s="1">
        <v>44292</v>
      </c>
      <c r="M835">
        <v>834</v>
      </c>
      <c r="N835">
        <v>5</v>
      </c>
      <c r="O835" t="s">
        <v>34</v>
      </c>
      <c r="P835" s="3">
        <v>0.05</v>
      </c>
      <c r="Q835" s="2">
        <v>56.454000000000001</v>
      </c>
      <c r="R835">
        <v>1</v>
      </c>
      <c r="S835" t="str">
        <f t="shared" ref="S835:S898" si="13">PROPER(TEXT(B835,"mmmm"))</f>
        <v>Março</v>
      </c>
    </row>
    <row r="836" spans="1:19">
      <c r="A836">
        <v>835</v>
      </c>
      <c r="B836" s="1">
        <v>44282</v>
      </c>
      <c r="C836">
        <v>66</v>
      </c>
      <c r="D836" t="s">
        <v>30</v>
      </c>
      <c r="E836" t="s">
        <v>24</v>
      </c>
      <c r="F836">
        <v>23</v>
      </c>
      <c r="G836" s="2">
        <v>99</v>
      </c>
      <c r="H836" s="2">
        <v>2277</v>
      </c>
      <c r="I836" s="4">
        <v>0.02</v>
      </c>
      <c r="J836" s="2">
        <v>2231.46</v>
      </c>
      <c r="K836" s="1">
        <v>44288</v>
      </c>
      <c r="L836" s="1">
        <v>44288</v>
      </c>
      <c r="M836">
        <v>835</v>
      </c>
      <c r="N836">
        <v>1</v>
      </c>
      <c r="O836" t="s">
        <v>69</v>
      </c>
      <c r="P836" s="3">
        <v>7.0000000000000007E-2</v>
      </c>
      <c r="Q836" s="2">
        <v>156.2022</v>
      </c>
      <c r="R836">
        <v>2</v>
      </c>
      <c r="S836" t="str">
        <f t="shared" si="13"/>
        <v>Março</v>
      </c>
    </row>
    <row r="837" spans="1:19">
      <c r="A837">
        <v>836</v>
      </c>
      <c r="B837" s="1">
        <v>44282</v>
      </c>
      <c r="C837">
        <v>70</v>
      </c>
      <c r="D837" t="s">
        <v>67</v>
      </c>
      <c r="E837" t="s">
        <v>31</v>
      </c>
      <c r="F837">
        <v>45</v>
      </c>
      <c r="G837" s="2">
        <v>98</v>
      </c>
      <c r="H837" s="2">
        <v>4410</v>
      </c>
      <c r="I837" s="4">
        <v>0.14000000000000001</v>
      </c>
      <c r="J837" s="2">
        <v>3792.6</v>
      </c>
      <c r="K837" s="1">
        <v>44307</v>
      </c>
      <c r="L837" s="1">
        <v>44307</v>
      </c>
      <c r="M837">
        <v>836</v>
      </c>
      <c r="N837">
        <v>7</v>
      </c>
      <c r="O837" t="s">
        <v>37</v>
      </c>
      <c r="P837" s="3">
        <v>0.09</v>
      </c>
      <c r="Q837" s="2">
        <v>341.334</v>
      </c>
      <c r="R837">
        <v>3</v>
      </c>
      <c r="S837" t="str">
        <f t="shared" si="13"/>
        <v>Março</v>
      </c>
    </row>
    <row r="838" spans="1:19">
      <c r="A838">
        <v>837</v>
      </c>
      <c r="B838" s="1">
        <v>44282</v>
      </c>
      <c r="C838">
        <v>75</v>
      </c>
      <c r="D838" t="s">
        <v>38</v>
      </c>
      <c r="E838" t="s">
        <v>46</v>
      </c>
      <c r="F838">
        <v>26</v>
      </c>
      <c r="G838" s="2">
        <v>94</v>
      </c>
      <c r="H838" s="2">
        <v>2444</v>
      </c>
      <c r="I838" s="4">
        <v>0.09</v>
      </c>
      <c r="J838" s="2">
        <v>2224.04</v>
      </c>
      <c r="K838" s="1">
        <v>44287</v>
      </c>
      <c r="L838" s="1">
        <v>44287</v>
      </c>
      <c r="M838">
        <v>837</v>
      </c>
      <c r="N838">
        <v>3</v>
      </c>
      <c r="O838" t="s">
        <v>34</v>
      </c>
      <c r="P838" s="3">
        <v>0.09</v>
      </c>
      <c r="Q838" s="2">
        <v>200.1636</v>
      </c>
      <c r="R838">
        <v>4</v>
      </c>
      <c r="S838" t="str">
        <f t="shared" si="13"/>
        <v>Março</v>
      </c>
    </row>
    <row r="839" spans="1:19">
      <c r="A839">
        <v>838</v>
      </c>
      <c r="B839" s="1">
        <v>44282</v>
      </c>
      <c r="C839">
        <v>17</v>
      </c>
      <c r="D839" t="s">
        <v>67</v>
      </c>
      <c r="E839" t="s">
        <v>21</v>
      </c>
      <c r="F839">
        <v>23</v>
      </c>
      <c r="G839" s="2">
        <v>115</v>
      </c>
      <c r="H839" s="2">
        <v>2645</v>
      </c>
      <c r="I839" s="4">
        <v>7.0000000000000007E-2</v>
      </c>
      <c r="J839" s="2">
        <v>2459.85</v>
      </c>
      <c r="K839" s="1">
        <v>44284</v>
      </c>
      <c r="L839" s="1">
        <v>44284</v>
      </c>
      <c r="M839">
        <v>838</v>
      </c>
      <c r="N839">
        <v>3</v>
      </c>
      <c r="O839" t="s">
        <v>47</v>
      </c>
      <c r="P839" s="3">
        <v>0.06</v>
      </c>
      <c r="Q839" s="2">
        <v>147.59099999999998</v>
      </c>
      <c r="R839">
        <v>5</v>
      </c>
      <c r="S839" t="str">
        <f t="shared" si="13"/>
        <v>Março</v>
      </c>
    </row>
    <row r="840" spans="1:19">
      <c r="A840">
        <v>839</v>
      </c>
      <c r="B840" s="1">
        <v>44283</v>
      </c>
      <c r="C840">
        <v>68</v>
      </c>
      <c r="D840" t="s">
        <v>49</v>
      </c>
      <c r="E840" t="s">
        <v>54</v>
      </c>
      <c r="F840">
        <v>22</v>
      </c>
      <c r="G840" s="2">
        <v>116</v>
      </c>
      <c r="H840" s="2">
        <v>2552</v>
      </c>
      <c r="I840" s="4">
        <v>0.09</v>
      </c>
      <c r="J840" s="2">
        <v>2322.3200000000002</v>
      </c>
      <c r="K840" s="1">
        <v>44312</v>
      </c>
      <c r="L840" s="1">
        <v>44312</v>
      </c>
      <c r="M840">
        <v>839</v>
      </c>
      <c r="N840">
        <v>5</v>
      </c>
      <c r="O840" t="s">
        <v>29</v>
      </c>
      <c r="P840" s="3">
        <v>0.06</v>
      </c>
      <c r="Q840" s="2">
        <v>139.33920000000001</v>
      </c>
      <c r="R840">
        <v>6</v>
      </c>
      <c r="S840" t="str">
        <f t="shared" si="13"/>
        <v>Março</v>
      </c>
    </row>
    <row r="841" spans="1:19">
      <c r="A841">
        <v>840</v>
      </c>
      <c r="B841" s="1">
        <v>44283</v>
      </c>
      <c r="C841">
        <v>50</v>
      </c>
      <c r="D841" t="s">
        <v>81</v>
      </c>
      <c r="E841" t="s">
        <v>50</v>
      </c>
      <c r="F841">
        <v>37</v>
      </c>
      <c r="G841" s="2">
        <v>91</v>
      </c>
      <c r="H841" s="2">
        <v>3367</v>
      </c>
      <c r="I841" s="4">
        <v>0.02</v>
      </c>
      <c r="J841" s="2">
        <v>3299.66</v>
      </c>
      <c r="K841" s="1">
        <v>44284</v>
      </c>
      <c r="L841" s="1">
        <v>44284</v>
      </c>
      <c r="M841">
        <v>840</v>
      </c>
      <c r="N841">
        <v>7</v>
      </c>
      <c r="O841" t="s">
        <v>29</v>
      </c>
      <c r="P841" s="3">
        <v>7.0000000000000007E-2</v>
      </c>
      <c r="Q841" s="2">
        <v>230.97620000000001</v>
      </c>
      <c r="R841">
        <v>7</v>
      </c>
      <c r="S841" t="str">
        <f t="shared" si="13"/>
        <v>Março</v>
      </c>
    </row>
    <row r="842" spans="1:19">
      <c r="A842">
        <v>841</v>
      </c>
      <c r="B842" s="1">
        <v>44283</v>
      </c>
      <c r="C842">
        <v>23</v>
      </c>
      <c r="D842" t="s">
        <v>105</v>
      </c>
      <c r="E842" t="s">
        <v>55</v>
      </c>
      <c r="F842">
        <v>47</v>
      </c>
      <c r="G842" s="2">
        <v>99</v>
      </c>
      <c r="H842" s="2">
        <v>4653</v>
      </c>
      <c r="I842" s="4">
        <v>0.03</v>
      </c>
      <c r="J842" s="2">
        <v>4513.41</v>
      </c>
      <c r="K842" s="1">
        <v>44307</v>
      </c>
      <c r="L842" s="1">
        <v>44307</v>
      </c>
      <c r="M842">
        <v>841</v>
      </c>
      <c r="N842">
        <v>3</v>
      </c>
      <c r="O842" t="s">
        <v>29</v>
      </c>
      <c r="P842" s="3">
        <v>0.09</v>
      </c>
      <c r="Q842" s="2">
        <v>406.20689999999996</v>
      </c>
      <c r="R842">
        <v>1</v>
      </c>
      <c r="S842" t="str">
        <f t="shared" si="13"/>
        <v>Março</v>
      </c>
    </row>
    <row r="843" spans="1:19">
      <c r="A843">
        <v>842</v>
      </c>
      <c r="B843" s="1">
        <v>44284</v>
      </c>
      <c r="C843">
        <v>85</v>
      </c>
      <c r="D843" t="s">
        <v>57</v>
      </c>
      <c r="E843" t="s">
        <v>24</v>
      </c>
      <c r="F843">
        <v>20</v>
      </c>
      <c r="G843" s="2">
        <v>93</v>
      </c>
      <c r="H843" s="2">
        <v>1860</v>
      </c>
      <c r="I843" s="4">
        <v>0.1</v>
      </c>
      <c r="J843" s="2">
        <v>1674</v>
      </c>
      <c r="K843" s="1">
        <v>44288</v>
      </c>
      <c r="L843" s="1">
        <v>44288</v>
      </c>
      <c r="M843">
        <v>842</v>
      </c>
      <c r="N843">
        <v>2</v>
      </c>
      <c r="O843" t="s">
        <v>25</v>
      </c>
      <c r="P843" s="3">
        <v>0.06</v>
      </c>
      <c r="Q843" s="2">
        <v>100.44</v>
      </c>
      <c r="R843">
        <v>2</v>
      </c>
      <c r="S843" t="str">
        <f t="shared" si="13"/>
        <v>Março</v>
      </c>
    </row>
    <row r="844" spans="1:19">
      <c r="A844">
        <v>843</v>
      </c>
      <c r="B844" s="1">
        <v>44284</v>
      </c>
      <c r="C844">
        <v>1</v>
      </c>
      <c r="D844" t="s">
        <v>93</v>
      </c>
      <c r="E844" t="s">
        <v>54</v>
      </c>
      <c r="F844">
        <v>13</v>
      </c>
      <c r="G844" s="2">
        <v>92</v>
      </c>
      <c r="H844" s="2">
        <v>1196</v>
      </c>
      <c r="I844" s="4">
        <v>7.0000000000000007E-2</v>
      </c>
      <c r="J844" s="2">
        <v>1112.28</v>
      </c>
      <c r="K844" s="1">
        <v>44311</v>
      </c>
      <c r="L844" s="1">
        <v>44311</v>
      </c>
      <c r="M844">
        <v>843</v>
      </c>
      <c r="N844">
        <v>4</v>
      </c>
      <c r="O844" t="s">
        <v>43</v>
      </c>
      <c r="P844" s="3">
        <v>0.05</v>
      </c>
      <c r="Q844" s="2">
        <v>55.614000000000004</v>
      </c>
      <c r="R844">
        <v>3</v>
      </c>
      <c r="S844" t="str">
        <f t="shared" si="13"/>
        <v>Março</v>
      </c>
    </row>
    <row r="845" spans="1:19">
      <c r="A845">
        <v>844</v>
      </c>
      <c r="B845" s="1">
        <v>44284</v>
      </c>
      <c r="C845">
        <v>68</v>
      </c>
      <c r="D845" t="s">
        <v>49</v>
      </c>
      <c r="E845" t="s">
        <v>54</v>
      </c>
      <c r="F845">
        <v>46</v>
      </c>
      <c r="G845" s="2">
        <v>104</v>
      </c>
      <c r="H845" s="2">
        <v>4784</v>
      </c>
      <c r="I845" s="4">
        <v>0.08</v>
      </c>
      <c r="J845" s="2">
        <v>4401.28</v>
      </c>
      <c r="K845" s="1">
        <v>44314</v>
      </c>
      <c r="L845" s="1">
        <v>44314</v>
      </c>
      <c r="M845">
        <v>844</v>
      </c>
      <c r="N845">
        <v>1</v>
      </c>
      <c r="O845" t="s">
        <v>43</v>
      </c>
      <c r="P845" s="3">
        <v>0.06</v>
      </c>
      <c r="Q845" s="2">
        <v>264.07679999999999</v>
      </c>
      <c r="R845">
        <v>4</v>
      </c>
      <c r="S845" t="str">
        <f t="shared" si="13"/>
        <v>Março</v>
      </c>
    </row>
    <row r="846" spans="1:19">
      <c r="A846">
        <v>845</v>
      </c>
      <c r="B846" s="1">
        <v>44285</v>
      </c>
      <c r="C846">
        <v>85</v>
      </c>
      <c r="D846" t="s">
        <v>57</v>
      </c>
      <c r="E846" t="s">
        <v>54</v>
      </c>
      <c r="F846">
        <v>14</v>
      </c>
      <c r="G846" s="2">
        <v>93</v>
      </c>
      <c r="H846" s="2">
        <v>1302</v>
      </c>
      <c r="I846" s="4">
        <v>0.02</v>
      </c>
      <c r="J846" s="2">
        <v>1275.96</v>
      </c>
      <c r="K846" s="1">
        <v>44290</v>
      </c>
      <c r="L846" s="1">
        <v>44290</v>
      </c>
      <c r="M846">
        <v>845</v>
      </c>
      <c r="N846">
        <v>2</v>
      </c>
      <c r="O846" t="s">
        <v>34</v>
      </c>
      <c r="P846" s="3">
        <v>0.1</v>
      </c>
      <c r="Q846" s="2">
        <v>127.596</v>
      </c>
      <c r="R846">
        <v>5</v>
      </c>
      <c r="S846" t="str">
        <f t="shared" si="13"/>
        <v>Março</v>
      </c>
    </row>
    <row r="847" spans="1:19">
      <c r="A847">
        <v>846</v>
      </c>
      <c r="B847" s="1">
        <v>44285</v>
      </c>
      <c r="C847">
        <v>86</v>
      </c>
      <c r="D847" t="s">
        <v>90</v>
      </c>
      <c r="E847" t="s">
        <v>46</v>
      </c>
      <c r="F847">
        <v>50</v>
      </c>
      <c r="G847" s="2">
        <v>118</v>
      </c>
      <c r="H847" s="2">
        <v>5900</v>
      </c>
      <c r="I847" s="4">
        <v>0.12</v>
      </c>
      <c r="J847" s="2">
        <v>5192</v>
      </c>
      <c r="K847" s="1">
        <v>44313</v>
      </c>
      <c r="L847" s="1">
        <v>44313</v>
      </c>
      <c r="M847">
        <v>846</v>
      </c>
      <c r="N847">
        <v>7</v>
      </c>
      <c r="O847" t="s">
        <v>37</v>
      </c>
      <c r="P847" s="3">
        <v>0.05</v>
      </c>
      <c r="Q847" s="2">
        <v>259.60000000000002</v>
      </c>
      <c r="R847">
        <v>6</v>
      </c>
      <c r="S847" t="str">
        <f t="shared" si="13"/>
        <v>Março</v>
      </c>
    </row>
    <row r="848" spans="1:19">
      <c r="A848">
        <v>847</v>
      </c>
      <c r="B848" s="1">
        <v>44286</v>
      </c>
      <c r="C848">
        <v>57</v>
      </c>
      <c r="D848" t="s">
        <v>89</v>
      </c>
      <c r="E848" t="s">
        <v>55</v>
      </c>
      <c r="F848">
        <v>26</v>
      </c>
      <c r="G848" s="2">
        <v>103</v>
      </c>
      <c r="H848" s="2">
        <v>2678</v>
      </c>
      <c r="I848" s="4">
        <v>0.05</v>
      </c>
      <c r="J848" s="2">
        <v>2544.1</v>
      </c>
      <c r="K848" s="1">
        <v>44314</v>
      </c>
      <c r="L848" s="1">
        <v>44314</v>
      </c>
      <c r="M848">
        <v>847</v>
      </c>
      <c r="N848">
        <v>6</v>
      </c>
      <c r="O848" t="s">
        <v>37</v>
      </c>
      <c r="P848" s="3">
        <v>0.1</v>
      </c>
      <c r="Q848" s="2">
        <v>254.41</v>
      </c>
      <c r="R848">
        <v>7</v>
      </c>
      <c r="S848" t="str">
        <f t="shared" si="13"/>
        <v>Março</v>
      </c>
    </row>
    <row r="849" spans="1:19">
      <c r="A849">
        <v>848</v>
      </c>
      <c r="B849" s="1">
        <v>44286</v>
      </c>
      <c r="C849">
        <v>84</v>
      </c>
      <c r="D849" t="s">
        <v>44</v>
      </c>
      <c r="E849" t="s">
        <v>24</v>
      </c>
      <c r="F849">
        <v>42</v>
      </c>
      <c r="G849" s="2">
        <v>91</v>
      </c>
      <c r="H849" s="2">
        <v>3822</v>
      </c>
      <c r="I849" s="4">
        <v>0.01</v>
      </c>
      <c r="J849" s="2">
        <v>3783.78</v>
      </c>
      <c r="K849" s="1">
        <v>44294</v>
      </c>
      <c r="L849" s="1">
        <v>44294</v>
      </c>
      <c r="M849">
        <v>848</v>
      </c>
      <c r="N849">
        <v>6</v>
      </c>
      <c r="O849" t="s">
        <v>34</v>
      </c>
      <c r="P849" s="3">
        <v>0.06</v>
      </c>
      <c r="Q849" s="2">
        <v>227.02680000000001</v>
      </c>
      <c r="R849">
        <v>1</v>
      </c>
      <c r="S849" t="str">
        <f t="shared" si="13"/>
        <v>Março</v>
      </c>
    </row>
    <row r="850" spans="1:19">
      <c r="A850">
        <v>849</v>
      </c>
      <c r="B850" s="1">
        <v>44286</v>
      </c>
      <c r="C850">
        <v>58</v>
      </c>
      <c r="D850" t="s">
        <v>72</v>
      </c>
      <c r="E850" t="s">
        <v>21</v>
      </c>
      <c r="F850">
        <v>21</v>
      </c>
      <c r="G850" s="2">
        <v>93</v>
      </c>
      <c r="H850" s="2">
        <v>1953</v>
      </c>
      <c r="I850" s="4">
        <v>0</v>
      </c>
      <c r="J850" s="2">
        <v>1953</v>
      </c>
      <c r="K850" s="1">
        <v>44308</v>
      </c>
      <c r="L850" s="1">
        <v>44308</v>
      </c>
      <c r="M850">
        <v>849</v>
      </c>
      <c r="N850">
        <v>2</v>
      </c>
      <c r="O850" t="s">
        <v>29</v>
      </c>
      <c r="P850" s="3">
        <v>0.1</v>
      </c>
      <c r="Q850" s="2">
        <v>195.3</v>
      </c>
      <c r="R850">
        <v>2</v>
      </c>
      <c r="S850" t="str">
        <f t="shared" si="13"/>
        <v>Março</v>
      </c>
    </row>
    <row r="851" spans="1:19">
      <c r="A851">
        <v>850</v>
      </c>
      <c r="B851" s="1">
        <v>44287</v>
      </c>
      <c r="C851">
        <v>11</v>
      </c>
      <c r="D851" t="s">
        <v>60</v>
      </c>
      <c r="E851" t="s">
        <v>21</v>
      </c>
      <c r="F851">
        <v>49</v>
      </c>
      <c r="G851" s="2">
        <v>114</v>
      </c>
      <c r="H851" s="2">
        <v>5586</v>
      </c>
      <c r="I851" s="4">
        <v>0.14000000000000001</v>
      </c>
      <c r="J851" s="2">
        <v>4803.96</v>
      </c>
      <c r="K851" s="1">
        <v>44309</v>
      </c>
      <c r="L851" s="1">
        <v>44309</v>
      </c>
      <c r="M851">
        <v>850</v>
      </c>
      <c r="N851">
        <v>1</v>
      </c>
      <c r="O851" t="s">
        <v>37</v>
      </c>
      <c r="P851" s="3">
        <v>0.08</v>
      </c>
      <c r="Q851" s="2">
        <v>384.3168</v>
      </c>
      <c r="R851">
        <v>3</v>
      </c>
      <c r="S851" t="str">
        <f t="shared" si="13"/>
        <v>Abril</v>
      </c>
    </row>
    <row r="852" spans="1:19">
      <c r="A852">
        <v>851</v>
      </c>
      <c r="B852" s="1">
        <v>44287</v>
      </c>
      <c r="C852">
        <v>58</v>
      </c>
      <c r="D852" t="s">
        <v>72</v>
      </c>
      <c r="E852" t="s">
        <v>50</v>
      </c>
      <c r="F852">
        <v>23</v>
      </c>
      <c r="G852" s="2">
        <v>106</v>
      </c>
      <c r="H852" s="2">
        <v>2438</v>
      </c>
      <c r="I852" s="4">
        <v>0.08</v>
      </c>
      <c r="J852" s="2">
        <v>2242.96</v>
      </c>
      <c r="K852" s="1">
        <v>44314</v>
      </c>
      <c r="L852" s="1">
        <v>44314</v>
      </c>
      <c r="M852">
        <v>851</v>
      </c>
      <c r="N852">
        <v>2</v>
      </c>
      <c r="O852" t="s">
        <v>52</v>
      </c>
      <c r="P852" s="3">
        <v>0.08</v>
      </c>
      <c r="Q852" s="2">
        <v>179.43680000000001</v>
      </c>
      <c r="R852">
        <v>4</v>
      </c>
      <c r="S852" t="str">
        <f t="shared" si="13"/>
        <v>Abril</v>
      </c>
    </row>
    <row r="853" spans="1:19">
      <c r="A853">
        <v>852</v>
      </c>
      <c r="B853" s="1">
        <v>44288</v>
      </c>
      <c r="C853">
        <v>2</v>
      </c>
      <c r="D853" t="s">
        <v>35</v>
      </c>
      <c r="E853" t="s">
        <v>41</v>
      </c>
      <c r="F853">
        <v>17</v>
      </c>
      <c r="G853" s="2">
        <v>102</v>
      </c>
      <c r="H853" s="2">
        <v>1734</v>
      </c>
      <c r="I853" s="4">
        <v>0.06</v>
      </c>
      <c r="J853" s="2">
        <v>1629.96</v>
      </c>
      <c r="K853" s="1">
        <v>44312</v>
      </c>
      <c r="L853" s="1">
        <v>44312</v>
      </c>
      <c r="M853">
        <v>852</v>
      </c>
      <c r="N853">
        <v>3</v>
      </c>
      <c r="O853" t="s">
        <v>52</v>
      </c>
      <c r="P853" s="3">
        <v>0.1</v>
      </c>
      <c r="Q853" s="2">
        <v>162.99600000000001</v>
      </c>
      <c r="R853">
        <v>5</v>
      </c>
      <c r="S853" t="str">
        <f t="shared" si="13"/>
        <v>Abril</v>
      </c>
    </row>
    <row r="854" spans="1:19">
      <c r="A854">
        <v>853</v>
      </c>
      <c r="B854" s="1">
        <v>44288</v>
      </c>
      <c r="C854">
        <v>14</v>
      </c>
      <c r="D854" t="s">
        <v>27</v>
      </c>
      <c r="E854" t="s">
        <v>21</v>
      </c>
      <c r="F854">
        <v>39</v>
      </c>
      <c r="G854" s="2">
        <v>118</v>
      </c>
      <c r="H854" s="2">
        <v>4602</v>
      </c>
      <c r="I854" s="4">
        <v>0.08</v>
      </c>
      <c r="J854" s="2">
        <v>4233.84</v>
      </c>
      <c r="K854" s="1">
        <v>44317</v>
      </c>
      <c r="L854" s="1">
        <v>44317</v>
      </c>
      <c r="M854">
        <v>853</v>
      </c>
      <c r="N854">
        <v>5</v>
      </c>
      <c r="O854" t="s">
        <v>34</v>
      </c>
      <c r="P854" s="3">
        <v>0.05</v>
      </c>
      <c r="Q854" s="2">
        <v>211.69200000000001</v>
      </c>
      <c r="R854">
        <v>6</v>
      </c>
      <c r="S854" t="str">
        <f t="shared" si="13"/>
        <v>Abril</v>
      </c>
    </row>
    <row r="855" spans="1:19">
      <c r="A855">
        <v>854</v>
      </c>
      <c r="B855" s="1">
        <v>44288</v>
      </c>
      <c r="C855">
        <v>85</v>
      </c>
      <c r="D855" t="s">
        <v>57</v>
      </c>
      <c r="E855" t="s">
        <v>54</v>
      </c>
      <c r="F855">
        <v>35</v>
      </c>
      <c r="G855" s="2">
        <v>101</v>
      </c>
      <c r="H855" s="2">
        <v>3535</v>
      </c>
      <c r="I855" s="4">
        <v>0.09</v>
      </c>
      <c r="J855" s="2">
        <v>3216.85</v>
      </c>
      <c r="K855" s="1">
        <v>44295</v>
      </c>
      <c r="L855" s="1">
        <v>44295</v>
      </c>
      <c r="M855">
        <v>854</v>
      </c>
      <c r="N855">
        <v>7</v>
      </c>
      <c r="O855" t="s">
        <v>22</v>
      </c>
      <c r="P855" s="3">
        <v>7.0000000000000007E-2</v>
      </c>
      <c r="Q855" s="2">
        <v>225.17950000000002</v>
      </c>
      <c r="R855">
        <v>7</v>
      </c>
      <c r="S855" t="str">
        <f t="shared" si="13"/>
        <v>Abril</v>
      </c>
    </row>
    <row r="856" spans="1:19">
      <c r="A856">
        <v>855</v>
      </c>
      <c r="B856" s="1">
        <v>44289</v>
      </c>
      <c r="C856">
        <v>7</v>
      </c>
      <c r="D856" t="s">
        <v>102</v>
      </c>
      <c r="E856" t="s">
        <v>28</v>
      </c>
      <c r="F856">
        <v>27</v>
      </c>
      <c r="G856" s="2">
        <v>109</v>
      </c>
      <c r="H856" s="2">
        <v>2943</v>
      </c>
      <c r="I856" s="4">
        <v>0.06</v>
      </c>
      <c r="J856" s="2">
        <v>2766.42</v>
      </c>
      <c r="K856" s="1">
        <v>44308</v>
      </c>
      <c r="L856" s="1">
        <v>44308</v>
      </c>
      <c r="M856">
        <v>855</v>
      </c>
      <c r="N856">
        <v>2</v>
      </c>
      <c r="O856" t="s">
        <v>32</v>
      </c>
      <c r="P856" s="3">
        <v>0.05</v>
      </c>
      <c r="Q856" s="2">
        <v>138.321</v>
      </c>
      <c r="R856">
        <v>1</v>
      </c>
      <c r="S856" t="str">
        <f t="shared" si="13"/>
        <v>Abril</v>
      </c>
    </row>
    <row r="857" spans="1:19">
      <c r="A857">
        <v>856</v>
      </c>
      <c r="B857" s="1">
        <v>44289</v>
      </c>
      <c r="C857">
        <v>46</v>
      </c>
      <c r="D857" t="s">
        <v>94</v>
      </c>
      <c r="E857" t="s">
        <v>50</v>
      </c>
      <c r="F857">
        <v>45</v>
      </c>
      <c r="G857" s="2">
        <v>109</v>
      </c>
      <c r="H857" s="2">
        <v>4905</v>
      </c>
      <c r="I857" s="4">
        <v>0.13</v>
      </c>
      <c r="J857" s="2">
        <v>4267.3500000000004</v>
      </c>
      <c r="K857" s="1">
        <v>44298</v>
      </c>
      <c r="L857" s="1">
        <v>44298</v>
      </c>
      <c r="M857">
        <v>856</v>
      </c>
      <c r="N857">
        <v>3</v>
      </c>
      <c r="O857" t="s">
        <v>52</v>
      </c>
      <c r="P857" s="3">
        <v>7.0000000000000007E-2</v>
      </c>
      <c r="Q857" s="2">
        <v>298.71450000000004</v>
      </c>
      <c r="R857">
        <v>2</v>
      </c>
      <c r="S857" t="str">
        <f t="shared" si="13"/>
        <v>Abril</v>
      </c>
    </row>
    <row r="858" spans="1:19">
      <c r="A858">
        <v>857</v>
      </c>
      <c r="B858" s="1">
        <v>44289</v>
      </c>
      <c r="C858">
        <v>38</v>
      </c>
      <c r="D858" t="s">
        <v>73</v>
      </c>
      <c r="E858" t="s">
        <v>31</v>
      </c>
      <c r="F858">
        <v>48</v>
      </c>
      <c r="G858" s="2">
        <v>101</v>
      </c>
      <c r="H858" s="2">
        <v>4848</v>
      </c>
      <c r="I858" s="4">
        <v>0.02</v>
      </c>
      <c r="J858" s="2">
        <v>4751.04</v>
      </c>
      <c r="K858" s="1">
        <v>44301</v>
      </c>
      <c r="L858" s="1">
        <v>44301</v>
      </c>
      <c r="M858">
        <v>857</v>
      </c>
      <c r="N858">
        <v>2</v>
      </c>
      <c r="O858" t="s">
        <v>37</v>
      </c>
      <c r="P858" s="3">
        <v>0.06</v>
      </c>
      <c r="Q858" s="2">
        <v>285.06239999999997</v>
      </c>
      <c r="R858">
        <v>3</v>
      </c>
      <c r="S858" t="str">
        <f t="shared" si="13"/>
        <v>Abril</v>
      </c>
    </row>
    <row r="859" spans="1:19">
      <c r="A859">
        <v>858</v>
      </c>
      <c r="B859" s="1">
        <v>44290</v>
      </c>
      <c r="C859">
        <v>33</v>
      </c>
      <c r="D859" t="s">
        <v>76</v>
      </c>
      <c r="E859" t="s">
        <v>54</v>
      </c>
      <c r="F859">
        <v>46</v>
      </c>
      <c r="G859" s="2">
        <v>118</v>
      </c>
      <c r="H859" s="2">
        <v>5428</v>
      </c>
      <c r="I859" s="4">
        <v>0</v>
      </c>
      <c r="J859" s="2">
        <v>5428</v>
      </c>
      <c r="K859" s="1">
        <v>44313</v>
      </c>
      <c r="L859" s="1">
        <v>44313</v>
      </c>
      <c r="M859">
        <v>858</v>
      </c>
      <c r="N859">
        <v>1</v>
      </c>
      <c r="O859" t="s">
        <v>34</v>
      </c>
      <c r="P859" s="3">
        <v>0.09</v>
      </c>
      <c r="Q859" s="2">
        <v>488.52</v>
      </c>
      <c r="R859">
        <v>4</v>
      </c>
      <c r="S859" t="str">
        <f t="shared" si="13"/>
        <v>Abril</v>
      </c>
    </row>
    <row r="860" spans="1:19">
      <c r="A860">
        <v>859</v>
      </c>
      <c r="B860" s="1">
        <v>44290</v>
      </c>
      <c r="C860">
        <v>48</v>
      </c>
      <c r="D860" t="s">
        <v>61</v>
      </c>
      <c r="E860" t="s">
        <v>31</v>
      </c>
      <c r="F860">
        <v>11</v>
      </c>
      <c r="G860" s="2">
        <v>98</v>
      </c>
      <c r="H860" s="2">
        <v>1078</v>
      </c>
      <c r="I860" s="4">
        <v>0.08</v>
      </c>
      <c r="J860" s="2">
        <v>991.76</v>
      </c>
      <c r="K860" s="1">
        <v>44290</v>
      </c>
      <c r="L860" s="1">
        <v>44290</v>
      </c>
      <c r="M860">
        <v>859</v>
      </c>
      <c r="N860">
        <v>1</v>
      </c>
      <c r="O860" t="s">
        <v>32</v>
      </c>
      <c r="P860" s="3">
        <v>0.1</v>
      </c>
      <c r="Q860" s="2">
        <v>99.176000000000002</v>
      </c>
      <c r="R860">
        <v>5</v>
      </c>
      <c r="S860" t="str">
        <f t="shared" si="13"/>
        <v>Abril</v>
      </c>
    </row>
    <row r="861" spans="1:19">
      <c r="A861">
        <v>860</v>
      </c>
      <c r="B861" s="1">
        <v>44290</v>
      </c>
      <c r="C861">
        <v>13</v>
      </c>
      <c r="D861" t="s">
        <v>75</v>
      </c>
      <c r="E861" t="s">
        <v>50</v>
      </c>
      <c r="F861">
        <v>45</v>
      </c>
      <c r="G861" s="2">
        <v>95</v>
      </c>
      <c r="H861" s="2">
        <v>4275</v>
      </c>
      <c r="I861" s="4">
        <v>0.12</v>
      </c>
      <c r="J861" s="2">
        <v>3762</v>
      </c>
      <c r="K861" s="1">
        <v>44295</v>
      </c>
      <c r="L861" s="1">
        <v>44295</v>
      </c>
      <c r="M861">
        <v>860</v>
      </c>
      <c r="N861">
        <v>2</v>
      </c>
      <c r="O861" t="s">
        <v>25</v>
      </c>
      <c r="P861" s="3">
        <v>0.08</v>
      </c>
      <c r="Q861" s="2">
        <v>300.95999999999998</v>
      </c>
      <c r="R861">
        <v>6</v>
      </c>
      <c r="S861" t="str">
        <f t="shared" si="13"/>
        <v>Abril</v>
      </c>
    </row>
    <row r="862" spans="1:19">
      <c r="A862">
        <v>861</v>
      </c>
      <c r="B862" s="1">
        <v>44290</v>
      </c>
      <c r="C862">
        <v>45</v>
      </c>
      <c r="D862" t="s">
        <v>38</v>
      </c>
      <c r="E862" t="s">
        <v>41</v>
      </c>
      <c r="F862">
        <v>41</v>
      </c>
      <c r="G862" s="2">
        <v>101</v>
      </c>
      <c r="H862" s="2">
        <v>4141</v>
      </c>
      <c r="I862" s="4">
        <v>0.15</v>
      </c>
      <c r="J862" s="2">
        <v>3519.85</v>
      </c>
      <c r="K862" s="1">
        <v>44297</v>
      </c>
      <c r="L862" s="1">
        <v>44297</v>
      </c>
      <c r="M862">
        <v>861</v>
      </c>
      <c r="N862">
        <v>1</v>
      </c>
      <c r="O862" t="s">
        <v>69</v>
      </c>
      <c r="P862" s="3">
        <v>7.0000000000000007E-2</v>
      </c>
      <c r="Q862" s="2">
        <v>246.38950000000003</v>
      </c>
      <c r="R862">
        <v>7</v>
      </c>
      <c r="S862" t="str">
        <f t="shared" si="13"/>
        <v>Abril</v>
      </c>
    </row>
    <row r="863" spans="1:19">
      <c r="A863">
        <v>862</v>
      </c>
      <c r="B863" s="1">
        <v>44291</v>
      </c>
      <c r="C863">
        <v>27</v>
      </c>
      <c r="D863" t="s">
        <v>101</v>
      </c>
      <c r="E863" t="s">
        <v>54</v>
      </c>
      <c r="F863">
        <v>23</v>
      </c>
      <c r="G863" s="2">
        <v>110</v>
      </c>
      <c r="H863" s="2">
        <v>2530</v>
      </c>
      <c r="I863" s="4">
        <v>7.0000000000000007E-2</v>
      </c>
      <c r="J863" s="2">
        <v>2352.9</v>
      </c>
      <c r="K863" s="1">
        <v>44308</v>
      </c>
      <c r="L863" s="1">
        <v>44308</v>
      </c>
      <c r="M863">
        <v>862</v>
      </c>
      <c r="N863">
        <v>1</v>
      </c>
      <c r="O863" t="s">
        <v>34</v>
      </c>
      <c r="P863" s="3">
        <v>0.06</v>
      </c>
      <c r="Q863" s="2">
        <v>141.17400000000001</v>
      </c>
      <c r="R863">
        <v>1</v>
      </c>
      <c r="S863" t="str">
        <f t="shared" si="13"/>
        <v>Abril</v>
      </c>
    </row>
    <row r="864" spans="1:19">
      <c r="A864">
        <v>863</v>
      </c>
      <c r="B864" s="1">
        <v>44291</v>
      </c>
      <c r="C864">
        <v>32</v>
      </c>
      <c r="D864" t="s">
        <v>77</v>
      </c>
      <c r="E864" t="s">
        <v>59</v>
      </c>
      <c r="F864">
        <v>46</v>
      </c>
      <c r="G864" s="2">
        <v>106</v>
      </c>
      <c r="H864" s="2">
        <v>4876</v>
      </c>
      <c r="I864" s="4">
        <v>0.01</v>
      </c>
      <c r="J864" s="2">
        <v>4827.24</v>
      </c>
      <c r="K864" s="1">
        <v>44312</v>
      </c>
      <c r="L864" s="1">
        <v>44312</v>
      </c>
      <c r="M864">
        <v>863</v>
      </c>
      <c r="N864">
        <v>1</v>
      </c>
      <c r="O864" t="s">
        <v>32</v>
      </c>
      <c r="P864" s="3">
        <v>0.08</v>
      </c>
      <c r="Q864" s="2">
        <v>386.17919999999998</v>
      </c>
      <c r="R864">
        <v>2</v>
      </c>
      <c r="S864" t="str">
        <f t="shared" si="13"/>
        <v>Abril</v>
      </c>
    </row>
    <row r="865" spans="1:19">
      <c r="A865">
        <v>864</v>
      </c>
      <c r="B865" s="1">
        <v>44292</v>
      </c>
      <c r="C865">
        <v>16</v>
      </c>
      <c r="D865" t="s">
        <v>27</v>
      </c>
      <c r="E865" t="s">
        <v>21</v>
      </c>
      <c r="F865">
        <v>28</v>
      </c>
      <c r="G865" s="2">
        <v>106</v>
      </c>
      <c r="H865" s="2">
        <v>2968</v>
      </c>
      <c r="I865" s="4">
        <v>7.0000000000000007E-2</v>
      </c>
      <c r="J865" s="2">
        <v>2760.24</v>
      </c>
      <c r="K865" s="1">
        <v>44292</v>
      </c>
      <c r="L865" s="1">
        <v>44292</v>
      </c>
      <c r="M865">
        <v>864</v>
      </c>
      <c r="N865">
        <v>4</v>
      </c>
      <c r="O865" t="s">
        <v>37</v>
      </c>
      <c r="P865" s="3">
        <v>0.1</v>
      </c>
      <c r="Q865" s="2">
        <v>276.024</v>
      </c>
      <c r="R865">
        <v>3</v>
      </c>
      <c r="S865" t="str">
        <f t="shared" si="13"/>
        <v>Abril</v>
      </c>
    </row>
    <row r="866" spans="1:19">
      <c r="A866">
        <v>865</v>
      </c>
      <c r="B866" s="1">
        <v>44293</v>
      </c>
      <c r="C866">
        <v>29</v>
      </c>
      <c r="D866" t="s">
        <v>98</v>
      </c>
      <c r="E866" t="s">
        <v>59</v>
      </c>
      <c r="F866">
        <v>30</v>
      </c>
      <c r="G866" s="2">
        <v>112</v>
      </c>
      <c r="H866" s="2">
        <v>3360</v>
      </c>
      <c r="I866" s="4">
        <v>0</v>
      </c>
      <c r="J866" s="2">
        <v>3360</v>
      </c>
      <c r="K866" s="1">
        <v>44312</v>
      </c>
      <c r="L866" s="1">
        <v>44312</v>
      </c>
      <c r="M866">
        <v>865</v>
      </c>
      <c r="N866">
        <v>4</v>
      </c>
      <c r="O866" t="s">
        <v>47</v>
      </c>
      <c r="P866" s="3">
        <v>7.0000000000000007E-2</v>
      </c>
      <c r="Q866" s="2">
        <v>235.20000000000002</v>
      </c>
      <c r="R866">
        <v>4</v>
      </c>
      <c r="S866" t="str">
        <f t="shared" si="13"/>
        <v>Abril</v>
      </c>
    </row>
    <row r="867" spans="1:19">
      <c r="A867">
        <v>866</v>
      </c>
      <c r="B867" s="1">
        <v>44293</v>
      </c>
      <c r="C867">
        <v>86</v>
      </c>
      <c r="D867" t="s">
        <v>90</v>
      </c>
      <c r="E867" t="s">
        <v>46</v>
      </c>
      <c r="F867">
        <v>39</v>
      </c>
      <c r="G867" s="2">
        <v>108</v>
      </c>
      <c r="H867" s="2">
        <v>4212</v>
      </c>
      <c r="I867" s="4">
        <v>0.15</v>
      </c>
      <c r="J867" s="2">
        <v>3580.2</v>
      </c>
      <c r="K867" s="1">
        <v>44307</v>
      </c>
      <c r="L867" s="1">
        <v>44307</v>
      </c>
      <c r="M867">
        <v>866</v>
      </c>
      <c r="N867">
        <v>7</v>
      </c>
      <c r="O867" t="s">
        <v>43</v>
      </c>
      <c r="P867" s="3">
        <v>0.05</v>
      </c>
      <c r="Q867" s="2">
        <v>179.01</v>
      </c>
      <c r="R867">
        <v>5</v>
      </c>
      <c r="S867" t="str">
        <f t="shared" si="13"/>
        <v>Abril</v>
      </c>
    </row>
    <row r="868" spans="1:19">
      <c r="A868">
        <v>867</v>
      </c>
      <c r="B868" s="1">
        <v>44294</v>
      </c>
      <c r="C868">
        <v>18</v>
      </c>
      <c r="D868" t="s">
        <v>83</v>
      </c>
      <c r="E868" t="s">
        <v>55</v>
      </c>
      <c r="F868">
        <v>14</v>
      </c>
      <c r="G868" s="2">
        <v>97</v>
      </c>
      <c r="H868" s="2">
        <v>1358</v>
      </c>
      <c r="I868" s="4">
        <v>0.03</v>
      </c>
      <c r="J868" s="2">
        <v>1317.26</v>
      </c>
      <c r="K868" s="1">
        <v>44297</v>
      </c>
      <c r="L868" s="1">
        <v>44297</v>
      </c>
      <c r="M868">
        <v>867</v>
      </c>
      <c r="N868">
        <v>2</v>
      </c>
      <c r="O868" t="s">
        <v>69</v>
      </c>
      <c r="P868" s="3">
        <v>0.09</v>
      </c>
      <c r="Q868" s="2">
        <v>118.5534</v>
      </c>
      <c r="R868">
        <v>6</v>
      </c>
      <c r="S868" t="str">
        <f t="shared" si="13"/>
        <v>Abril</v>
      </c>
    </row>
    <row r="869" spans="1:19">
      <c r="A869">
        <v>868</v>
      </c>
      <c r="B869" s="1">
        <v>44294</v>
      </c>
      <c r="C869">
        <v>81</v>
      </c>
      <c r="D869" t="s">
        <v>103</v>
      </c>
      <c r="E869" t="s">
        <v>46</v>
      </c>
      <c r="F869">
        <v>15</v>
      </c>
      <c r="G869" s="2">
        <v>90</v>
      </c>
      <c r="H869" s="2">
        <v>1350</v>
      </c>
      <c r="I869" s="4">
        <v>0.09</v>
      </c>
      <c r="J869" s="2">
        <v>1228.5</v>
      </c>
      <c r="K869" s="1">
        <v>44324</v>
      </c>
      <c r="L869" s="1">
        <v>44324</v>
      </c>
      <c r="M869">
        <v>868</v>
      </c>
      <c r="N869">
        <v>6</v>
      </c>
      <c r="O869" t="s">
        <v>34</v>
      </c>
      <c r="P869" s="3">
        <v>0.06</v>
      </c>
      <c r="Q869" s="2">
        <v>73.709999999999994</v>
      </c>
      <c r="R869">
        <v>7</v>
      </c>
      <c r="S869" t="str">
        <f t="shared" si="13"/>
        <v>Abril</v>
      </c>
    </row>
    <row r="870" spans="1:19">
      <c r="A870">
        <v>869</v>
      </c>
      <c r="B870" s="1">
        <v>44295</v>
      </c>
      <c r="C870">
        <v>49</v>
      </c>
      <c r="D870" t="s">
        <v>38</v>
      </c>
      <c r="E870" t="s">
        <v>41</v>
      </c>
      <c r="F870">
        <v>29</v>
      </c>
      <c r="G870" s="2">
        <v>102</v>
      </c>
      <c r="H870" s="2">
        <v>2958</v>
      </c>
      <c r="I870" s="4">
        <v>0.13</v>
      </c>
      <c r="J870" s="2">
        <v>2573.46</v>
      </c>
      <c r="K870" s="1">
        <v>44300</v>
      </c>
      <c r="L870" s="1">
        <v>44300</v>
      </c>
      <c r="M870">
        <v>869</v>
      </c>
      <c r="N870">
        <v>3</v>
      </c>
      <c r="O870" t="s">
        <v>22</v>
      </c>
      <c r="P870" s="3">
        <v>0.1</v>
      </c>
      <c r="Q870" s="2">
        <v>257.346</v>
      </c>
      <c r="R870">
        <v>1</v>
      </c>
      <c r="S870" t="str">
        <f t="shared" si="13"/>
        <v>Abril</v>
      </c>
    </row>
    <row r="871" spans="1:19">
      <c r="A871">
        <v>870</v>
      </c>
      <c r="B871" s="1">
        <v>44295</v>
      </c>
      <c r="C871">
        <v>59</v>
      </c>
      <c r="D871" t="s">
        <v>97</v>
      </c>
      <c r="E871" t="s">
        <v>28</v>
      </c>
      <c r="F871">
        <v>29</v>
      </c>
      <c r="G871" s="2">
        <v>94</v>
      </c>
      <c r="H871" s="2">
        <v>2726</v>
      </c>
      <c r="I871" s="4">
        <v>0</v>
      </c>
      <c r="J871" s="2">
        <v>2726</v>
      </c>
      <c r="K871" s="1">
        <v>44313</v>
      </c>
      <c r="L871" s="1">
        <v>44313</v>
      </c>
      <c r="M871">
        <v>870</v>
      </c>
      <c r="N871">
        <v>1</v>
      </c>
      <c r="O871" t="s">
        <v>32</v>
      </c>
      <c r="P871" s="3">
        <v>0.05</v>
      </c>
      <c r="Q871" s="2">
        <v>136.30000000000001</v>
      </c>
      <c r="R871">
        <v>2</v>
      </c>
      <c r="S871" t="str">
        <f t="shared" si="13"/>
        <v>Abril</v>
      </c>
    </row>
    <row r="872" spans="1:19">
      <c r="A872">
        <v>871</v>
      </c>
      <c r="B872" s="1">
        <v>44296</v>
      </c>
      <c r="C872">
        <v>15</v>
      </c>
      <c r="D872" t="s">
        <v>77</v>
      </c>
      <c r="E872" t="s">
        <v>46</v>
      </c>
      <c r="F872">
        <v>35</v>
      </c>
      <c r="G872" s="2">
        <v>109</v>
      </c>
      <c r="H872" s="2">
        <v>3815</v>
      </c>
      <c r="I872" s="4">
        <v>0.01</v>
      </c>
      <c r="J872" s="2">
        <v>3776.85</v>
      </c>
      <c r="K872" s="1">
        <v>44316</v>
      </c>
      <c r="L872" s="1">
        <v>44316</v>
      </c>
      <c r="M872">
        <v>871</v>
      </c>
      <c r="N872">
        <v>6</v>
      </c>
      <c r="O872" t="s">
        <v>32</v>
      </c>
      <c r="P872" s="3">
        <v>0.06</v>
      </c>
      <c r="Q872" s="2">
        <v>226.61099999999999</v>
      </c>
      <c r="R872">
        <v>3</v>
      </c>
      <c r="S872" t="str">
        <f t="shared" si="13"/>
        <v>Abril</v>
      </c>
    </row>
    <row r="873" spans="1:19">
      <c r="A873">
        <v>872</v>
      </c>
      <c r="B873" s="1">
        <v>44296</v>
      </c>
      <c r="C873">
        <v>62</v>
      </c>
      <c r="D873" t="s">
        <v>38</v>
      </c>
      <c r="E873" t="s">
        <v>28</v>
      </c>
      <c r="F873">
        <v>41</v>
      </c>
      <c r="G873" s="2">
        <v>115</v>
      </c>
      <c r="H873" s="2">
        <v>4715</v>
      </c>
      <c r="I873" s="4">
        <v>0.02</v>
      </c>
      <c r="J873" s="2">
        <v>4620.7</v>
      </c>
      <c r="K873" s="1">
        <v>44309</v>
      </c>
      <c r="L873" s="1">
        <v>44309</v>
      </c>
      <c r="M873">
        <v>872</v>
      </c>
      <c r="N873">
        <v>1</v>
      </c>
      <c r="O873" t="s">
        <v>69</v>
      </c>
      <c r="P873" s="3">
        <v>0.09</v>
      </c>
      <c r="Q873" s="2">
        <v>415.86299999999994</v>
      </c>
      <c r="R873">
        <v>4</v>
      </c>
      <c r="S873" t="str">
        <f t="shared" si="13"/>
        <v>Abril</v>
      </c>
    </row>
    <row r="874" spans="1:19">
      <c r="A874">
        <v>873</v>
      </c>
      <c r="B874" s="1">
        <v>44296</v>
      </c>
      <c r="C874">
        <v>2</v>
      </c>
      <c r="D874" t="s">
        <v>35</v>
      </c>
      <c r="E874" t="s">
        <v>50</v>
      </c>
      <c r="F874">
        <v>30</v>
      </c>
      <c r="G874" s="2">
        <v>108</v>
      </c>
      <c r="H874" s="2">
        <v>3240</v>
      </c>
      <c r="I874" s="4">
        <v>0.05</v>
      </c>
      <c r="J874" s="2">
        <v>3078</v>
      </c>
      <c r="K874" s="1">
        <v>44302</v>
      </c>
      <c r="L874" s="1">
        <v>44302</v>
      </c>
      <c r="M874">
        <v>873</v>
      </c>
      <c r="N874">
        <v>6</v>
      </c>
      <c r="O874" t="s">
        <v>47</v>
      </c>
      <c r="P874" s="3">
        <v>0.05</v>
      </c>
      <c r="Q874" s="2">
        <v>153.9</v>
      </c>
      <c r="R874">
        <v>5</v>
      </c>
      <c r="S874" t="str">
        <f t="shared" si="13"/>
        <v>Abril</v>
      </c>
    </row>
    <row r="875" spans="1:19">
      <c r="A875">
        <v>874</v>
      </c>
      <c r="B875" s="1">
        <v>44299</v>
      </c>
      <c r="C875">
        <v>41</v>
      </c>
      <c r="D875" t="s">
        <v>68</v>
      </c>
      <c r="E875" t="s">
        <v>50</v>
      </c>
      <c r="F875">
        <v>17</v>
      </c>
      <c r="G875" s="2">
        <v>115</v>
      </c>
      <c r="H875" s="2">
        <v>1955</v>
      </c>
      <c r="I875" s="4">
        <v>0</v>
      </c>
      <c r="J875" s="2">
        <v>1955</v>
      </c>
      <c r="K875" s="1">
        <v>44307</v>
      </c>
      <c r="L875" s="1">
        <v>44307</v>
      </c>
      <c r="M875">
        <v>874</v>
      </c>
      <c r="N875">
        <v>6</v>
      </c>
      <c r="O875" t="s">
        <v>47</v>
      </c>
      <c r="P875" s="3">
        <v>0.1</v>
      </c>
      <c r="Q875" s="2">
        <v>195.5</v>
      </c>
      <c r="R875">
        <v>6</v>
      </c>
      <c r="S875" t="str">
        <f t="shared" si="13"/>
        <v>Abril</v>
      </c>
    </row>
    <row r="876" spans="1:19">
      <c r="A876">
        <v>875</v>
      </c>
      <c r="B876" s="1">
        <v>44302</v>
      </c>
      <c r="C876">
        <v>31</v>
      </c>
      <c r="D876" t="s">
        <v>85</v>
      </c>
      <c r="E876" t="s">
        <v>46</v>
      </c>
      <c r="F876">
        <v>37</v>
      </c>
      <c r="G876" s="2">
        <v>111</v>
      </c>
      <c r="H876" s="2">
        <v>4107</v>
      </c>
      <c r="I876" s="4">
        <v>0</v>
      </c>
      <c r="J876" s="2">
        <v>4107</v>
      </c>
      <c r="K876" s="1">
        <v>44314</v>
      </c>
      <c r="L876" s="1">
        <v>44314</v>
      </c>
      <c r="M876">
        <v>875</v>
      </c>
      <c r="N876">
        <v>5</v>
      </c>
      <c r="O876" t="s">
        <v>25</v>
      </c>
      <c r="P876" s="3">
        <v>0.1</v>
      </c>
      <c r="Q876" s="2">
        <v>410.70000000000005</v>
      </c>
      <c r="R876">
        <v>7</v>
      </c>
      <c r="S876" t="str">
        <f t="shared" si="13"/>
        <v>Abril</v>
      </c>
    </row>
    <row r="877" spans="1:19">
      <c r="A877">
        <v>876</v>
      </c>
      <c r="B877" s="1">
        <v>44304</v>
      </c>
      <c r="C877">
        <v>34</v>
      </c>
      <c r="D877" t="s">
        <v>58</v>
      </c>
      <c r="E877" t="s">
        <v>24</v>
      </c>
      <c r="F877">
        <v>38</v>
      </c>
      <c r="G877" s="2">
        <v>108</v>
      </c>
      <c r="H877" s="2">
        <v>4104</v>
      </c>
      <c r="I877" s="4">
        <v>0.06</v>
      </c>
      <c r="J877" s="2">
        <v>3857.76</v>
      </c>
      <c r="K877" s="1">
        <v>44306</v>
      </c>
      <c r="L877" s="1">
        <v>44306</v>
      </c>
      <c r="M877">
        <v>876</v>
      </c>
      <c r="N877">
        <v>1</v>
      </c>
      <c r="O877" t="s">
        <v>52</v>
      </c>
      <c r="P877" s="3">
        <v>0.1</v>
      </c>
      <c r="Q877" s="2">
        <v>385.77600000000007</v>
      </c>
      <c r="R877">
        <v>1</v>
      </c>
      <c r="S877" t="str">
        <f t="shared" si="13"/>
        <v>Abril</v>
      </c>
    </row>
    <row r="878" spans="1:19">
      <c r="A878">
        <v>877</v>
      </c>
      <c r="B878" s="1">
        <v>44304</v>
      </c>
      <c r="C878">
        <v>28</v>
      </c>
      <c r="D878" t="s">
        <v>86</v>
      </c>
      <c r="E878" t="s">
        <v>31</v>
      </c>
      <c r="F878">
        <v>42</v>
      </c>
      <c r="G878" s="2">
        <v>96</v>
      </c>
      <c r="H878" s="2">
        <v>4032</v>
      </c>
      <c r="I878" s="4">
        <v>0.12</v>
      </c>
      <c r="J878" s="2">
        <v>3548.16</v>
      </c>
      <c r="K878" s="1">
        <v>44307</v>
      </c>
      <c r="L878" s="1">
        <v>44307</v>
      </c>
      <c r="M878">
        <v>877</v>
      </c>
      <c r="N878">
        <v>6</v>
      </c>
      <c r="O878" t="s">
        <v>47</v>
      </c>
      <c r="P878" s="3">
        <v>0.08</v>
      </c>
      <c r="Q878" s="2">
        <v>283.8528</v>
      </c>
      <c r="R878">
        <v>2</v>
      </c>
      <c r="S878" t="str">
        <f t="shared" si="13"/>
        <v>Abril</v>
      </c>
    </row>
    <row r="879" spans="1:19">
      <c r="A879">
        <v>878</v>
      </c>
      <c r="B879" s="1">
        <v>44306</v>
      </c>
      <c r="C879">
        <v>6</v>
      </c>
      <c r="D879" t="s">
        <v>88</v>
      </c>
      <c r="E879" t="s">
        <v>28</v>
      </c>
      <c r="F879">
        <v>16</v>
      </c>
      <c r="G879" s="2">
        <v>93</v>
      </c>
      <c r="H879" s="2">
        <v>1488</v>
      </c>
      <c r="I879" s="4">
        <v>0.12</v>
      </c>
      <c r="J879" s="2">
        <v>1309.44</v>
      </c>
      <c r="K879" s="1">
        <v>44330</v>
      </c>
      <c r="L879" s="1">
        <v>44330</v>
      </c>
      <c r="M879">
        <v>878</v>
      </c>
      <c r="N879">
        <v>1</v>
      </c>
      <c r="O879" t="s">
        <v>29</v>
      </c>
      <c r="P879" s="3">
        <v>0.05</v>
      </c>
      <c r="Q879" s="2">
        <v>65.472000000000008</v>
      </c>
      <c r="R879">
        <v>3</v>
      </c>
      <c r="S879" t="str">
        <f t="shared" si="13"/>
        <v>Abril</v>
      </c>
    </row>
    <row r="880" spans="1:19">
      <c r="A880">
        <v>879</v>
      </c>
      <c r="B880" s="1">
        <v>44306</v>
      </c>
      <c r="C880">
        <v>37</v>
      </c>
      <c r="D880" t="s">
        <v>48</v>
      </c>
      <c r="E880" t="s">
        <v>28</v>
      </c>
      <c r="F880">
        <v>44</v>
      </c>
      <c r="G880" s="2">
        <v>96</v>
      </c>
      <c r="H880" s="2">
        <v>4224</v>
      </c>
      <c r="I880" s="4">
        <v>0.05</v>
      </c>
      <c r="J880" s="2">
        <v>4012.8</v>
      </c>
      <c r="K880" s="1">
        <v>44318</v>
      </c>
      <c r="L880" s="1">
        <v>44318</v>
      </c>
      <c r="M880">
        <v>879</v>
      </c>
      <c r="N880">
        <v>7</v>
      </c>
      <c r="O880" t="s">
        <v>25</v>
      </c>
      <c r="P880" s="3">
        <v>0.08</v>
      </c>
      <c r="Q880" s="2">
        <v>321.024</v>
      </c>
      <c r="R880">
        <v>4</v>
      </c>
      <c r="S880" t="str">
        <f t="shared" si="13"/>
        <v>Abril</v>
      </c>
    </row>
    <row r="881" spans="1:19">
      <c r="A881">
        <v>880</v>
      </c>
      <c r="B881" s="1">
        <v>44306</v>
      </c>
      <c r="C881">
        <v>45</v>
      </c>
      <c r="D881" t="s">
        <v>38</v>
      </c>
      <c r="E881" t="s">
        <v>31</v>
      </c>
      <c r="F881">
        <v>43</v>
      </c>
      <c r="G881" s="2">
        <v>110</v>
      </c>
      <c r="H881" s="2">
        <v>4730</v>
      </c>
      <c r="I881" s="4">
        <v>0.03</v>
      </c>
      <c r="J881" s="2">
        <v>4588.1000000000004</v>
      </c>
      <c r="K881" s="1">
        <v>44333</v>
      </c>
      <c r="L881" s="1">
        <v>44333</v>
      </c>
      <c r="M881">
        <v>880</v>
      </c>
      <c r="N881">
        <v>2</v>
      </c>
      <c r="O881" t="s">
        <v>22</v>
      </c>
      <c r="P881" s="3">
        <v>0.08</v>
      </c>
      <c r="Q881" s="2">
        <v>367.04800000000006</v>
      </c>
      <c r="R881">
        <v>5</v>
      </c>
      <c r="S881" t="str">
        <f t="shared" si="13"/>
        <v>Abril</v>
      </c>
    </row>
    <row r="882" spans="1:19">
      <c r="A882">
        <v>881</v>
      </c>
      <c r="B882" s="1">
        <v>44306</v>
      </c>
      <c r="C882">
        <v>53</v>
      </c>
      <c r="D882" t="s">
        <v>88</v>
      </c>
      <c r="E882" t="s">
        <v>50</v>
      </c>
      <c r="F882">
        <v>31</v>
      </c>
      <c r="G882" s="2">
        <v>120</v>
      </c>
      <c r="H882" s="2">
        <v>3720</v>
      </c>
      <c r="I882" s="4">
        <v>0.14000000000000001</v>
      </c>
      <c r="J882" s="2">
        <v>3199.2</v>
      </c>
      <c r="K882" s="1">
        <v>44317</v>
      </c>
      <c r="L882" s="1">
        <v>44317</v>
      </c>
      <c r="M882">
        <v>881</v>
      </c>
      <c r="N882">
        <v>3</v>
      </c>
      <c r="O882" t="s">
        <v>22</v>
      </c>
      <c r="P882" s="3">
        <v>0.1</v>
      </c>
      <c r="Q882" s="2">
        <v>319.92</v>
      </c>
      <c r="R882">
        <v>6</v>
      </c>
      <c r="S882" t="str">
        <f t="shared" si="13"/>
        <v>Abril</v>
      </c>
    </row>
    <row r="883" spans="1:19">
      <c r="A883">
        <v>882</v>
      </c>
      <c r="B883" s="1">
        <v>44307</v>
      </c>
      <c r="C883">
        <v>9</v>
      </c>
      <c r="D883" t="s">
        <v>36</v>
      </c>
      <c r="E883" t="s">
        <v>24</v>
      </c>
      <c r="F883">
        <v>33</v>
      </c>
      <c r="G883" s="2">
        <v>109</v>
      </c>
      <c r="H883" s="2">
        <v>3597</v>
      </c>
      <c r="I883" s="4">
        <v>0.03</v>
      </c>
      <c r="J883" s="2">
        <v>3489.09</v>
      </c>
      <c r="K883" s="1">
        <v>44311</v>
      </c>
      <c r="L883" s="1">
        <v>44311</v>
      </c>
      <c r="M883">
        <v>882</v>
      </c>
      <c r="N883">
        <v>1</v>
      </c>
      <c r="O883" t="s">
        <v>22</v>
      </c>
      <c r="P883" s="3">
        <v>0.1</v>
      </c>
      <c r="Q883" s="2">
        <v>348.90900000000005</v>
      </c>
      <c r="R883">
        <v>7</v>
      </c>
      <c r="S883" t="str">
        <f t="shared" si="13"/>
        <v>Abril</v>
      </c>
    </row>
    <row r="884" spans="1:19">
      <c r="A884">
        <v>883</v>
      </c>
      <c r="B884" s="1">
        <v>44309</v>
      </c>
      <c r="C884">
        <v>65</v>
      </c>
      <c r="D884" t="s">
        <v>64</v>
      </c>
      <c r="E884" t="s">
        <v>31</v>
      </c>
      <c r="F884">
        <v>32</v>
      </c>
      <c r="G884" s="2">
        <v>118</v>
      </c>
      <c r="H884" s="2">
        <v>3776</v>
      </c>
      <c r="I884" s="4">
        <v>0</v>
      </c>
      <c r="J884" s="2">
        <v>3776</v>
      </c>
      <c r="K884" s="1">
        <v>44337</v>
      </c>
      <c r="L884" s="1">
        <v>44337</v>
      </c>
      <c r="M884">
        <v>883</v>
      </c>
      <c r="N884">
        <v>7</v>
      </c>
      <c r="O884" t="s">
        <v>43</v>
      </c>
      <c r="P884" s="3">
        <v>7.0000000000000007E-2</v>
      </c>
      <c r="Q884" s="2">
        <v>264.32000000000005</v>
      </c>
      <c r="R884">
        <v>1</v>
      </c>
      <c r="S884" t="str">
        <f t="shared" si="13"/>
        <v>Abril</v>
      </c>
    </row>
    <row r="885" spans="1:19">
      <c r="A885">
        <v>884</v>
      </c>
      <c r="B885" s="1">
        <v>44309</v>
      </c>
      <c r="C885">
        <v>36</v>
      </c>
      <c r="D885" t="s">
        <v>70</v>
      </c>
      <c r="E885" t="s">
        <v>31</v>
      </c>
      <c r="F885">
        <v>34</v>
      </c>
      <c r="G885" s="2">
        <v>111</v>
      </c>
      <c r="H885" s="2">
        <v>3774</v>
      </c>
      <c r="I885" s="4">
        <v>0.08</v>
      </c>
      <c r="J885" s="2">
        <v>3472.08</v>
      </c>
      <c r="K885" s="1">
        <v>44334</v>
      </c>
      <c r="L885" s="1">
        <v>44334</v>
      </c>
      <c r="M885">
        <v>884</v>
      </c>
      <c r="N885">
        <v>3</v>
      </c>
      <c r="O885" t="s">
        <v>37</v>
      </c>
      <c r="P885" s="3">
        <v>0.05</v>
      </c>
      <c r="Q885" s="2">
        <v>173.60400000000001</v>
      </c>
      <c r="R885">
        <v>2</v>
      </c>
      <c r="S885" t="str">
        <f t="shared" si="13"/>
        <v>Abril</v>
      </c>
    </row>
    <row r="886" spans="1:19">
      <c r="A886">
        <v>885</v>
      </c>
      <c r="B886" s="1">
        <v>44309</v>
      </c>
      <c r="C886">
        <v>78</v>
      </c>
      <c r="D886" t="s">
        <v>36</v>
      </c>
      <c r="E886" t="s">
        <v>50</v>
      </c>
      <c r="F886">
        <v>44</v>
      </c>
      <c r="G886" s="2">
        <v>99</v>
      </c>
      <c r="H886" s="2">
        <v>4356</v>
      </c>
      <c r="I886" s="4">
        <v>0.11</v>
      </c>
      <c r="J886" s="2">
        <v>3876.84</v>
      </c>
      <c r="K886" s="1">
        <v>44326</v>
      </c>
      <c r="L886" s="1">
        <v>44326</v>
      </c>
      <c r="M886">
        <v>885</v>
      </c>
      <c r="N886">
        <v>4</v>
      </c>
      <c r="O886" t="s">
        <v>43</v>
      </c>
      <c r="P886" s="3">
        <v>0.05</v>
      </c>
      <c r="Q886" s="2">
        <v>193.84200000000001</v>
      </c>
      <c r="R886">
        <v>3</v>
      </c>
      <c r="S886" t="str">
        <f t="shared" si="13"/>
        <v>Abril</v>
      </c>
    </row>
    <row r="887" spans="1:19">
      <c r="A887">
        <v>886</v>
      </c>
      <c r="B887" s="1">
        <v>44310</v>
      </c>
      <c r="C887">
        <v>86</v>
      </c>
      <c r="D887" t="s">
        <v>90</v>
      </c>
      <c r="E887" t="s">
        <v>24</v>
      </c>
      <c r="F887">
        <v>29</v>
      </c>
      <c r="G887" s="2">
        <v>114</v>
      </c>
      <c r="H887" s="2">
        <v>3306</v>
      </c>
      <c r="I887" s="4">
        <v>7.0000000000000007E-2</v>
      </c>
      <c r="J887" s="2">
        <v>3074.58</v>
      </c>
      <c r="K887" s="1">
        <v>44339</v>
      </c>
      <c r="L887" s="1">
        <v>44339</v>
      </c>
      <c r="M887">
        <v>886</v>
      </c>
      <c r="N887">
        <v>2</v>
      </c>
      <c r="O887" t="s">
        <v>29</v>
      </c>
      <c r="P887" s="3">
        <v>7.0000000000000007E-2</v>
      </c>
      <c r="Q887" s="2">
        <v>215.22060000000002</v>
      </c>
      <c r="R887">
        <v>4</v>
      </c>
      <c r="S887" t="str">
        <f t="shared" si="13"/>
        <v>Abril</v>
      </c>
    </row>
    <row r="888" spans="1:19">
      <c r="A888">
        <v>887</v>
      </c>
      <c r="B888" s="1">
        <v>44310</v>
      </c>
      <c r="C888">
        <v>70</v>
      </c>
      <c r="D888" t="s">
        <v>67</v>
      </c>
      <c r="E888" t="s">
        <v>31</v>
      </c>
      <c r="F888">
        <v>29</v>
      </c>
      <c r="G888" s="2">
        <v>117</v>
      </c>
      <c r="H888" s="2">
        <v>3393</v>
      </c>
      <c r="I888" s="4">
        <v>0.01</v>
      </c>
      <c r="J888" s="2">
        <v>3359.07</v>
      </c>
      <c r="K888" s="1">
        <v>44325</v>
      </c>
      <c r="L888" s="1">
        <v>44325</v>
      </c>
      <c r="M888">
        <v>887</v>
      </c>
      <c r="N888">
        <v>4</v>
      </c>
      <c r="O888" t="s">
        <v>52</v>
      </c>
      <c r="P888" s="3">
        <v>0.06</v>
      </c>
      <c r="Q888" s="2">
        <v>201.54419999999999</v>
      </c>
      <c r="R888">
        <v>5</v>
      </c>
      <c r="S888" t="str">
        <f t="shared" si="13"/>
        <v>Abril</v>
      </c>
    </row>
    <row r="889" spans="1:19">
      <c r="A889">
        <v>888</v>
      </c>
      <c r="B889" s="1">
        <v>44311</v>
      </c>
      <c r="C889">
        <v>18</v>
      </c>
      <c r="D889" t="s">
        <v>83</v>
      </c>
      <c r="E889" t="s">
        <v>46</v>
      </c>
      <c r="F889">
        <v>25</v>
      </c>
      <c r="G889" s="2">
        <v>107</v>
      </c>
      <c r="H889" s="2">
        <v>2675</v>
      </c>
      <c r="I889" s="4">
        <v>0.06</v>
      </c>
      <c r="J889" s="2">
        <v>2514.5</v>
      </c>
      <c r="K889" s="1">
        <v>44312</v>
      </c>
      <c r="L889" s="1">
        <v>44312</v>
      </c>
      <c r="M889">
        <v>888</v>
      </c>
      <c r="N889">
        <v>7</v>
      </c>
      <c r="O889" t="s">
        <v>32</v>
      </c>
      <c r="P889" s="3">
        <v>0.05</v>
      </c>
      <c r="Q889" s="2">
        <v>125.72500000000001</v>
      </c>
      <c r="R889">
        <v>6</v>
      </c>
      <c r="S889" t="str">
        <f t="shared" si="13"/>
        <v>Abril</v>
      </c>
    </row>
    <row r="890" spans="1:19">
      <c r="A890">
        <v>889</v>
      </c>
      <c r="B890" s="1">
        <v>44312</v>
      </c>
      <c r="C890">
        <v>12</v>
      </c>
      <c r="D890" t="s">
        <v>45</v>
      </c>
      <c r="E890" t="s">
        <v>50</v>
      </c>
      <c r="F890">
        <v>30</v>
      </c>
      <c r="G890" s="2">
        <v>95</v>
      </c>
      <c r="H890" s="2">
        <v>2850</v>
      </c>
      <c r="I890" s="4">
        <v>0.12</v>
      </c>
      <c r="J890" s="2">
        <v>2508</v>
      </c>
      <c r="K890" s="1">
        <v>44333</v>
      </c>
      <c r="L890" s="1">
        <v>44333</v>
      </c>
      <c r="M890">
        <v>889</v>
      </c>
      <c r="N890">
        <v>1</v>
      </c>
      <c r="O890" t="s">
        <v>47</v>
      </c>
      <c r="P890" s="3">
        <v>0.08</v>
      </c>
      <c r="Q890" s="2">
        <v>200.64000000000001</v>
      </c>
      <c r="R890">
        <v>7</v>
      </c>
      <c r="S890" t="str">
        <f t="shared" si="13"/>
        <v>Abril</v>
      </c>
    </row>
    <row r="891" spans="1:19">
      <c r="A891">
        <v>890</v>
      </c>
      <c r="B891" s="1">
        <v>44312</v>
      </c>
      <c r="C891">
        <v>33</v>
      </c>
      <c r="D891" t="s">
        <v>76</v>
      </c>
      <c r="E891" t="s">
        <v>21</v>
      </c>
      <c r="F891">
        <v>27</v>
      </c>
      <c r="G891" s="2">
        <v>99</v>
      </c>
      <c r="H891" s="2">
        <v>2673</v>
      </c>
      <c r="I891" s="4">
        <v>7.0000000000000007E-2</v>
      </c>
      <c r="J891" s="2">
        <v>2485.89</v>
      </c>
      <c r="K891" s="1">
        <v>44335</v>
      </c>
      <c r="L891" s="1">
        <v>44335</v>
      </c>
      <c r="M891">
        <v>890</v>
      </c>
      <c r="N891">
        <v>1</v>
      </c>
      <c r="O891" t="s">
        <v>52</v>
      </c>
      <c r="P891" s="3">
        <v>0.09</v>
      </c>
      <c r="Q891" s="2">
        <v>223.73009999999999</v>
      </c>
      <c r="R891">
        <v>1</v>
      </c>
      <c r="S891" t="str">
        <f t="shared" si="13"/>
        <v>Abril</v>
      </c>
    </row>
    <row r="892" spans="1:19">
      <c r="A892">
        <v>891</v>
      </c>
      <c r="B892" s="1">
        <v>44312</v>
      </c>
      <c r="C892">
        <v>44</v>
      </c>
      <c r="D892" t="s">
        <v>71</v>
      </c>
      <c r="E892" t="s">
        <v>21</v>
      </c>
      <c r="F892">
        <v>26</v>
      </c>
      <c r="G892" s="2">
        <v>111</v>
      </c>
      <c r="H892" s="2">
        <v>2886</v>
      </c>
      <c r="I892" s="4">
        <v>0.09</v>
      </c>
      <c r="J892" s="2">
        <v>2626.26</v>
      </c>
      <c r="K892" s="1">
        <v>44328</v>
      </c>
      <c r="L892" s="1">
        <v>44328</v>
      </c>
      <c r="M892">
        <v>891</v>
      </c>
      <c r="N892">
        <v>1</v>
      </c>
      <c r="O892" t="s">
        <v>69</v>
      </c>
      <c r="P892" s="3">
        <v>7.0000000000000007E-2</v>
      </c>
      <c r="Q892" s="2">
        <v>183.83820000000003</v>
      </c>
      <c r="R892">
        <v>2</v>
      </c>
      <c r="S892" t="str">
        <f t="shared" si="13"/>
        <v>Abril</v>
      </c>
    </row>
    <row r="893" spans="1:19">
      <c r="A893">
        <v>892</v>
      </c>
      <c r="B893" s="1">
        <v>44312</v>
      </c>
      <c r="C893">
        <v>67</v>
      </c>
      <c r="D893" t="s">
        <v>106</v>
      </c>
      <c r="E893" t="s">
        <v>28</v>
      </c>
      <c r="F893">
        <v>14</v>
      </c>
      <c r="G893" s="2">
        <v>95</v>
      </c>
      <c r="H893" s="2">
        <v>1330</v>
      </c>
      <c r="I893" s="4">
        <v>0.15</v>
      </c>
      <c r="J893" s="2">
        <v>1130.5</v>
      </c>
      <c r="K893" s="1">
        <v>44321</v>
      </c>
      <c r="L893" s="1">
        <v>44321</v>
      </c>
      <c r="M893">
        <v>892</v>
      </c>
      <c r="N893">
        <v>1</v>
      </c>
      <c r="O893" t="s">
        <v>69</v>
      </c>
      <c r="P893" s="3">
        <v>0.08</v>
      </c>
      <c r="Q893" s="2">
        <v>90.44</v>
      </c>
      <c r="R893">
        <v>3</v>
      </c>
      <c r="S893" t="str">
        <f t="shared" si="13"/>
        <v>Abril</v>
      </c>
    </row>
    <row r="894" spans="1:19">
      <c r="A894">
        <v>893</v>
      </c>
      <c r="B894" s="1">
        <v>44313</v>
      </c>
      <c r="C894">
        <v>43</v>
      </c>
      <c r="D894" t="s">
        <v>99</v>
      </c>
      <c r="E894" t="s">
        <v>28</v>
      </c>
      <c r="F894">
        <v>33</v>
      </c>
      <c r="G894" s="2">
        <v>99</v>
      </c>
      <c r="H894" s="2">
        <v>3267</v>
      </c>
      <c r="I894" s="4">
        <v>0.11</v>
      </c>
      <c r="J894" s="2">
        <v>2907.63</v>
      </c>
      <c r="K894" s="1">
        <v>44314</v>
      </c>
      <c r="L894" s="1">
        <v>44314</v>
      </c>
      <c r="M894">
        <v>893</v>
      </c>
      <c r="N894">
        <v>3</v>
      </c>
      <c r="O894" t="s">
        <v>25</v>
      </c>
      <c r="P894" s="3">
        <v>0.1</v>
      </c>
      <c r="Q894" s="2">
        <v>290.76300000000003</v>
      </c>
      <c r="R894">
        <v>4</v>
      </c>
      <c r="S894" t="str">
        <f t="shared" si="13"/>
        <v>Abril</v>
      </c>
    </row>
    <row r="895" spans="1:19">
      <c r="A895">
        <v>894</v>
      </c>
      <c r="B895" s="1">
        <v>44313</v>
      </c>
      <c r="C895">
        <v>80</v>
      </c>
      <c r="D895" t="s">
        <v>38</v>
      </c>
      <c r="E895" t="s">
        <v>21</v>
      </c>
      <c r="F895">
        <v>10</v>
      </c>
      <c r="G895" s="2">
        <v>92</v>
      </c>
      <c r="H895" s="2">
        <v>920</v>
      </c>
      <c r="I895" s="4">
        <v>0.03</v>
      </c>
      <c r="J895" s="2">
        <v>892.4</v>
      </c>
      <c r="K895" s="1">
        <v>44334</v>
      </c>
      <c r="L895" s="1">
        <v>44334</v>
      </c>
      <c r="M895">
        <v>894</v>
      </c>
      <c r="N895">
        <v>4</v>
      </c>
      <c r="O895" t="s">
        <v>34</v>
      </c>
      <c r="P895" s="3">
        <v>0.09</v>
      </c>
      <c r="Q895" s="2">
        <v>80.315999999999988</v>
      </c>
      <c r="R895">
        <v>5</v>
      </c>
      <c r="S895" t="str">
        <f t="shared" si="13"/>
        <v>Abril</v>
      </c>
    </row>
    <row r="896" spans="1:19">
      <c r="A896">
        <v>895</v>
      </c>
      <c r="B896" s="1">
        <v>44314</v>
      </c>
      <c r="C896">
        <v>87</v>
      </c>
      <c r="D896" t="s">
        <v>40</v>
      </c>
      <c r="E896" t="s">
        <v>24</v>
      </c>
      <c r="F896">
        <v>43</v>
      </c>
      <c r="G896" s="2">
        <v>96</v>
      </c>
      <c r="H896" s="2">
        <v>4128</v>
      </c>
      <c r="I896" s="4">
        <v>7.0000000000000007E-2</v>
      </c>
      <c r="J896" s="2">
        <v>3839.04</v>
      </c>
      <c r="K896" s="1">
        <v>44315</v>
      </c>
      <c r="L896" s="1">
        <v>44315</v>
      </c>
      <c r="M896">
        <v>895</v>
      </c>
      <c r="N896">
        <v>2</v>
      </c>
      <c r="O896" t="s">
        <v>34</v>
      </c>
      <c r="P896" s="3">
        <v>0.06</v>
      </c>
      <c r="Q896" s="2">
        <v>230.3424</v>
      </c>
      <c r="R896">
        <v>6</v>
      </c>
      <c r="S896" t="str">
        <f t="shared" si="13"/>
        <v>Abril</v>
      </c>
    </row>
    <row r="897" spans="1:19">
      <c r="A897">
        <v>896</v>
      </c>
      <c r="B897" s="1">
        <v>44314</v>
      </c>
      <c r="C897">
        <v>42</v>
      </c>
      <c r="D897" t="s">
        <v>92</v>
      </c>
      <c r="E897" t="s">
        <v>50</v>
      </c>
      <c r="F897">
        <v>18</v>
      </c>
      <c r="G897" s="2">
        <v>105</v>
      </c>
      <c r="H897" s="2">
        <v>1890</v>
      </c>
      <c r="I897" s="4">
        <v>7.0000000000000007E-2</v>
      </c>
      <c r="J897" s="2">
        <v>1757.7</v>
      </c>
      <c r="K897" s="1">
        <v>44336</v>
      </c>
      <c r="L897" s="1">
        <v>44336</v>
      </c>
      <c r="M897">
        <v>896</v>
      </c>
      <c r="N897">
        <v>2</v>
      </c>
      <c r="O897" t="s">
        <v>25</v>
      </c>
      <c r="P897" s="3">
        <v>7.0000000000000007E-2</v>
      </c>
      <c r="Q897" s="2">
        <v>123.03900000000002</v>
      </c>
      <c r="R897">
        <v>7</v>
      </c>
      <c r="S897" t="str">
        <f t="shared" si="13"/>
        <v>Abril</v>
      </c>
    </row>
    <row r="898" spans="1:19">
      <c r="A898">
        <v>897</v>
      </c>
      <c r="B898" s="1">
        <v>44314</v>
      </c>
      <c r="C898">
        <v>31</v>
      </c>
      <c r="D898" t="s">
        <v>85</v>
      </c>
      <c r="E898" t="s">
        <v>50</v>
      </c>
      <c r="F898">
        <v>32</v>
      </c>
      <c r="G898" s="2">
        <v>100</v>
      </c>
      <c r="H898" s="2">
        <v>3200</v>
      </c>
      <c r="I898" s="4">
        <v>0.09</v>
      </c>
      <c r="J898" s="2">
        <v>2912</v>
      </c>
      <c r="K898" s="1">
        <v>44321</v>
      </c>
      <c r="L898" s="1">
        <v>44321</v>
      </c>
      <c r="M898">
        <v>897</v>
      </c>
      <c r="N898">
        <v>6</v>
      </c>
      <c r="O898" t="s">
        <v>22</v>
      </c>
      <c r="P898" s="3">
        <v>0.1</v>
      </c>
      <c r="Q898" s="2">
        <v>291.2</v>
      </c>
      <c r="R898">
        <v>1</v>
      </c>
      <c r="S898" t="str">
        <f t="shared" si="13"/>
        <v>Abril</v>
      </c>
    </row>
    <row r="899" spans="1:19">
      <c r="A899">
        <v>898</v>
      </c>
      <c r="B899" s="1">
        <v>44315</v>
      </c>
      <c r="C899">
        <v>7</v>
      </c>
      <c r="D899" t="s">
        <v>102</v>
      </c>
      <c r="E899" t="s">
        <v>31</v>
      </c>
      <c r="F899">
        <v>35</v>
      </c>
      <c r="G899" s="2">
        <v>113</v>
      </c>
      <c r="H899" s="2">
        <v>3955</v>
      </c>
      <c r="I899" s="4">
        <v>0.05</v>
      </c>
      <c r="J899" s="2">
        <v>3757.25</v>
      </c>
      <c r="K899" s="1">
        <v>44322</v>
      </c>
      <c r="M899">
        <v>898</v>
      </c>
      <c r="N899">
        <v>1</v>
      </c>
      <c r="O899" t="s">
        <v>47</v>
      </c>
      <c r="P899" s="3">
        <v>0.09</v>
      </c>
      <c r="Q899" s="2">
        <v>338.15249999999997</v>
      </c>
      <c r="R899">
        <v>2</v>
      </c>
      <c r="S899" t="str">
        <f t="shared" ref="S899:S962" si="14">PROPER(TEXT(B899,"mmmm"))</f>
        <v>Abril</v>
      </c>
    </row>
    <row r="900" spans="1:19">
      <c r="A900">
        <v>899</v>
      </c>
      <c r="B900" s="1">
        <v>44315</v>
      </c>
      <c r="C900">
        <v>54</v>
      </c>
      <c r="D900" t="s">
        <v>79</v>
      </c>
      <c r="E900" t="s">
        <v>46</v>
      </c>
      <c r="F900">
        <v>48</v>
      </c>
      <c r="G900" s="2">
        <v>102</v>
      </c>
      <c r="H900" s="2">
        <v>4896</v>
      </c>
      <c r="I900" s="4">
        <v>0.15</v>
      </c>
      <c r="J900" s="2">
        <v>4161.6000000000004</v>
      </c>
      <c r="K900" s="1">
        <v>44319</v>
      </c>
      <c r="L900" s="1">
        <v>44319</v>
      </c>
      <c r="M900">
        <v>899</v>
      </c>
      <c r="N900">
        <v>1</v>
      </c>
      <c r="O900" t="s">
        <v>34</v>
      </c>
      <c r="P900" s="3">
        <v>0.09</v>
      </c>
      <c r="Q900" s="2">
        <v>374.54400000000004</v>
      </c>
      <c r="R900">
        <v>3</v>
      </c>
      <c r="S900" t="str">
        <f t="shared" si="14"/>
        <v>Abril</v>
      </c>
    </row>
    <row r="901" spans="1:19">
      <c r="A901">
        <v>900</v>
      </c>
      <c r="B901" s="1">
        <v>44315</v>
      </c>
      <c r="C901">
        <v>22</v>
      </c>
      <c r="D901" t="s">
        <v>51</v>
      </c>
      <c r="E901" t="s">
        <v>50</v>
      </c>
      <c r="F901">
        <v>35</v>
      </c>
      <c r="G901" s="2">
        <v>111</v>
      </c>
      <c r="H901" s="2">
        <v>3885</v>
      </c>
      <c r="I901" s="4">
        <v>0.06</v>
      </c>
      <c r="J901" s="2">
        <v>3651.9</v>
      </c>
      <c r="K901" s="1">
        <v>44322</v>
      </c>
      <c r="L901" s="1">
        <v>44322</v>
      </c>
      <c r="M901">
        <v>900</v>
      </c>
      <c r="N901">
        <v>5</v>
      </c>
      <c r="O901" t="s">
        <v>32</v>
      </c>
      <c r="P901" s="3">
        <v>0.1</v>
      </c>
      <c r="Q901" s="2">
        <v>365.19000000000005</v>
      </c>
      <c r="R901">
        <v>4</v>
      </c>
      <c r="S901" t="str">
        <f t="shared" si="14"/>
        <v>Abril</v>
      </c>
    </row>
    <row r="902" spans="1:19">
      <c r="A902">
        <v>901</v>
      </c>
      <c r="B902" s="1">
        <v>44315</v>
      </c>
      <c r="C902">
        <v>39</v>
      </c>
      <c r="D902" t="s">
        <v>38</v>
      </c>
      <c r="E902" t="s">
        <v>31</v>
      </c>
      <c r="F902">
        <v>46</v>
      </c>
      <c r="G902" s="2">
        <v>112</v>
      </c>
      <c r="H902" s="2">
        <v>5152</v>
      </c>
      <c r="I902" s="4">
        <v>0.02</v>
      </c>
      <c r="J902" s="2">
        <v>5048.96</v>
      </c>
      <c r="K902" s="1">
        <v>44330</v>
      </c>
      <c r="L902" s="1">
        <v>44330</v>
      </c>
      <c r="M902">
        <v>901</v>
      </c>
      <c r="N902">
        <v>4</v>
      </c>
      <c r="O902" t="s">
        <v>43</v>
      </c>
      <c r="P902" s="3">
        <v>0.05</v>
      </c>
      <c r="Q902" s="2">
        <v>252.44800000000001</v>
      </c>
      <c r="R902">
        <v>5</v>
      </c>
      <c r="S902" t="str">
        <f t="shared" si="14"/>
        <v>Abril</v>
      </c>
    </row>
    <row r="903" spans="1:19">
      <c r="A903">
        <v>902</v>
      </c>
      <c r="B903" s="1">
        <v>44316</v>
      </c>
      <c r="C903">
        <v>100</v>
      </c>
      <c r="D903" t="s">
        <v>38</v>
      </c>
      <c r="E903" t="s">
        <v>55</v>
      </c>
      <c r="F903">
        <v>31</v>
      </c>
      <c r="G903" s="2">
        <v>109</v>
      </c>
      <c r="H903" s="2">
        <v>3379</v>
      </c>
      <c r="I903" s="4">
        <v>0.08</v>
      </c>
      <c r="J903" s="2">
        <v>3108.68</v>
      </c>
      <c r="K903" s="1">
        <v>44344</v>
      </c>
      <c r="L903" s="1">
        <v>44344</v>
      </c>
      <c r="M903">
        <v>902</v>
      </c>
      <c r="N903">
        <v>6</v>
      </c>
      <c r="O903" t="s">
        <v>52</v>
      </c>
      <c r="P903" s="3">
        <v>7.0000000000000007E-2</v>
      </c>
      <c r="Q903" s="2">
        <v>217.60760000000002</v>
      </c>
      <c r="R903">
        <v>6</v>
      </c>
      <c r="S903" t="str">
        <f t="shared" si="14"/>
        <v>Abril</v>
      </c>
    </row>
    <row r="904" spans="1:19">
      <c r="A904">
        <v>903</v>
      </c>
      <c r="B904" s="1">
        <v>44316</v>
      </c>
      <c r="C904">
        <v>28</v>
      </c>
      <c r="D904" t="s">
        <v>86</v>
      </c>
      <c r="E904" t="s">
        <v>46</v>
      </c>
      <c r="F904">
        <v>40</v>
      </c>
      <c r="G904" s="2">
        <v>103</v>
      </c>
      <c r="H904" s="2">
        <v>4120</v>
      </c>
      <c r="I904" s="4">
        <v>0.08</v>
      </c>
      <c r="J904" s="2">
        <v>3790.4</v>
      </c>
      <c r="K904" s="1">
        <v>44328</v>
      </c>
      <c r="L904" s="1">
        <v>44328</v>
      </c>
      <c r="M904">
        <v>903</v>
      </c>
      <c r="N904">
        <v>6</v>
      </c>
      <c r="O904" t="s">
        <v>52</v>
      </c>
      <c r="P904" s="3">
        <v>7.0000000000000007E-2</v>
      </c>
      <c r="Q904" s="2">
        <v>265.32800000000003</v>
      </c>
      <c r="R904">
        <v>7</v>
      </c>
      <c r="S904" t="str">
        <f t="shared" si="14"/>
        <v>Abril</v>
      </c>
    </row>
    <row r="905" spans="1:19">
      <c r="A905">
        <v>904</v>
      </c>
      <c r="B905" s="1">
        <v>44316</v>
      </c>
      <c r="C905">
        <v>65</v>
      </c>
      <c r="D905" t="s">
        <v>64</v>
      </c>
      <c r="E905" t="s">
        <v>28</v>
      </c>
      <c r="F905">
        <v>20</v>
      </c>
      <c r="G905" s="2">
        <v>90</v>
      </c>
      <c r="H905" s="2">
        <v>1800</v>
      </c>
      <c r="I905" s="4">
        <v>0.01</v>
      </c>
      <c r="J905" s="2">
        <v>1782</v>
      </c>
      <c r="K905" s="1">
        <v>44337</v>
      </c>
      <c r="L905" s="1">
        <v>44337</v>
      </c>
      <c r="M905">
        <v>904</v>
      </c>
      <c r="N905">
        <v>5</v>
      </c>
      <c r="O905" t="s">
        <v>32</v>
      </c>
      <c r="P905" s="3">
        <v>0.08</v>
      </c>
      <c r="Q905" s="2">
        <v>142.56</v>
      </c>
      <c r="R905">
        <v>1</v>
      </c>
      <c r="S905" t="str">
        <f t="shared" si="14"/>
        <v>Abril</v>
      </c>
    </row>
    <row r="906" spans="1:19">
      <c r="A906">
        <v>905</v>
      </c>
      <c r="B906" s="1">
        <v>44318</v>
      </c>
      <c r="C906">
        <v>20</v>
      </c>
      <c r="D906" t="s">
        <v>39</v>
      </c>
      <c r="E906" t="s">
        <v>50</v>
      </c>
      <c r="F906">
        <v>11</v>
      </c>
      <c r="G906" s="2">
        <v>105</v>
      </c>
      <c r="H906" s="2">
        <v>1155</v>
      </c>
      <c r="I906" s="4">
        <v>0.04</v>
      </c>
      <c r="J906" s="2">
        <v>1108.8</v>
      </c>
      <c r="K906" s="1">
        <v>44338</v>
      </c>
      <c r="M906">
        <v>905</v>
      </c>
      <c r="N906">
        <v>6</v>
      </c>
      <c r="O906" t="s">
        <v>25</v>
      </c>
      <c r="P906" s="3">
        <v>0.1</v>
      </c>
      <c r="Q906" s="2">
        <v>110.88</v>
      </c>
      <c r="R906">
        <v>2</v>
      </c>
      <c r="S906" t="str">
        <f t="shared" si="14"/>
        <v>Maio</v>
      </c>
    </row>
    <row r="907" spans="1:19">
      <c r="A907">
        <v>906</v>
      </c>
      <c r="B907" s="1">
        <v>44318</v>
      </c>
      <c r="C907">
        <v>83</v>
      </c>
      <c r="D907" t="s">
        <v>100</v>
      </c>
      <c r="E907" t="s">
        <v>59</v>
      </c>
      <c r="F907">
        <v>29</v>
      </c>
      <c r="G907" s="2">
        <v>109</v>
      </c>
      <c r="H907" s="2">
        <v>3161</v>
      </c>
      <c r="I907" s="4">
        <v>0.11</v>
      </c>
      <c r="J907" s="2">
        <v>2813.29</v>
      </c>
      <c r="K907" s="1">
        <v>44341</v>
      </c>
      <c r="L907" s="1">
        <v>44341</v>
      </c>
      <c r="M907">
        <v>906</v>
      </c>
      <c r="N907">
        <v>7</v>
      </c>
      <c r="O907" t="s">
        <v>69</v>
      </c>
      <c r="P907" s="3">
        <v>0.06</v>
      </c>
      <c r="Q907" s="2">
        <v>168.79739999999998</v>
      </c>
      <c r="R907">
        <v>3</v>
      </c>
      <c r="S907" t="str">
        <f t="shared" si="14"/>
        <v>Maio</v>
      </c>
    </row>
    <row r="908" spans="1:19">
      <c r="A908">
        <v>907</v>
      </c>
      <c r="B908" s="1">
        <v>44319</v>
      </c>
      <c r="C908">
        <v>17</v>
      </c>
      <c r="D908" t="s">
        <v>67</v>
      </c>
      <c r="E908" t="s">
        <v>46</v>
      </c>
      <c r="F908">
        <v>15</v>
      </c>
      <c r="G908" s="2">
        <v>110</v>
      </c>
      <c r="H908" s="2">
        <v>1650</v>
      </c>
      <c r="I908" s="4">
        <v>0.13</v>
      </c>
      <c r="J908" s="2">
        <v>1435.5</v>
      </c>
      <c r="K908" s="1">
        <v>44340</v>
      </c>
      <c r="L908" s="1">
        <v>44340</v>
      </c>
      <c r="M908">
        <v>907</v>
      </c>
      <c r="N908">
        <v>4</v>
      </c>
      <c r="O908" t="s">
        <v>29</v>
      </c>
      <c r="P908" s="3">
        <v>0.06</v>
      </c>
      <c r="Q908" s="2">
        <v>86.13</v>
      </c>
      <c r="R908">
        <v>4</v>
      </c>
      <c r="S908" t="str">
        <f t="shared" si="14"/>
        <v>Maio</v>
      </c>
    </row>
    <row r="909" spans="1:19">
      <c r="A909">
        <v>908</v>
      </c>
      <c r="B909" s="1">
        <v>44319</v>
      </c>
      <c r="C909">
        <v>95</v>
      </c>
      <c r="D909" t="s">
        <v>38</v>
      </c>
      <c r="E909" t="s">
        <v>46</v>
      </c>
      <c r="F909">
        <v>12</v>
      </c>
      <c r="G909" s="2">
        <v>103</v>
      </c>
      <c r="H909" s="2">
        <v>1236</v>
      </c>
      <c r="I909" s="4">
        <v>0.1</v>
      </c>
      <c r="J909" s="2">
        <v>1112.4000000000001</v>
      </c>
      <c r="K909" s="1">
        <v>44329</v>
      </c>
      <c r="L909" s="1">
        <v>44329</v>
      </c>
      <c r="M909">
        <v>908</v>
      </c>
      <c r="N909">
        <v>7</v>
      </c>
      <c r="O909" t="s">
        <v>47</v>
      </c>
      <c r="P909" s="3">
        <v>0.09</v>
      </c>
      <c r="Q909" s="2">
        <v>100.116</v>
      </c>
      <c r="R909">
        <v>5</v>
      </c>
      <c r="S909" t="str">
        <f t="shared" si="14"/>
        <v>Maio</v>
      </c>
    </row>
    <row r="910" spans="1:19">
      <c r="A910">
        <v>909</v>
      </c>
      <c r="B910" s="1">
        <v>44319</v>
      </c>
      <c r="C910">
        <v>64</v>
      </c>
      <c r="D910" t="s">
        <v>78</v>
      </c>
      <c r="E910" t="s">
        <v>21</v>
      </c>
      <c r="F910">
        <v>40</v>
      </c>
      <c r="G910" s="2">
        <v>92</v>
      </c>
      <c r="H910" s="2">
        <v>3680</v>
      </c>
      <c r="I910" s="4">
        <v>0.1</v>
      </c>
      <c r="J910" s="2">
        <v>3312</v>
      </c>
      <c r="K910" s="1">
        <v>44339</v>
      </c>
      <c r="L910" s="1">
        <v>44339</v>
      </c>
      <c r="M910">
        <v>909</v>
      </c>
      <c r="N910">
        <v>2</v>
      </c>
      <c r="O910" t="s">
        <v>47</v>
      </c>
      <c r="P910" s="3">
        <v>7.0000000000000007E-2</v>
      </c>
      <c r="Q910" s="2">
        <v>231.84000000000003</v>
      </c>
      <c r="R910">
        <v>6</v>
      </c>
      <c r="S910" t="str">
        <f t="shared" si="14"/>
        <v>Maio</v>
      </c>
    </row>
    <row r="911" spans="1:19">
      <c r="A911">
        <v>910</v>
      </c>
      <c r="B911" s="1">
        <v>44321</v>
      </c>
      <c r="C911">
        <v>12</v>
      </c>
      <c r="D911" t="s">
        <v>45</v>
      </c>
      <c r="E911" t="s">
        <v>50</v>
      </c>
      <c r="F911">
        <v>23</v>
      </c>
      <c r="G911" s="2">
        <v>104</v>
      </c>
      <c r="H911" s="2">
        <v>2392</v>
      </c>
      <c r="I911" s="4">
        <v>0.14000000000000001</v>
      </c>
      <c r="J911" s="2">
        <v>2057.12</v>
      </c>
      <c r="K911" s="1">
        <v>44332</v>
      </c>
      <c r="L911" s="1">
        <v>44332</v>
      </c>
      <c r="M911">
        <v>910</v>
      </c>
      <c r="N911">
        <v>6</v>
      </c>
      <c r="O911" t="s">
        <v>69</v>
      </c>
      <c r="P911" s="3">
        <v>0.05</v>
      </c>
      <c r="Q911" s="2">
        <v>102.85599999999999</v>
      </c>
      <c r="R911">
        <v>7</v>
      </c>
      <c r="S911" t="str">
        <f t="shared" si="14"/>
        <v>Maio</v>
      </c>
    </row>
    <row r="912" spans="1:19">
      <c r="A912">
        <v>911</v>
      </c>
      <c r="B912" s="1">
        <v>44321</v>
      </c>
      <c r="C912">
        <v>67</v>
      </c>
      <c r="D912" t="s">
        <v>106</v>
      </c>
      <c r="E912" t="s">
        <v>55</v>
      </c>
      <c r="F912">
        <v>12</v>
      </c>
      <c r="G912" s="2">
        <v>92</v>
      </c>
      <c r="H912" s="2">
        <v>1104</v>
      </c>
      <c r="I912" s="4">
        <v>0.05</v>
      </c>
      <c r="J912" s="2">
        <v>1048.8</v>
      </c>
      <c r="K912" s="1">
        <v>44346</v>
      </c>
      <c r="L912" s="1">
        <v>44346</v>
      </c>
      <c r="M912">
        <v>911</v>
      </c>
      <c r="N912">
        <v>1</v>
      </c>
      <c r="O912" t="s">
        <v>43</v>
      </c>
      <c r="P912" s="3">
        <v>0.09</v>
      </c>
      <c r="Q912" s="2">
        <v>94.391999999999996</v>
      </c>
      <c r="R912">
        <v>1</v>
      </c>
      <c r="S912" t="str">
        <f t="shared" si="14"/>
        <v>Maio</v>
      </c>
    </row>
    <row r="913" spans="1:19">
      <c r="A913">
        <v>912</v>
      </c>
      <c r="B913" s="1">
        <v>44322</v>
      </c>
      <c r="C913">
        <v>50</v>
      </c>
      <c r="D913" t="s">
        <v>81</v>
      </c>
      <c r="E913" t="s">
        <v>54</v>
      </c>
      <c r="F913">
        <v>11</v>
      </c>
      <c r="G913" s="2">
        <v>119</v>
      </c>
      <c r="H913" s="2">
        <v>1309</v>
      </c>
      <c r="I913" s="4">
        <v>0.14000000000000001</v>
      </c>
      <c r="J913" s="2">
        <v>1125.74</v>
      </c>
      <c r="K913" s="1">
        <v>44323</v>
      </c>
      <c r="L913" s="1">
        <v>44323</v>
      </c>
      <c r="M913">
        <v>912</v>
      </c>
      <c r="N913">
        <v>4</v>
      </c>
      <c r="O913" t="s">
        <v>43</v>
      </c>
      <c r="P913" s="3">
        <v>0.1</v>
      </c>
      <c r="Q913" s="2">
        <v>112.57400000000001</v>
      </c>
      <c r="R913">
        <v>2</v>
      </c>
      <c r="S913" t="str">
        <f t="shared" si="14"/>
        <v>Maio</v>
      </c>
    </row>
    <row r="914" spans="1:19">
      <c r="A914">
        <v>913</v>
      </c>
      <c r="B914" s="1">
        <v>44322</v>
      </c>
      <c r="C914">
        <v>86</v>
      </c>
      <c r="D914" t="s">
        <v>90</v>
      </c>
      <c r="E914" t="s">
        <v>24</v>
      </c>
      <c r="F914">
        <v>18</v>
      </c>
      <c r="G914" s="2">
        <v>102</v>
      </c>
      <c r="H914" s="2">
        <v>1836</v>
      </c>
      <c r="I914" s="4">
        <v>0.06</v>
      </c>
      <c r="J914" s="2">
        <v>1725.84</v>
      </c>
      <c r="K914" s="1">
        <v>44322</v>
      </c>
      <c r="L914" s="1">
        <v>44322</v>
      </c>
      <c r="M914">
        <v>913</v>
      </c>
      <c r="N914">
        <v>1</v>
      </c>
      <c r="O914" t="s">
        <v>25</v>
      </c>
      <c r="P914" s="3">
        <v>0.1</v>
      </c>
      <c r="Q914" s="2">
        <v>172.584</v>
      </c>
      <c r="R914">
        <v>3</v>
      </c>
      <c r="S914" t="str">
        <f t="shared" si="14"/>
        <v>Maio</v>
      </c>
    </row>
    <row r="915" spans="1:19">
      <c r="A915">
        <v>914</v>
      </c>
      <c r="B915" s="1">
        <v>44323</v>
      </c>
      <c r="C915">
        <v>86</v>
      </c>
      <c r="D915" t="s">
        <v>90</v>
      </c>
      <c r="E915" t="s">
        <v>28</v>
      </c>
      <c r="F915">
        <v>40</v>
      </c>
      <c r="G915" s="2">
        <v>107</v>
      </c>
      <c r="H915" s="2">
        <v>4280</v>
      </c>
      <c r="I915" s="4">
        <v>0.12</v>
      </c>
      <c r="J915" s="2">
        <v>3766.4</v>
      </c>
      <c r="K915" s="1">
        <v>44342</v>
      </c>
      <c r="L915" s="1">
        <v>44342</v>
      </c>
      <c r="M915">
        <v>914</v>
      </c>
      <c r="N915">
        <v>3</v>
      </c>
      <c r="O915" t="s">
        <v>47</v>
      </c>
      <c r="P915" s="3">
        <v>0.06</v>
      </c>
      <c r="Q915" s="2">
        <v>225.98400000000001</v>
      </c>
      <c r="R915">
        <v>4</v>
      </c>
      <c r="S915" t="str">
        <f t="shared" si="14"/>
        <v>Maio</v>
      </c>
    </row>
    <row r="916" spans="1:19">
      <c r="A916">
        <v>915</v>
      </c>
      <c r="B916" s="1">
        <v>44323</v>
      </c>
      <c r="C916">
        <v>42</v>
      </c>
      <c r="D916" t="s">
        <v>92</v>
      </c>
      <c r="E916" t="s">
        <v>31</v>
      </c>
      <c r="F916">
        <v>20</v>
      </c>
      <c r="G916" s="2">
        <v>115</v>
      </c>
      <c r="H916" s="2">
        <v>2300</v>
      </c>
      <c r="I916" s="4">
        <v>0.05</v>
      </c>
      <c r="J916" s="2">
        <v>2185</v>
      </c>
      <c r="K916" s="1">
        <v>44342</v>
      </c>
      <c r="L916" s="1">
        <v>44342</v>
      </c>
      <c r="M916">
        <v>915</v>
      </c>
      <c r="N916">
        <v>5</v>
      </c>
      <c r="O916" t="s">
        <v>37</v>
      </c>
      <c r="P916" s="3">
        <v>0.05</v>
      </c>
      <c r="Q916" s="2">
        <v>109.25</v>
      </c>
      <c r="R916">
        <v>5</v>
      </c>
      <c r="S916" t="str">
        <f t="shared" si="14"/>
        <v>Maio</v>
      </c>
    </row>
    <row r="917" spans="1:19">
      <c r="A917">
        <v>916</v>
      </c>
      <c r="B917" s="1">
        <v>44324</v>
      </c>
      <c r="C917">
        <v>58</v>
      </c>
      <c r="D917" t="s">
        <v>72</v>
      </c>
      <c r="E917" t="s">
        <v>31</v>
      </c>
      <c r="F917">
        <v>16</v>
      </c>
      <c r="G917" s="2">
        <v>116</v>
      </c>
      <c r="H917" s="2">
        <v>1856</v>
      </c>
      <c r="I917" s="4">
        <v>0.14000000000000001</v>
      </c>
      <c r="J917" s="2">
        <v>1596.1599999999999</v>
      </c>
      <c r="K917" s="1">
        <v>44354</v>
      </c>
      <c r="L917" s="1">
        <v>44354</v>
      </c>
      <c r="M917">
        <v>916</v>
      </c>
      <c r="N917">
        <v>3</v>
      </c>
      <c r="O917" t="s">
        <v>25</v>
      </c>
      <c r="P917" s="3">
        <v>0.1</v>
      </c>
      <c r="Q917" s="2">
        <v>159.61599999999999</v>
      </c>
      <c r="R917">
        <v>6</v>
      </c>
      <c r="S917" t="str">
        <f t="shared" si="14"/>
        <v>Maio</v>
      </c>
    </row>
    <row r="918" spans="1:19">
      <c r="A918">
        <v>917</v>
      </c>
      <c r="B918" s="1">
        <v>44324</v>
      </c>
      <c r="C918">
        <v>30</v>
      </c>
      <c r="D918" t="s">
        <v>96</v>
      </c>
      <c r="E918" t="s">
        <v>50</v>
      </c>
      <c r="F918">
        <v>36</v>
      </c>
      <c r="G918" s="2">
        <v>119</v>
      </c>
      <c r="H918" s="2">
        <v>4284</v>
      </c>
      <c r="I918" s="4">
        <v>0.04</v>
      </c>
      <c r="J918" s="2">
        <v>4112.6400000000003</v>
      </c>
      <c r="K918" s="1">
        <v>44326</v>
      </c>
      <c r="L918" s="1">
        <v>44326</v>
      </c>
      <c r="M918">
        <v>917</v>
      </c>
      <c r="N918">
        <v>2</v>
      </c>
      <c r="O918" t="s">
        <v>34</v>
      </c>
      <c r="P918" s="3">
        <v>0.09</v>
      </c>
      <c r="Q918" s="2">
        <v>370.13760000000002</v>
      </c>
      <c r="R918">
        <v>7</v>
      </c>
      <c r="S918" t="str">
        <f t="shared" si="14"/>
        <v>Maio</v>
      </c>
    </row>
    <row r="919" spans="1:19">
      <c r="A919">
        <v>918</v>
      </c>
      <c r="B919" s="1">
        <v>44326</v>
      </c>
      <c r="C919">
        <v>99</v>
      </c>
      <c r="D919" t="s">
        <v>84</v>
      </c>
      <c r="E919" t="s">
        <v>31</v>
      </c>
      <c r="F919">
        <v>37</v>
      </c>
      <c r="G919" s="2">
        <v>119</v>
      </c>
      <c r="H919" s="2">
        <v>4403</v>
      </c>
      <c r="I919" s="4">
        <v>0.08</v>
      </c>
      <c r="J919" s="2">
        <v>4050.76</v>
      </c>
      <c r="K919" s="1">
        <v>44347</v>
      </c>
      <c r="L919" s="1">
        <v>44347</v>
      </c>
      <c r="M919">
        <v>918</v>
      </c>
      <c r="N919">
        <v>3</v>
      </c>
      <c r="O919" t="s">
        <v>29</v>
      </c>
      <c r="P919" s="3">
        <v>0.05</v>
      </c>
      <c r="Q919" s="2">
        <v>202.53800000000001</v>
      </c>
      <c r="R919">
        <v>1</v>
      </c>
      <c r="S919" t="str">
        <f t="shared" si="14"/>
        <v>Maio</v>
      </c>
    </row>
    <row r="920" spans="1:19">
      <c r="A920">
        <v>919</v>
      </c>
      <c r="B920" s="1">
        <v>44327</v>
      </c>
      <c r="C920">
        <v>1</v>
      </c>
      <c r="D920" t="s">
        <v>93</v>
      </c>
      <c r="E920" t="s">
        <v>54</v>
      </c>
      <c r="F920">
        <v>43</v>
      </c>
      <c r="G920" s="2">
        <v>91</v>
      </c>
      <c r="H920" s="2">
        <v>3913</v>
      </c>
      <c r="I920" s="4">
        <v>0.06</v>
      </c>
      <c r="J920" s="2">
        <v>3678.22</v>
      </c>
      <c r="K920" s="1">
        <v>44355</v>
      </c>
      <c r="L920" s="1">
        <v>44355</v>
      </c>
      <c r="M920">
        <v>919</v>
      </c>
      <c r="N920">
        <v>3</v>
      </c>
      <c r="O920" t="s">
        <v>34</v>
      </c>
      <c r="P920" s="3">
        <v>7.0000000000000007E-2</v>
      </c>
      <c r="Q920" s="2">
        <v>257.47540000000004</v>
      </c>
      <c r="R920">
        <v>2</v>
      </c>
      <c r="S920" t="str">
        <f t="shared" si="14"/>
        <v>Maio</v>
      </c>
    </row>
    <row r="921" spans="1:19">
      <c r="A921">
        <v>920</v>
      </c>
      <c r="B921" s="1">
        <v>44327</v>
      </c>
      <c r="C921">
        <v>29</v>
      </c>
      <c r="D921" t="s">
        <v>98</v>
      </c>
      <c r="E921" t="s">
        <v>24</v>
      </c>
      <c r="F921">
        <v>21</v>
      </c>
      <c r="G921" s="2">
        <v>115</v>
      </c>
      <c r="H921" s="2">
        <v>2415</v>
      </c>
      <c r="I921" s="4">
        <v>0.02</v>
      </c>
      <c r="J921" s="2">
        <v>2366.6999999999998</v>
      </c>
      <c r="K921" s="1">
        <v>44337</v>
      </c>
      <c r="L921" s="1">
        <v>44337</v>
      </c>
      <c r="M921">
        <v>920</v>
      </c>
      <c r="N921">
        <v>2</v>
      </c>
      <c r="O921" t="s">
        <v>34</v>
      </c>
      <c r="P921" s="3">
        <v>0.05</v>
      </c>
      <c r="Q921" s="2">
        <v>118.33499999999999</v>
      </c>
      <c r="R921">
        <v>3</v>
      </c>
      <c r="S921" t="str">
        <f t="shared" si="14"/>
        <v>Maio</v>
      </c>
    </row>
    <row r="922" spans="1:19">
      <c r="A922">
        <v>921</v>
      </c>
      <c r="B922" s="1">
        <v>44327</v>
      </c>
      <c r="C922">
        <v>79</v>
      </c>
      <c r="D922" t="s">
        <v>33</v>
      </c>
      <c r="E922" t="s">
        <v>31</v>
      </c>
      <c r="F922">
        <v>48</v>
      </c>
      <c r="G922" s="2">
        <v>106</v>
      </c>
      <c r="H922" s="2">
        <v>5088</v>
      </c>
      <c r="I922" s="4">
        <v>0.11</v>
      </c>
      <c r="J922" s="2">
        <v>4528.32</v>
      </c>
      <c r="K922" s="1">
        <v>44356</v>
      </c>
      <c r="L922" s="1">
        <v>44356</v>
      </c>
      <c r="M922">
        <v>921</v>
      </c>
      <c r="N922">
        <v>3</v>
      </c>
      <c r="O922" t="s">
        <v>43</v>
      </c>
      <c r="P922" s="3">
        <v>0.09</v>
      </c>
      <c r="Q922" s="2">
        <v>407.54879999999997</v>
      </c>
      <c r="R922">
        <v>4</v>
      </c>
      <c r="S922" t="str">
        <f t="shared" si="14"/>
        <v>Maio</v>
      </c>
    </row>
    <row r="923" spans="1:19">
      <c r="A923">
        <v>922</v>
      </c>
      <c r="B923" s="1">
        <v>44327</v>
      </c>
      <c r="C923">
        <v>44</v>
      </c>
      <c r="D923" t="s">
        <v>71</v>
      </c>
      <c r="E923" t="s">
        <v>46</v>
      </c>
      <c r="F923">
        <v>25</v>
      </c>
      <c r="G923" s="2">
        <v>117</v>
      </c>
      <c r="H923" s="2">
        <v>2925</v>
      </c>
      <c r="I923" s="4">
        <v>7.0000000000000007E-2</v>
      </c>
      <c r="J923" s="2">
        <v>2720.25</v>
      </c>
      <c r="K923" s="1">
        <v>44340</v>
      </c>
      <c r="L923" s="1">
        <v>44340</v>
      </c>
      <c r="M923">
        <v>922</v>
      </c>
      <c r="N923">
        <v>5</v>
      </c>
      <c r="O923" t="s">
        <v>37</v>
      </c>
      <c r="P923" s="3">
        <v>7.0000000000000007E-2</v>
      </c>
      <c r="Q923" s="2">
        <v>190.41750000000002</v>
      </c>
      <c r="R923">
        <v>5</v>
      </c>
      <c r="S923" t="str">
        <f t="shared" si="14"/>
        <v>Maio</v>
      </c>
    </row>
    <row r="924" spans="1:19">
      <c r="A924">
        <v>923</v>
      </c>
      <c r="B924" s="1">
        <v>44328</v>
      </c>
      <c r="C924">
        <v>27</v>
      </c>
      <c r="D924" t="s">
        <v>101</v>
      </c>
      <c r="E924" t="s">
        <v>59</v>
      </c>
      <c r="F924">
        <v>45</v>
      </c>
      <c r="G924" s="2">
        <v>100</v>
      </c>
      <c r="H924" s="2">
        <v>4500</v>
      </c>
      <c r="I924" s="4">
        <v>0.08</v>
      </c>
      <c r="J924" s="2">
        <v>4140</v>
      </c>
      <c r="K924" s="1">
        <v>44346</v>
      </c>
      <c r="L924" s="1">
        <v>44346</v>
      </c>
      <c r="M924">
        <v>923</v>
      </c>
      <c r="N924">
        <v>1</v>
      </c>
      <c r="O924" t="s">
        <v>69</v>
      </c>
      <c r="P924" s="3">
        <v>0.06</v>
      </c>
      <c r="Q924" s="2">
        <v>248.39999999999998</v>
      </c>
      <c r="R924">
        <v>6</v>
      </c>
      <c r="S924" t="str">
        <f t="shared" si="14"/>
        <v>Maio</v>
      </c>
    </row>
    <row r="925" spans="1:19">
      <c r="A925">
        <v>924</v>
      </c>
      <c r="B925" s="1">
        <v>44328</v>
      </c>
      <c r="C925">
        <v>9</v>
      </c>
      <c r="D925" t="s">
        <v>36</v>
      </c>
      <c r="E925" t="s">
        <v>24</v>
      </c>
      <c r="F925">
        <v>24</v>
      </c>
      <c r="G925" s="2">
        <v>106</v>
      </c>
      <c r="H925" s="2">
        <v>2544</v>
      </c>
      <c r="I925" s="4">
        <v>0.01</v>
      </c>
      <c r="J925" s="2">
        <v>2518.56</v>
      </c>
      <c r="K925" s="1">
        <v>44354</v>
      </c>
      <c r="L925" s="1">
        <v>44354</v>
      </c>
      <c r="M925">
        <v>924</v>
      </c>
      <c r="N925">
        <v>6</v>
      </c>
      <c r="O925" t="s">
        <v>69</v>
      </c>
      <c r="P925" s="3">
        <v>0.09</v>
      </c>
      <c r="Q925" s="2">
        <v>226.6704</v>
      </c>
      <c r="R925">
        <v>7</v>
      </c>
      <c r="S925" t="str">
        <f t="shared" si="14"/>
        <v>Maio</v>
      </c>
    </row>
    <row r="926" spans="1:19">
      <c r="A926">
        <v>925</v>
      </c>
      <c r="B926" s="1">
        <v>44329</v>
      </c>
      <c r="C926">
        <v>32</v>
      </c>
      <c r="D926" t="s">
        <v>77</v>
      </c>
      <c r="E926" t="s">
        <v>24</v>
      </c>
      <c r="F926">
        <v>48</v>
      </c>
      <c r="G926" s="2">
        <v>113</v>
      </c>
      <c r="H926" s="2">
        <v>5424</v>
      </c>
      <c r="I926" s="4">
        <v>0.01</v>
      </c>
      <c r="J926" s="2">
        <v>5369.76</v>
      </c>
      <c r="K926" s="1">
        <v>44357</v>
      </c>
      <c r="L926" s="1">
        <v>44357</v>
      </c>
      <c r="M926">
        <v>925</v>
      </c>
      <c r="N926">
        <v>6</v>
      </c>
      <c r="O926" t="s">
        <v>25</v>
      </c>
      <c r="P926" s="3">
        <v>0.09</v>
      </c>
      <c r="Q926" s="2">
        <v>483.27839999999998</v>
      </c>
      <c r="R926">
        <v>1</v>
      </c>
      <c r="S926" t="str">
        <f t="shared" si="14"/>
        <v>Maio</v>
      </c>
    </row>
    <row r="927" spans="1:19">
      <c r="A927">
        <v>926</v>
      </c>
      <c r="B927" s="1">
        <v>44330</v>
      </c>
      <c r="C927">
        <v>97</v>
      </c>
      <c r="D927" t="s">
        <v>66</v>
      </c>
      <c r="E927" t="s">
        <v>59</v>
      </c>
      <c r="F927">
        <v>30</v>
      </c>
      <c r="G927" s="2">
        <v>99</v>
      </c>
      <c r="H927" s="2">
        <v>2970</v>
      </c>
      <c r="I927" s="4">
        <v>0</v>
      </c>
      <c r="J927" s="2">
        <v>2970</v>
      </c>
      <c r="K927" s="1">
        <v>44336</v>
      </c>
      <c r="L927" s="1">
        <v>44336</v>
      </c>
      <c r="M927">
        <v>926</v>
      </c>
      <c r="N927">
        <v>4</v>
      </c>
      <c r="O927" t="s">
        <v>22</v>
      </c>
      <c r="P927" s="3">
        <v>0.1</v>
      </c>
      <c r="Q927" s="2">
        <v>297</v>
      </c>
      <c r="R927">
        <v>2</v>
      </c>
      <c r="S927" t="str">
        <f t="shared" si="14"/>
        <v>Maio</v>
      </c>
    </row>
    <row r="928" spans="1:19">
      <c r="A928">
        <v>927</v>
      </c>
      <c r="B928" s="1">
        <v>44331</v>
      </c>
      <c r="C928">
        <v>42</v>
      </c>
      <c r="D928" t="s">
        <v>92</v>
      </c>
      <c r="E928" t="s">
        <v>24</v>
      </c>
      <c r="F928">
        <v>48</v>
      </c>
      <c r="G928" s="2">
        <v>108</v>
      </c>
      <c r="H928" s="2">
        <v>5184</v>
      </c>
      <c r="I928" s="4">
        <v>0.09</v>
      </c>
      <c r="J928" s="2">
        <v>4717.4399999999996</v>
      </c>
      <c r="K928" s="1">
        <v>44359</v>
      </c>
      <c r="L928" s="1">
        <v>44359</v>
      </c>
      <c r="M928">
        <v>927</v>
      </c>
      <c r="N928">
        <v>5</v>
      </c>
      <c r="O928" t="s">
        <v>69</v>
      </c>
      <c r="P928" s="3">
        <v>7.0000000000000007E-2</v>
      </c>
      <c r="Q928" s="2">
        <v>330.2208</v>
      </c>
      <c r="R928">
        <v>3</v>
      </c>
      <c r="S928" t="str">
        <f t="shared" si="14"/>
        <v>Maio</v>
      </c>
    </row>
    <row r="929" spans="1:19">
      <c r="A929">
        <v>928</v>
      </c>
      <c r="B929" s="1">
        <v>44331</v>
      </c>
      <c r="C929">
        <v>44</v>
      </c>
      <c r="D929" t="s">
        <v>71</v>
      </c>
      <c r="E929" t="s">
        <v>31</v>
      </c>
      <c r="F929">
        <v>19</v>
      </c>
      <c r="G929" s="2">
        <v>91</v>
      </c>
      <c r="H929" s="2">
        <v>1729</v>
      </c>
      <c r="I929" s="4">
        <v>0.04</v>
      </c>
      <c r="J929" s="2">
        <v>1659.84</v>
      </c>
      <c r="K929" s="1">
        <v>44352</v>
      </c>
      <c r="L929" s="1">
        <v>44352</v>
      </c>
      <c r="M929">
        <v>928</v>
      </c>
      <c r="N929">
        <v>4</v>
      </c>
      <c r="O929" t="s">
        <v>29</v>
      </c>
      <c r="P929" s="3">
        <v>0.1</v>
      </c>
      <c r="Q929" s="2">
        <v>165.98400000000001</v>
      </c>
      <c r="R929">
        <v>4</v>
      </c>
      <c r="S929" t="str">
        <f t="shared" si="14"/>
        <v>Maio</v>
      </c>
    </row>
    <row r="930" spans="1:19">
      <c r="A930">
        <v>929</v>
      </c>
      <c r="B930" s="1">
        <v>44332</v>
      </c>
      <c r="C930">
        <v>85</v>
      </c>
      <c r="D930" t="s">
        <v>57</v>
      </c>
      <c r="E930" t="s">
        <v>31</v>
      </c>
      <c r="F930">
        <v>18</v>
      </c>
      <c r="G930" s="2">
        <v>94</v>
      </c>
      <c r="H930" s="2">
        <v>1692</v>
      </c>
      <c r="I930" s="4">
        <v>0.01</v>
      </c>
      <c r="J930" s="2">
        <v>1675.08</v>
      </c>
      <c r="K930" s="1">
        <v>44360</v>
      </c>
      <c r="L930" s="1">
        <v>44360</v>
      </c>
      <c r="M930">
        <v>929</v>
      </c>
      <c r="N930">
        <v>7</v>
      </c>
      <c r="O930" t="s">
        <v>37</v>
      </c>
      <c r="P930" s="3">
        <v>0.08</v>
      </c>
      <c r="Q930" s="2">
        <v>134.00639999999999</v>
      </c>
      <c r="R930">
        <v>5</v>
      </c>
      <c r="S930" t="str">
        <f t="shared" si="14"/>
        <v>Maio</v>
      </c>
    </row>
    <row r="931" spans="1:19">
      <c r="A931">
        <v>930</v>
      </c>
      <c r="B931" s="1">
        <v>44332</v>
      </c>
      <c r="C931">
        <v>62</v>
      </c>
      <c r="D931" t="s">
        <v>38</v>
      </c>
      <c r="E931" t="s">
        <v>41</v>
      </c>
      <c r="F931">
        <v>43</v>
      </c>
      <c r="G931" s="2">
        <v>95</v>
      </c>
      <c r="H931" s="2">
        <v>4085</v>
      </c>
      <c r="I931" s="4">
        <v>0.02</v>
      </c>
      <c r="J931" s="2">
        <v>4003.3</v>
      </c>
      <c r="K931" s="1">
        <v>44340</v>
      </c>
      <c r="L931" s="1">
        <v>44340</v>
      </c>
      <c r="M931">
        <v>930</v>
      </c>
      <c r="N931">
        <v>2</v>
      </c>
      <c r="O931" t="s">
        <v>25</v>
      </c>
      <c r="P931" s="3">
        <v>0.06</v>
      </c>
      <c r="Q931" s="2">
        <v>240.19800000000001</v>
      </c>
      <c r="R931">
        <v>6</v>
      </c>
      <c r="S931" t="str">
        <f t="shared" si="14"/>
        <v>Maio</v>
      </c>
    </row>
    <row r="932" spans="1:19">
      <c r="A932">
        <v>931</v>
      </c>
      <c r="B932" s="1">
        <v>44332</v>
      </c>
      <c r="C932">
        <v>75</v>
      </c>
      <c r="D932" t="s">
        <v>38</v>
      </c>
      <c r="E932" t="s">
        <v>31</v>
      </c>
      <c r="F932">
        <v>38</v>
      </c>
      <c r="G932" s="2">
        <v>104</v>
      </c>
      <c r="H932" s="2">
        <v>3952</v>
      </c>
      <c r="I932" s="4">
        <v>0.14000000000000001</v>
      </c>
      <c r="J932" s="2">
        <v>3398.72</v>
      </c>
      <c r="K932" s="1">
        <v>44341</v>
      </c>
      <c r="L932" s="1">
        <v>44341</v>
      </c>
      <c r="M932">
        <v>931</v>
      </c>
      <c r="N932">
        <v>1</v>
      </c>
      <c r="O932" t="s">
        <v>29</v>
      </c>
      <c r="P932" s="3">
        <v>0.06</v>
      </c>
      <c r="Q932" s="2">
        <v>203.92319999999998</v>
      </c>
      <c r="R932">
        <v>7</v>
      </c>
      <c r="S932" t="str">
        <f t="shared" si="14"/>
        <v>Maio</v>
      </c>
    </row>
    <row r="933" spans="1:19">
      <c r="A933">
        <v>932</v>
      </c>
      <c r="B933" s="1">
        <v>44334</v>
      </c>
      <c r="C933">
        <v>47</v>
      </c>
      <c r="D933" t="s">
        <v>40</v>
      </c>
      <c r="E933" t="s">
        <v>24</v>
      </c>
      <c r="F933">
        <v>10</v>
      </c>
      <c r="G933" s="2">
        <v>104</v>
      </c>
      <c r="H933" s="2">
        <v>1040</v>
      </c>
      <c r="I933" s="4">
        <v>0.14000000000000001</v>
      </c>
      <c r="J933" s="2">
        <v>894.4</v>
      </c>
      <c r="K933" s="1">
        <v>44350</v>
      </c>
      <c r="L933" s="1">
        <v>44350</v>
      </c>
      <c r="M933">
        <v>932</v>
      </c>
      <c r="N933">
        <v>2</v>
      </c>
      <c r="O933" t="s">
        <v>34</v>
      </c>
      <c r="P933" s="3">
        <v>0.06</v>
      </c>
      <c r="Q933" s="2">
        <v>53.663999999999994</v>
      </c>
      <c r="R933">
        <v>1</v>
      </c>
      <c r="S933" t="str">
        <f t="shared" si="14"/>
        <v>Maio</v>
      </c>
    </row>
    <row r="934" spans="1:19">
      <c r="A934">
        <v>933</v>
      </c>
      <c r="B934" s="1">
        <v>44335</v>
      </c>
      <c r="C934">
        <v>24</v>
      </c>
      <c r="D934" t="s">
        <v>74</v>
      </c>
      <c r="E934" t="s">
        <v>41</v>
      </c>
      <c r="F934">
        <v>23</v>
      </c>
      <c r="G934" s="2">
        <v>90</v>
      </c>
      <c r="H934" s="2">
        <v>2070</v>
      </c>
      <c r="I934" s="4">
        <v>0.15</v>
      </c>
      <c r="J934" s="2">
        <v>1759.5</v>
      </c>
      <c r="K934" s="1">
        <v>44345</v>
      </c>
      <c r="L934" s="1">
        <v>44345</v>
      </c>
      <c r="M934">
        <v>933</v>
      </c>
      <c r="N934">
        <v>2</v>
      </c>
      <c r="O934" t="s">
        <v>52</v>
      </c>
      <c r="P934" s="3">
        <v>0.08</v>
      </c>
      <c r="Q934" s="2">
        <v>140.76</v>
      </c>
      <c r="R934">
        <v>2</v>
      </c>
      <c r="S934" t="str">
        <f t="shared" si="14"/>
        <v>Maio</v>
      </c>
    </row>
    <row r="935" spans="1:19">
      <c r="A935">
        <v>934</v>
      </c>
      <c r="B935" s="1">
        <v>44335</v>
      </c>
      <c r="C935">
        <v>38</v>
      </c>
      <c r="D935" t="s">
        <v>73</v>
      </c>
      <c r="E935" t="s">
        <v>24</v>
      </c>
      <c r="F935">
        <v>37</v>
      </c>
      <c r="G935" s="2">
        <v>91</v>
      </c>
      <c r="H935" s="2">
        <v>3367</v>
      </c>
      <c r="I935" s="4">
        <v>7.0000000000000007E-2</v>
      </c>
      <c r="J935" s="2">
        <v>3131.31</v>
      </c>
      <c r="K935" s="1">
        <v>44337</v>
      </c>
      <c r="L935" s="1">
        <v>44337</v>
      </c>
      <c r="M935">
        <v>934</v>
      </c>
      <c r="N935">
        <v>7</v>
      </c>
      <c r="O935" t="s">
        <v>69</v>
      </c>
      <c r="P935" s="3">
        <v>7.0000000000000007E-2</v>
      </c>
      <c r="Q935" s="2">
        <v>219.19170000000003</v>
      </c>
      <c r="R935">
        <v>3</v>
      </c>
      <c r="S935" t="str">
        <f t="shared" si="14"/>
        <v>Maio</v>
      </c>
    </row>
    <row r="936" spans="1:19">
      <c r="A936">
        <v>935</v>
      </c>
      <c r="B936" s="1">
        <v>44336</v>
      </c>
      <c r="C936">
        <v>91</v>
      </c>
      <c r="D936" t="s">
        <v>62</v>
      </c>
      <c r="E936" t="s">
        <v>50</v>
      </c>
      <c r="F936">
        <v>15</v>
      </c>
      <c r="G936" s="2">
        <v>91</v>
      </c>
      <c r="H936" s="2">
        <v>1365</v>
      </c>
      <c r="I936" s="4">
        <v>0</v>
      </c>
      <c r="J936" s="2">
        <v>1365</v>
      </c>
      <c r="K936" s="1">
        <v>44346</v>
      </c>
      <c r="L936" s="1">
        <v>44346</v>
      </c>
      <c r="M936">
        <v>935</v>
      </c>
      <c r="N936">
        <v>1</v>
      </c>
      <c r="O936" t="s">
        <v>43</v>
      </c>
      <c r="P936" s="3">
        <v>0.06</v>
      </c>
      <c r="Q936" s="2">
        <v>81.899999999999991</v>
      </c>
      <c r="R936">
        <v>4</v>
      </c>
      <c r="S936" t="str">
        <f t="shared" si="14"/>
        <v>Maio</v>
      </c>
    </row>
    <row r="937" spans="1:19">
      <c r="A937">
        <v>936</v>
      </c>
      <c r="B937" s="1">
        <v>44337</v>
      </c>
      <c r="C937">
        <v>77</v>
      </c>
      <c r="D937" t="s">
        <v>65</v>
      </c>
      <c r="E937" t="s">
        <v>46</v>
      </c>
      <c r="F937">
        <v>19</v>
      </c>
      <c r="G937" s="2">
        <v>119</v>
      </c>
      <c r="H937" s="2">
        <v>2261</v>
      </c>
      <c r="I937" s="4">
        <v>0.14000000000000001</v>
      </c>
      <c r="J937" s="2">
        <v>1944.46</v>
      </c>
      <c r="K937" s="1">
        <v>44350</v>
      </c>
      <c r="L937" s="1">
        <v>44350</v>
      </c>
      <c r="M937">
        <v>936</v>
      </c>
      <c r="N937">
        <v>2</v>
      </c>
      <c r="O937" t="s">
        <v>43</v>
      </c>
      <c r="P937" s="3">
        <v>0.08</v>
      </c>
      <c r="Q937" s="2">
        <v>155.55680000000001</v>
      </c>
      <c r="R937">
        <v>5</v>
      </c>
      <c r="S937" t="str">
        <f t="shared" si="14"/>
        <v>Maio</v>
      </c>
    </row>
    <row r="938" spans="1:19">
      <c r="A938">
        <v>937</v>
      </c>
      <c r="B938" s="1">
        <v>44337</v>
      </c>
      <c r="C938">
        <v>18</v>
      </c>
      <c r="D938" t="s">
        <v>83</v>
      </c>
      <c r="E938" t="s">
        <v>46</v>
      </c>
      <c r="F938">
        <v>23</v>
      </c>
      <c r="G938" s="2">
        <v>102</v>
      </c>
      <c r="H938" s="2">
        <v>2346</v>
      </c>
      <c r="I938" s="4">
        <v>0.08</v>
      </c>
      <c r="J938" s="2">
        <v>2158.3200000000002</v>
      </c>
      <c r="K938" s="1">
        <v>44355</v>
      </c>
      <c r="L938" s="1">
        <v>44355</v>
      </c>
      <c r="M938">
        <v>937</v>
      </c>
      <c r="N938">
        <v>5</v>
      </c>
      <c r="O938" t="s">
        <v>69</v>
      </c>
      <c r="P938" s="3">
        <v>0.1</v>
      </c>
      <c r="Q938" s="2">
        <v>215.83200000000002</v>
      </c>
      <c r="R938">
        <v>6</v>
      </c>
      <c r="S938" t="str">
        <f t="shared" si="14"/>
        <v>Maio</v>
      </c>
    </row>
    <row r="939" spans="1:19">
      <c r="A939">
        <v>938</v>
      </c>
      <c r="B939" s="1">
        <v>44337</v>
      </c>
      <c r="C939">
        <v>81</v>
      </c>
      <c r="D939" t="s">
        <v>103</v>
      </c>
      <c r="E939" t="s">
        <v>31</v>
      </c>
      <c r="F939">
        <v>48</v>
      </c>
      <c r="G939" s="2">
        <v>113</v>
      </c>
      <c r="H939" s="2">
        <v>5424</v>
      </c>
      <c r="I939" s="4">
        <v>7.0000000000000007E-2</v>
      </c>
      <c r="J939" s="2">
        <v>5044.32</v>
      </c>
      <c r="K939" s="1">
        <v>44337</v>
      </c>
      <c r="L939" s="1">
        <v>44337</v>
      </c>
      <c r="M939">
        <v>938</v>
      </c>
      <c r="N939">
        <v>6</v>
      </c>
      <c r="O939" t="s">
        <v>43</v>
      </c>
      <c r="P939" s="3">
        <v>0.06</v>
      </c>
      <c r="Q939" s="2">
        <v>302.6592</v>
      </c>
      <c r="R939">
        <v>7</v>
      </c>
      <c r="S939" t="str">
        <f t="shared" si="14"/>
        <v>Maio</v>
      </c>
    </row>
    <row r="940" spans="1:19">
      <c r="A940">
        <v>939</v>
      </c>
      <c r="B940" s="1">
        <v>44338</v>
      </c>
      <c r="C940">
        <v>27</v>
      </c>
      <c r="D940" t="s">
        <v>101</v>
      </c>
      <c r="E940" t="s">
        <v>28</v>
      </c>
      <c r="F940">
        <v>36</v>
      </c>
      <c r="G940" s="2">
        <v>102</v>
      </c>
      <c r="H940" s="2">
        <v>3672</v>
      </c>
      <c r="I940" s="4">
        <v>0.11</v>
      </c>
      <c r="J940" s="2">
        <v>3268.08</v>
      </c>
      <c r="K940" s="1">
        <v>44351</v>
      </c>
      <c r="L940" s="1">
        <v>44351</v>
      </c>
      <c r="M940">
        <v>939</v>
      </c>
      <c r="N940">
        <v>7</v>
      </c>
      <c r="O940" t="s">
        <v>47</v>
      </c>
      <c r="P940" s="3">
        <v>0.08</v>
      </c>
      <c r="Q940" s="2">
        <v>261.44639999999998</v>
      </c>
      <c r="R940">
        <v>1</v>
      </c>
      <c r="S940" t="str">
        <f t="shared" si="14"/>
        <v>Maio</v>
      </c>
    </row>
    <row r="941" spans="1:19">
      <c r="A941">
        <v>940</v>
      </c>
      <c r="B941" s="1">
        <v>44338</v>
      </c>
      <c r="C941">
        <v>3</v>
      </c>
      <c r="D941" t="s">
        <v>91</v>
      </c>
      <c r="E941" t="s">
        <v>55</v>
      </c>
      <c r="F941">
        <v>49</v>
      </c>
      <c r="G941" s="2">
        <v>111</v>
      </c>
      <c r="H941" s="2">
        <v>5439</v>
      </c>
      <c r="I941" s="4">
        <v>0.09</v>
      </c>
      <c r="J941" s="2">
        <v>4949.49</v>
      </c>
      <c r="K941" s="1">
        <v>44348</v>
      </c>
      <c r="L941" s="1">
        <v>44348</v>
      </c>
      <c r="M941">
        <v>940</v>
      </c>
      <c r="N941">
        <v>5</v>
      </c>
      <c r="O941" t="s">
        <v>22</v>
      </c>
      <c r="P941" s="3">
        <v>0.08</v>
      </c>
      <c r="Q941" s="2">
        <v>395.95920000000001</v>
      </c>
      <c r="R941">
        <v>2</v>
      </c>
      <c r="S941" t="str">
        <f t="shared" si="14"/>
        <v>Maio</v>
      </c>
    </row>
    <row r="942" spans="1:19">
      <c r="A942">
        <v>941</v>
      </c>
      <c r="B942" s="1">
        <v>44338</v>
      </c>
      <c r="C942">
        <v>22</v>
      </c>
      <c r="D942" t="s">
        <v>51</v>
      </c>
      <c r="E942" t="s">
        <v>50</v>
      </c>
      <c r="F942">
        <v>33</v>
      </c>
      <c r="G942" s="2">
        <v>91</v>
      </c>
      <c r="H942" s="2">
        <v>3003</v>
      </c>
      <c r="I942" s="4">
        <v>7.0000000000000007E-2</v>
      </c>
      <c r="J942" s="2">
        <v>2792.79</v>
      </c>
      <c r="K942" s="1">
        <v>44366</v>
      </c>
      <c r="L942" s="1">
        <v>44366</v>
      </c>
      <c r="M942">
        <v>941</v>
      </c>
      <c r="N942">
        <v>3</v>
      </c>
      <c r="O942" t="s">
        <v>34</v>
      </c>
      <c r="P942" s="3">
        <v>0.1</v>
      </c>
      <c r="Q942" s="2">
        <v>279.279</v>
      </c>
      <c r="R942">
        <v>3</v>
      </c>
      <c r="S942" t="str">
        <f t="shared" si="14"/>
        <v>Maio</v>
      </c>
    </row>
    <row r="943" spans="1:19">
      <c r="A943">
        <v>942</v>
      </c>
      <c r="B943" s="1">
        <v>44339</v>
      </c>
      <c r="C943">
        <v>55</v>
      </c>
      <c r="D943" t="s">
        <v>44</v>
      </c>
      <c r="E943" t="s">
        <v>50</v>
      </c>
      <c r="F943">
        <v>11</v>
      </c>
      <c r="G943" s="2">
        <v>111</v>
      </c>
      <c r="H943" s="2">
        <v>1221</v>
      </c>
      <c r="I943" s="4">
        <v>0.1</v>
      </c>
      <c r="J943" s="2">
        <v>1098.9000000000001</v>
      </c>
      <c r="K943" s="1">
        <v>44356</v>
      </c>
      <c r="L943" s="1">
        <v>44356</v>
      </c>
      <c r="M943">
        <v>942</v>
      </c>
      <c r="N943">
        <v>6</v>
      </c>
      <c r="O943" t="s">
        <v>34</v>
      </c>
      <c r="P943" s="3">
        <v>0.05</v>
      </c>
      <c r="Q943" s="2">
        <v>54.945000000000007</v>
      </c>
      <c r="R943">
        <v>4</v>
      </c>
      <c r="S943" t="str">
        <f t="shared" si="14"/>
        <v>Maio</v>
      </c>
    </row>
    <row r="944" spans="1:19">
      <c r="A944">
        <v>943</v>
      </c>
      <c r="B944" s="1">
        <v>44339</v>
      </c>
      <c r="C944">
        <v>59</v>
      </c>
      <c r="D944" t="s">
        <v>97</v>
      </c>
      <c r="E944" t="s">
        <v>59</v>
      </c>
      <c r="F944">
        <v>45</v>
      </c>
      <c r="G944" s="2">
        <v>117</v>
      </c>
      <c r="H944" s="2">
        <v>5265</v>
      </c>
      <c r="I944" s="4">
        <v>0.02</v>
      </c>
      <c r="J944" s="2">
        <v>5159.7</v>
      </c>
      <c r="K944" s="1">
        <v>44343</v>
      </c>
      <c r="L944" s="1">
        <v>44343</v>
      </c>
      <c r="M944">
        <v>943</v>
      </c>
      <c r="N944">
        <v>5</v>
      </c>
      <c r="O944" t="s">
        <v>34</v>
      </c>
      <c r="P944" s="3">
        <v>0.09</v>
      </c>
      <c r="Q944" s="2">
        <v>464.37299999999999</v>
      </c>
      <c r="R944">
        <v>5</v>
      </c>
      <c r="S944" t="str">
        <f t="shared" si="14"/>
        <v>Maio</v>
      </c>
    </row>
    <row r="945" spans="1:19">
      <c r="A945">
        <v>944</v>
      </c>
      <c r="B945" s="1">
        <v>44339</v>
      </c>
      <c r="C945">
        <v>10</v>
      </c>
      <c r="D945" t="s">
        <v>89</v>
      </c>
      <c r="E945" t="s">
        <v>50</v>
      </c>
      <c r="F945">
        <v>35</v>
      </c>
      <c r="G945" s="2">
        <v>117</v>
      </c>
      <c r="H945" s="2">
        <v>4095</v>
      </c>
      <c r="I945" s="4">
        <v>0.09</v>
      </c>
      <c r="J945" s="2">
        <v>3726.45</v>
      </c>
      <c r="K945" s="1">
        <v>44353</v>
      </c>
      <c r="L945" s="1">
        <v>44353</v>
      </c>
      <c r="M945">
        <v>944</v>
      </c>
      <c r="N945">
        <v>4</v>
      </c>
      <c r="O945" t="s">
        <v>69</v>
      </c>
      <c r="P945" s="3">
        <v>0.05</v>
      </c>
      <c r="Q945" s="2">
        <v>186.32249999999999</v>
      </c>
      <c r="R945">
        <v>6</v>
      </c>
      <c r="S945" t="str">
        <f t="shared" si="14"/>
        <v>Maio</v>
      </c>
    </row>
    <row r="946" spans="1:19">
      <c r="A946">
        <v>945</v>
      </c>
      <c r="B946" s="1">
        <v>44339</v>
      </c>
      <c r="C946">
        <v>98</v>
      </c>
      <c r="D946" t="s">
        <v>26</v>
      </c>
      <c r="E946" t="s">
        <v>55</v>
      </c>
      <c r="F946">
        <v>14</v>
      </c>
      <c r="G946" s="2">
        <v>120</v>
      </c>
      <c r="H946" s="2">
        <v>1680</v>
      </c>
      <c r="I946" s="4">
        <v>0.1</v>
      </c>
      <c r="J946" s="2">
        <v>1512</v>
      </c>
      <c r="K946" s="1">
        <v>44352</v>
      </c>
      <c r="L946" s="1">
        <v>44352</v>
      </c>
      <c r="M946">
        <v>945</v>
      </c>
      <c r="N946">
        <v>7</v>
      </c>
      <c r="O946" t="s">
        <v>52</v>
      </c>
      <c r="P946" s="3">
        <v>0.09</v>
      </c>
      <c r="Q946" s="2">
        <v>136.07999999999998</v>
      </c>
      <c r="R946">
        <v>7</v>
      </c>
      <c r="S946" t="str">
        <f t="shared" si="14"/>
        <v>Maio</v>
      </c>
    </row>
    <row r="947" spans="1:19">
      <c r="A947">
        <v>946</v>
      </c>
      <c r="B947" s="1">
        <v>44339</v>
      </c>
      <c r="C947">
        <v>60</v>
      </c>
      <c r="D947" t="s">
        <v>82</v>
      </c>
      <c r="E947" t="s">
        <v>46</v>
      </c>
      <c r="F947">
        <v>26</v>
      </c>
      <c r="G947" s="2">
        <v>112</v>
      </c>
      <c r="H947" s="2">
        <v>2912</v>
      </c>
      <c r="I947" s="4">
        <v>0</v>
      </c>
      <c r="J947" s="2">
        <v>2912</v>
      </c>
      <c r="K947" s="1">
        <v>44349</v>
      </c>
      <c r="L947" s="1">
        <v>44349</v>
      </c>
      <c r="M947">
        <v>946</v>
      </c>
      <c r="N947">
        <v>6</v>
      </c>
      <c r="O947" t="s">
        <v>22</v>
      </c>
      <c r="P947" s="3">
        <v>0.09</v>
      </c>
      <c r="Q947" s="2">
        <v>262.08</v>
      </c>
      <c r="R947">
        <v>1</v>
      </c>
      <c r="S947" t="str">
        <f t="shared" si="14"/>
        <v>Maio</v>
      </c>
    </row>
    <row r="948" spans="1:19">
      <c r="A948">
        <v>947</v>
      </c>
      <c r="B948" s="1">
        <v>44340</v>
      </c>
      <c r="C948">
        <v>48</v>
      </c>
      <c r="D948" t="s">
        <v>61</v>
      </c>
      <c r="E948" t="s">
        <v>55</v>
      </c>
      <c r="F948">
        <v>20</v>
      </c>
      <c r="G948" s="2">
        <v>116</v>
      </c>
      <c r="H948" s="2">
        <v>2320</v>
      </c>
      <c r="I948" s="4">
        <v>0.04</v>
      </c>
      <c r="J948" s="2">
        <v>2227.1999999999998</v>
      </c>
      <c r="K948" s="1">
        <v>44359</v>
      </c>
      <c r="L948" s="1">
        <v>44359</v>
      </c>
      <c r="M948">
        <v>947</v>
      </c>
      <c r="N948">
        <v>1</v>
      </c>
      <c r="O948" t="s">
        <v>22</v>
      </c>
      <c r="P948" s="3">
        <v>0.1</v>
      </c>
      <c r="Q948" s="2">
        <v>222.72</v>
      </c>
      <c r="R948">
        <v>2</v>
      </c>
      <c r="S948" t="str">
        <f t="shared" si="14"/>
        <v>Maio</v>
      </c>
    </row>
    <row r="949" spans="1:19">
      <c r="A949">
        <v>948</v>
      </c>
      <c r="B949" s="1">
        <v>44340</v>
      </c>
      <c r="C949">
        <v>62</v>
      </c>
      <c r="D949" t="s">
        <v>38</v>
      </c>
      <c r="E949" t="s">
        <v>21</v>
      </c>
      <c r="F949">
        <v>37</v>
      </c>
      <c r="G949" s="2">
        <v>102</v>
      </c>
      <c r="H949" s="2">
        <v>3774</v>
      </c>
      <c r="I949" s="4">
        <v>0.13</v>
      </c>
      <c r="J949" s="2">
        <v>3283.38</v>
      </c>
      <c r="K949" s="1">
        <v>44362</v>
      </c>
      <c r="L949" s="1">
        <v>44362</v>
      </c>
      <c r="M949">
        <v>948</v>
      </c>
      <c r="N949">
        <v>3</v>
      </c>
      <c r="O949" t="s">
        <v>34</v>
      </c>
      <c r="P949" s="3">
        <v>0.06</v>
      </c>
      <c r="Q949" s="2">
        <v>197.00280000000001</v>
      </c>
      <c r="R949">
        <v>3</v>
      </c>
      <c r="S949" t="str">
        <f t="shared" si="14"/>
        <v>Maio</v>
      </c>
    </row>
    <row r="950" spans="1:19">
      <c r="A950">
        <v>949</v>
      </c>
      <c r="B950" s="1">
        <v>44341</v>
      </c>
      <c r="C950">
        <v>84</v>
      </c>
      <c r="D950" t="s">
        <v>44</v>
      </c>
      <c r="E950" t="s">
        <v>28</v>
      </c>
      <c r="F950">
        <v>39</v>
      </c>
      <c r="G950" s="2">
        <v>95</v>
      </c>
      <c r="H950" s="2">
        <v>3705</v>
      </c>
      <c r="I950" s="4">
        <v>7.0000000000000007E-2</v>
      </c>
      <c r="J950" s="2">
        <v>3445.65</v>
      </c>
      <c r="K950" s="1">
        <v>44370</v>
      </c>
      <c r="L950" s="1">
        <v>44370</v>
      </c>
      <c r="M950">
        <v>949</v>
      </c>
      <c r="N950">
        <v>2</v>
      </c>
      <c r="O950" t="s">
        <v>37</v>
      </c>
      <c r="P950" s="3">
        <v>0.1</v>
      </c>
      <c r="Q950" s="2">
        <v>344.56500000000005</v>
      </c>
      <c r="R950">
        <v>4</v>
      </c>
      <c r="S950" t="str">
        <f t="shared" si="14"/>
        <v>Maio</v>
      </c>
    </row>
    <row r="951" spans="1:19">
      <c r="A951">
        <v>950</v>
      </c>
      <c r="B951" s="1">
        <v>44341</v>
      </c>
      <c r="C951">
        <v>13</v>
      </c>
      <c r="D951" t="s">
        <v>75</v>
      </c>
      <c r="E951" t="s">
        <v>59</v>
      </c>
      <c r="F951">
        <v>26</v>
      </c>
      <c r="G951" s="2">
        <v>116</v>
      </c>
      <c r="H951" s="2">
        <v>3016</v>
      </c>
      <c r="I951" s="4">
        <v>0.14000000000000001</v>
      </c>
      <c r="J951" s="2">
        <v>2593.7599999999998</v>
      </c>
      <c r="K951" s="1">
        <v>44365</v>
      </c>
      <c r="L951" s="1">
        <v>44365</v>
      </c>
      <c r="M951">
        <v>950</v>
      </c>
      <c r="N951">
        <v>1</v>
      </c>
      <c r="O951" t="s">
        <v>32</v>
      </c>
      <c r="P951" s="3">
        <v>0.09</v>
      </c>
      <c r="Q951" s="2">
        <v>233.43839999999997</v>
      </c>
      <c r="R951">
        <v>5</v>
      </c>
      <c r="S951" t="str">
        <f t="shared" si="14"/>
        <v>Maio</v>
      </c>
    </row>
    <row r="952" spans="1:19">
      <c r="A952">
        <v>951</v>
      </c>
      <c r="B952" s="1">
        <v>44342</v>
      </c>
      <c r="C952">
        <v>42</v>
      </c>
      <c r="D952" t="s">
        <v>92</v>
      </c>
      <c r="E952" t="s">
        <v>31</v>
      </c>
      <c r="F952">
        <v>12</v>
      </c>
      <c r="G952" s="2">
        <v>94</v>
      </c>
      <c r="H952" s="2">
        <v>1128</v>
      </c>
      <c r="I952" s="4">
        <v>0.06</v>
      </c>
      <c r="J952" s="2">
        <v>1060.32</v>
      </c>
      <c r="K952" s="1">
        <v>44370</v>
      </c>
      <c r="L952" s="1">
        <v>44370</v>
      </c>
      <c r="M952">
        <v>951</v>
      </c>
      <c r="N952">
        <v>7</v>
      </c>
      <c r="O952" t="s">
        <v>32</v>
      </c>
      <c r="P952" s="3">
        <v>0.06</v>
      </c>
      <c r="Q952" s="2">
        <v>63.619199999999992</v>
      </c>
      <c r="R952">
        <v>6</v>
      </c>
      <c r="S952" t="str">
        <f t="shared" si="14"/>
        <v>Maio</v>
      </c>
    </row>
    <row r="953" spans="1:19">
      <c r="A953">
        <v>952</v>
      </c>
      <c r="B953" s="1">
        <v>44342</v>
      </c>
      <c r="C953">
        <v>60</v>
      </c>
      <c r="D953" t="s">
        <v>82</v>
      </c>
      <c r="E953" t="s">
        <v>59</v>
      </c>
      <c r="F953">
        <v>42</v>
      </c>
      <c r="G953" s="2">
        <v>99</v>
      </c>
      <c r="H953" s="2">
        <v>4158</v>
      </c>
      <c r="I953" s="4">
        <v>0.01</v>
      </c>
      <c r="J953" s="2">
        <v>4116.42</v>
      </c>
      <c r="K953" s="1">
        <v>44369</v>
      </c>
      <c r="L953" s="1">
        <v>44369</v>
      </c>
      <c r="M953">
        <v>952</v>
      </c>
      <c r="N953">
        <v>1</v>
      </c>
      <c r="O953" t="s">
        <v>22</v>
      </c>
      <c r="P953" s="3">
        <v>7.0000000000000007E-2</v>
      </c>
      <c r="Q953" s="2">
        <v>288.14940000000001</v>
      </c>
      <c r="R953">
        <v>7</v>
      </c>
      <c r="S953" t="str">
        <f t="shared" si="14"/>
        <v>Maio</v>
      </c>
    </row>
    <row r="954" spans="1:19">
      <c r="A954">
        <v>953</v>
      </c>
      <c r="B954" s="1">
        <v>44343</v>
      </c>
      <c r="C954">
        <v>98</v>
      </c>
      <c r="D954" t="s">
        <v>26</v>
      </c>
      <c r="E954" t="s">
        <v>50</v>
      </c>
      <c r="F954">
        <v>42</v>
      </c>
      <c r="G954" s="2">
        <v>98</v>
      </c>
      <c r="H954" s="2">
        <v>4116</v>
      </c>
      <c r="I954" s="4">
        <v>0.02</v>
      </c>
      <c r="J954" s="2">
        <v>4033.68</v>
      </c>
      <c r="K954" s="1">
        <v>44364</v>
      </c>
      <c r="L954" s="1">
        <v>44364</v>
      </c>
      <c r="M954">
        <v>953</v>
      </c>
      <c r="N954">
        <v>4</v>
      </c>
      <c r="O954" t="s">
        <v>34</v>
      </c>
      <c r="P954" s="3">
        <v>0.1</v>
      </c>
      <c r="Q954" s="2">
        <v>403.36799999999999</v>
      </c>
      <c r="R954">
        <v>1</v>
      </c>
      <c r="S954" t="str">
        <f t="shared" si="14"/>
        <v>Maio</v>
      </c>
    </row>
    <row r="955" spans="1:19">
      <c r="A955">
        <v>954</v>
      </c>
      <c r="B955" s="1">
        <v>44343</v>
      </c>
      <c r="C955">
        <v>74</v>
      </c>
      <c r="D955" t="s">
        <v>38</v>
      </c>
      <c r="E955" t="s">
        <v>54</v>
      </c>
      <c r="F955">
        <v>25</v>
      </c>
      <c r="G955" s="2">
        <v>96</v>
      </c>
      <c r="H955" s="2">
        <v>2400</v>
      </c>
      <c r="I955" s="4">
        <v>0.15</v>
      </c>
      <c r="J955" s="2">
        <v>2040</v>
      </c>
      <c r="K955" s="1">
        <v>44366</v>
      </c>
      <c r="L955" s="1">
        <v>44366</v>
      </c>
      <c r="M955">
        <v>954</v>
      </c>
      <c r="N955">
        <v>2</v>
      </c>
      <c r="O955" t="s">
        <v>29</v>
      </c>
      <c r="P955" s="3">
        <v>0.05</v>
      </c>
      <c r="Q955" s="2">
        <v>102</v>
      </c>
      <c r="R955">
        <v>2</v>
      </c>
      <c r="S955" t="str">
        <f t="shared" si="14"/>
        <v>Maio</v>
      </c>
    </row>
    <row r="956" spans="1:19">
      <c r="A956">
        <v>955</v>
      </c>
      <c r="B956" s="1">
        <v>44343</v>
      </c>
      <c r="C956">
        <v>90</v>
      </c>
      <c r="D956" t="s">
        <v>60</v>
      </c>
      <c r="E956" t="s">
        <v>46</v>
      </c>
      <c r="F956">
        <v>50</v>
      </c>
      <c r="G956" s="2">
        <v>109</v>
      </c>
      <c r="H956" s="2">
        <v>5450</v>
      </c>
      <c r="I956" s="4">
        <v>0.04</v>
      </c>
      <c r="J956" s="2">
        <v>5232</v>
      </c>
      <c r="K956" s="1">
        <v>44373</v>
      </c>
      <c r="L956" s="1">
        <v>44373</v>
      </c>
      <c r="M956">
        <v>955</v>
      </c>
      <c r="N956">
        <v>1</v>
      </c>
      <c r="O956" t="s">
        <v>32</v>
      </c>
      <c r="P956" s="3">
        <v>0.08</v>
      </c>
      <c r="Q956" s="2">
        <v>418.56</v>
      </c>
      <c r="R956">
        <v>3</v>
      </c>
      <c r="S956" t="str">
        <f t="shared" si="14"/>
        <v>Maio</v>
      </c>
    </row>
    <row r="957" spans="1:19">
      <c r="A957">
        <v>956</v>
      </c>
      <c r="B957" s="1">
        <v>44343</v>
      </c>
      <c r="C957">
        <v>91</v>
      </c>
      <c r="D957" t="s">
        <v>62</v>
      </c>
      <c r="E957" t="s">
        <v>24</v>
      </c>
      <c r="F957">
        <v>43</v>
      </c>
      <c r="G957" s="2">
        <v>111</v>
      </c>
      <c r="H957" s="2">
        <v>4773</v>
      </c>
      <c r="I957" s="4">
        <v>0.14000000000000001</v>
      </c>
      <c r="J957" s="2">
        <v>4104.78</v>
      </c>
      <c r="K957" s="1">
        <v>44358</v>
      </c>
      <c r="L957" s="1">
        <v>44358</v>
      </c>
      <c r="M957">
        <v>956</v>
      </c>
      <c r="N957">
        <v>2</v>
      </c>
      <c r="O957" t="s">
        <v>52</v>
      </c>
      <c r="P957" s="3">
        <v>0.1</v>
      </c>
      <c r="Q957" s="2">
        <v>410.47800000000001</v>
      </c>
      <c r="R957">
        <v>4</v>
      </c>
      <c r="S957" t="str">
        <f t="shared" si="14"/>
        <v>Maio</v>
      </c>
    </row>
    <row r="958" spans="1:19">
      <c r="A958">
        <v>957</v>
      </c>
      <c r="B958" s="1">
        <v>44343</v>
      </c>
      <c r="C958">
        <v>49</v>
      </c>
      <c r="D958" t="s">
        <v>38</v>
      </c>
      <c r="E958" t="s">
        <v>46</v>
      </c>
      <c r="F958">
        <v>46</v>
      </c>
      <c r="G958" s="2">
        <v>112</v>
      </c>
      <c r="H958" s="2">
        <v>5152</v>
      </c>
      <c r="I958" s="4">
        <v>0.14000000000000001</v>
      </c>
      <c r="J958" s="2">
        <v>4430.72</v>
      </c>
      <c r="K958" s="1">
        <v>44343</v>
      </c>
      <c r="L958" s="1">
        <v>44343</v>
      </c>
      <c r="M958">
        <v>957</v>
      </c>
      <c r="N958">
        <v>1</v>
      </c>
      <c r="O958" t="s">
        <v>43</v>
      </c>
      <c r="P958" s="3">
        <v>0.06</v>
      </c>
      <c r="Q958" s="2">
        <v>265.84320000000002</v>
      </c>
      <c r="R958">
        <v>5</v>
      </c>
      <c r="S958" t="str">
        <f t="shared" si="14"/>
        <v>Maio</v>
      </c>
    </row>
    <row r="959" spans="1:19">
      <c r="A959">
        <v>958</v>
      </c>
      <c r="B959" s="1">
        <v>44343</v>
      </c>
      <c r="C959">
        <v>87</v>
      </c>
      <c r="D959" t="s">
        <v>40</v>
      </c>
      <c r="E959" t="s">
        <v>28</v>
      </c>
      <c r="F959">
        <v>36</v>
      </c>
      <c r="G959" s="2">
        <v>104</v>
      </c>
      <c r="H959" s="2">
        <v>3744</v>
      </c>
      <c r="I959" s="4">
        <v>0.1</v>
      </c>
      <c r="J959" s="2">
        <v>3369.6</v>
      </c>
      <c r="K959" s="1">
        <v>44364</v>
      </c>
      <c r="L959" s="1">
        <v>44364</v>
      </c>
      <c r="M959">
        <v>958</v>
      </c>
      <c r="N959">
        <v>4</v>
      </c>
      <c r="O959" t="s">
        <v>37</v>
      </c>
      <c r="P959" s="3">
        <v>0.08</v>
      </c>
      <c r="Q959" s="2">
        <v>269.56799999999998</v>
      </c>
      <c r="R959">
        <v>6</v>
      </c>
      <c r="S959" t="str">
        <f t="shared" si="14"/>
        <v>Maio</v>
      </c>
    </row>
    <row r="960" spans="1:19">
      <c r="A960">
        <v>959</v>
      </c>
      <c r="B960" s="1">
        <v>44345</v>
      </c>
      <c r="C960">
        <v>23</v>
      </c>
      <c r="D960" t="s">
        <v>105</v>
      </c>
      <c r="E960" t="s">
        <v>46</v>
      </c>
      <c r="F960">
        <v>50</v>
      </c>
      <c r="G960" s="2">
        <v>97</v>
      </c>
      <c r="H960" s="2">
        <v>4850</v>
      </c>
      <c r="I960" s="4">
        <v>0.03</v>
      </c>
      <c r="J960" s="2">
        <v>4704.5</v>
      </c>
      <c r="K960" s="1">
        <v>44351</v>
      </c>
      <c r="L960" s="1">
        <v>44351</v>
      </c>
      <c r="M960">
        <v>959</v>
      </c>
      <c r="N960">
        <v>6</v>
      </c>
      <c r="O960" t="s">
        <v>43</v>
      </c>
      <c r="P960" s="3">
        <v>0.05</v>
      </c>
      <c r="Q960" s="2">
        <v>235.22500000000002</v>
      </c>
      <c r="R960">
        <v>7</v>
      </c>
      <c r="S960" t="str">
        <f t="shared" si="14"/>
        <v>Maio</v>
      </c>
    </row>
    <row r="961" spans="1:19">
      <c r="A961">
        <v>960</v>
      </c>
      <c r="B961" s="1">
        <v>44347</v>
      </c>
      <c r="C961">
        <v>8</v>
      </c>
      <c r="D961" t="s">
        <v>38</v>
      </c>
      <c r="E961" t="s">
        <v>21</v>
      </c>
      <c r="F961">
        <v>23</v>
      </c>
      <c r="G961" s="2">
        <v>111</v>
      </c>
      <c r="H961" s="2">
        <v>2553</v>
      </c>
      <c r="I961" s="4">
        <v>0.1</v>
      </c>
      <c r="J961" s="2">
        <v>2297.6999999999998</v>
      </c>
      <c r="K961" s="1">
        <v>44372</v>
      </c>
      <c r="L961" s="1">
        <v>44372</v>
      </c>
      <c r="M961">
        <v>960</v>
      </c>
      <c r="N961">
        <v>2</v>
      </c>
      <c r="O961" t="s">
        <v>29</v>
      </c>
      <c r="P961" s="3">
        <v>0.06</v>
      </c>
      <c r="Q961" s="2">
        <v>137.86199999999999</v>
      </c>
      <c r="R961">
        <v>1</v>
      </c>
      <c r="S961" t="str">
        <f t="shared" si="14"/>
        <v>Maio</v>
      </c>
    </row>
    <row r="962" spans="1:19">
      <c r="A962">
        <v>961</v>
      </c>
      <c r="B962" s="1">
        <v>44349</v>
      </c>
      <c r="C962">
        <v>26</v>
      </c>
      <c r="D962" t="s">
        <v>95</v>
      </c>
      <c r="E962" t="s">
        <v>59</v>
      </c>
      <c r="F962">
        <v>32</v>
      </c>
      <c r="G962" s="2">
        <v>100</v>
      </c>
      <c r="H962" s="2">
        <v>3200</v>
      </c>
      <c r="I962" s="4">
        <v>0</v>
      </c>
      <c r="J962" s="2">
        <v>3200</v>
      </c>
      <c r="K962" s="1">
        <v>44364</v>
      </c>
      <c r="L962" s="1">
        <v>44364</v>
      </c>
      <c r="M962">
        <v>961</v>
      </c>
      <c r="N962">
        <v>3</v>
      </c>
      <c r="O962" t="s">
        <v>52</v>
      </c>
      <c r="P962" s="3">
        <v>0.06</v>
      </c>
      <c r="Q962" s="2">
        <v>192</v>
      </c>
      <c r="R962">
        <v>2</v>
      </c>
      <c r="S962" t="str">
        <f t="shared" si="14"/>
        <v>Junho</v>
      </c>
    </row>
    <row r="963" spans="1:19">
      <c r="A963">
        <v>962</v>
      </c>
      <c r="B963" s="1">
        <v>44349</v>
      </c>
      <c r="C963">
        <v>41</v>
      </c>
      <c r="D963" t="s">
        <v>68</v>
      </c>
      <c r="E963" t="s">
        <v>55</v>
      </c>
      <c r="F963">
        <v>31</v>
      </c>
      <c r="G963" s="2">
        <v>111</v>
      </c>
      <c r="H963" s="2">
        <v>3441</v>
      </c>
      <c r="I963" s="4">
        <v>0.09</v>
      </c>
      <c r="J963" s="2">
        <v>3131.31</v>
      </c>
      <c r="K963" s="1">
        <v>44378</v>
      </c>
      <c r="L963" s="1">
        <v>44378</v>
      </c>
      <c r="M963">
        <v>962</v>
      </c>
      <c r="N963">
        <v>2</v>
      </c>
      <c r="O963" t="s">
        <v>43</v>
      </c>
      <c r="P963" s="3">
        <v>0.05</v>
      </c>
      <c r="Q963" s="2">
        <v>156.56550000000001</v>
      </c>
      <c r="R963">
        <v>3</v>
      </c>
      <c r="S963" t="str">
        <f t="shared" ref="S963:S1013" si="15">PROPER(TEXT(B963,"mmmm"))</f>
        <v>Junho</v>
      </c>
    </row>
    <row r="964" spans="1:19">
      <c r="A964">
        <v>963</v>
      </c>
      <c r="B964" s="1">
        <v>44350</v>
      </c>
      <c r="C964">
        <v>43</v>
      </c>
      <c r="D964" t="s">
        <v>99</v>
      </c>
      <c r="E964" t="s">
        <v>41</v>
      </c>
      <c r="F964">
        <v>42</v>
      </c>
      <c r="G964" s="2">
        <v>91</v>
      </c>
      <c r="H964" s="2">
        <v>3822</v>
      </c>
      <c r="I964" s="4">
        <v>7.0000000000000007E-2</v>
      </c>
      <c r="J964" s="2">
        <v>3554.46</v>
      </c>
      <c r="K964" s="1">
        <v>44376</v>
      </c>
      <c r="L964" s="1">
        <v>44376</v>
      </c>
      <c r="M964">
        <v>963</v>
      </c>
      <c r="N964">
        <v>1</v>
      </c>
      <c r="O964" t="s">
        <v>43</v>
      </c>
      <c r="P964" s="3">
        <v>0.1</v>
      </c>
      <c r="Q964" s="2">
        <v>355.44600000000003</v>
      </c>
      <c r="R964">
        <v>4</v>
      </c>
      <c r="S964" t="str">
        <f t="shared" si="15"/>
        <v>Junho</v>
      </c>
    </row>
    <row r="965" spans="1:19">
      <c r="A965">
        <v>964</v>
      </c>
      <c r="B965" s="1">
        <v>44350</v>
      </c>
      <c r="C965">
        <v>25</v>
      </c>
      <c r="D965" t="s">
        <v>63</v>
      </c>
      <c r="E965" t="s">
        <v>41</v>
      </c>
      <c r="F965">
        <v>20</v>
      </c>
      <c r="G965" s="2">
        <v>94</v>
      </c>
      <c r="H965" s="2">
        <v>1880</v>
      </c>
      <c r="I965" s="4">
        <v>0.08</v>
      </c>
      <c r="J965" s="2">
        <v>1729.6</v>
      </c>
      <c r="K965" s="1">
        <v>44368</v>
      </c>
      <c r="L965" s="1">
        <v>44368</v>
      </c>
      <c r="M965">
        <v>964</v>
      </c>
      <c r="N965">
        <v>1</v>
      </c>
      <c r="O965" t="s">
        <v>34</v>
      </c>
      <c r="P965" s="3">
        <v>0.08</v>
      </c>
      <c r="Q965" s="2">
        <v>138.36799999999999</v>
      </c>
      <c r="R965">
        <v>5</v>
      </c>
      <c r="S965" t="str">
        <f t="shared" si="15"/>
        <v>Junho</v>
      </c>
    </row>
    <row r="966" spans="1:19">
      <c r="A966">
        <v>965</v>
      </c>
      <c r="B966" s="1">
        <v>44351</v>
      </c>
      <c r="C966">
        <v>67</v>
      </c>
      <c r="D966" t="s">
        <v>106</v>
      </c>
      <c r="E966" t="s">
        <v>31</v>
      </c>
      <c r="F966">
        <v>21</v>
      </c>
      <c r="G966" s="2">
        <v>114</v>
      </c>
      <c r="H966" s="2">
        <v>2394</v>
      </c>
      <c r="I966" s="4">
        <v>0.09</v>
      </c>
      <c r="J966" s="2">
        <v>2178.54</v>
      </c>
      <c r="K966" s="1">
        <v>44362</v>
      </c>
      <c r="L966" s="1">
        <v>44362</v>
      </c>
      <c r="M966">
        <v>965</v>
      </c>
      <c r="N966">
        <v>6</v>
      </c>
      <c r="O966" t="s">
        <v>22</v>
      </c>
      <c r="P966" s="3">
        <v>0.1</v>
      </c>
      <c r="Q966" s="2">
        <v>217.85400000000001</v>
      </c>
      <c r="R966">
        <v>6</v>
      </c>
      <c r="S966" t="str">
        <f t="shared" si="15"/>
        <v>Junho</v>
      </c>
    </row>
    <row r="967" spans="1:19">
      <c r="A967">
        <v>966</v>
      </c>
      <c r="B967" s="1">
        <v>44352</v>
      </c>
      <c r="C967">
        <v>3</v>
      </c>
      <c r="D967" t="s">
        <v>91</v>
      </c>
      <c r="E967" t="s">
        <v>59</v>
      </c>
      <c r="F967">
        <v>35</v>
      </c>
      <c r="G967" s="2">
        <v>114</v>
      </c>
      <c r="H967" s="2">
        <v>3990</v>
      </c>
      <c r="I967" s="4">
        <v>0.02</v>
      </c>
      <c r="J967" s="2">
        <v>3910.2</v>
      </c>
      <c r="K967" s="1">
        <v>44364</v>
      </c>
      <c r="L967" s="1">
        <v>44364</v>
      </c>
      <c r="M967">
        <v>966</v>
      </c>
      <c r="N967">
        <v>6</v>
      </c>
      <c r="O967" t="s">
        <v>22</v>
      </c>
      <c r="P967" s="3">
        <v>0.05</v>
      </c>
      <c r="Q967" s="2">
        <v>195.51</v>
      </c>
      <c r="R967">
        <v>7</v>
      </c>
      <c r="S967" t="str">
        <f t="shared" si="15"/>
        <v>Junho</v>
      </c>
    </row>
    <row r="968" spans="1:19">
      <c r="A968">
        <v>967</v>
      </c>
      <c r="B968" s="1">
        <v>44352</v>
      </c>
      <c r="C968">
        <v>57</v>
      </c>
      <c r="D968" t="s">
        <v>89</v>
      </c>
      <c r="E968" t="s">
        <v>55</v>
      </c>
      <c r="F968">
        <v>14</v>
      </c>
      <c r="G968" s="2">
        <v>91</v>
      </c>
      <c r="H968" s="2">
        <v>1274</v>
      </c>
      <c r="I968" s="4">
        <v>0.15</v>
      </c>
      <c r="J968" s="2">
        <v>1082.9000000000001</v>
      </c>
      <c r="K968" s="1">
        <v>44378</v>
      </c>
      <c r="L968" s="1">
        <v>44378</v>
      </c>
      <c r="M968">
        <v>967</v>
      </c>
      <c r="N968">
        <v>1</v>
      </c>
      <c r="O968" t="s">
        <v>29</v>
      </c>
      <c r="P968" s="3">
        <v>0.08</v>
      </c>
      <c r="Q968" s="2">
        <v>86.632000000000005</v>
      </c>
      <c r="R968">
        <v>1</v>
      </c>
      <c r="S968" t="str">
        <f t="shared" si="15"/>
        <v>Junho</v>
      </c>
    </row>
    <row r="969" spans="1:19">
      <c r="A969">
        <v>968</v>
      </c>
      <c r="B969" s="1">
        <v>44352</v>
      </c>
      <c r="C969">
        <v>19</v>
      </c>
      <c r="D969" t="s">
        <v>38</v>
      </c>
      <c r="E969" t="s">
        <v>28</v>
      </c>
      <c r="F969">
        <v>40</v>
      </c>
      <c r="G969" s="2">
        <v>105</v>
      </c>
      <c r="H969" s="2">
        <v>4200</v>
      </c>
      <c r="I969" s="4">
        <v>7.0000000000000007E-2</v>
      </c>
      <c r="J969" s="2">
        <v>3906</v>
      </c>
      <c r="K969" s="1">
        <v>44370</v>
      </c>
      <c r="L969" s="1">
        <v>44370</v>
      </c>
      <c r="M969">
        <v>968</v>
      </c>
      <c r="N969">
        <v>4</v>
      </c>
      <c r="O969" t="s">
        <v>32</v>
      </c>
      <c r="P969" s="3">
        <v>0.05</v>
      </c>
      <c r="Q969" s="2">
        <v>195.3</v>
      </c>
      <c r="R969">
        <v>2</v>
      </c>
      <c r="S969" t="str">
        <f t="shared" si="15"/>
        <v>Junho</v>
      </c>
    </row>
    <row r="970" spans="1:19">
      <c r="A970">
        <v>969</v>
      </c>
      <c r="B970" s="1">
        <v>44352</v>
      </c>
      <c r="C970">
        <v>51</v>
      </c>
      <c r="D970" t="s">
        <v>53</v>
      </c>
      <c r="E970" t="s">
        <v>54</v>
      </c>
      <c r="F970">
        <v>50</v>
      </c>
      <c r="G970" s="2">
        <v>102</v>
      </c>
      <c r="H970" s="2">
        <v>5100</v>
      </c>
      <c r="I970" s="4">
        <v>0.14000000000000001</v>
      </c>
      <c r="J970" s="2">
        <v>4386</v>
      </c>
      <c r="K970" s="1">
        <v>44365</v>
      </c>
      <c r="L970" s="1">
        <v>44365</v>
      </c>
      <c r="M970">
        <v>969</v>
      </c>
      <c r="N970">
        <v>7</v>
      </c>
      <c r="O970" t="s">
        <v>37</v>
      </c>
      <c r="P970" s="3">
        <v>0.06</v>
      </c>
      <c r="Q970" s="2">
        <v>263.15999999999997</v>
      </c>
      <c r="R970">
        <v>3</v>
      </c>
      <c r="S970" t="str">
        <f t="shared" si="15"/>
        <v>Junho</v>
      </c>
    </row>
    <row r="971" spans="1:19">
      <c r="A971">
        <v>970</v>
      </c>
      <c r="B971" s="1">
        <v>44353</v>
      </c>
      <c r="C971">
        <v>1</v>
      </c>
      <c r="D971" t="s">
        <v>93</v>
      </c>
      <c r="E971" t="s">
        <v>31</v>
      </c>
      <c r="F971">
        <v>32</v>
      </c>
      <c r="G971" s="2">
        <v>114</v>
      </c>
      <c r="H971" s="2">
        <v>3648</v>
      </c>
      <c r="I971" s="4">
        <v>0.06</v>
      </c>
      <c r="J971" s="2">
        <v>3429.12</v>
      </c>
      <c r="K971" s="1">
        <v>44354</v>
      </c>
      <c r="L971" s="1">
        <v>44354</v>
      </c>
      <c r="M971">
        <v>970</v>
      </c>
      <c r="N971">
        <v>4</v>
      </c>
      <c r="O971" t="s">
        <v>47</v>
      </c>
      <c r="P971" s="3">
        <v>0.05</v>
      </c>
      <c r="Q971" s="2">
        <v>171.45600000000002</v>
      </c>
      <c r="R971">
        <v>4</v>
      </c>
      <c r="S971" t="str">
        <f t="shared" si="15"/>
        <v>Junho</v>
      </c>
    </row>
    <row r="972" spans="1:19">
      <c r="A972">
        <v>971</v>
      </c>
      <c r="B972" s="1">
        <v>44354</v>
      </c>
      <c r="C972">
        <v>19</v>
      </c>
      <c r="D972" t="s">
        <v>38</v>
      </c>
      <c r="E972" t="s">
        <v>31</v>
      </c>
      <c r="F972">
        <v>48</v>
      </c>
      <c r="G972" s="2">
        <v>107</v>
      </c>
      <c r="H972" s="2">
        <v>5136</v>
      </c>
      <c r="I972" s="4">
        <v>0.04</v>
      </c>
      <c r="J972" s="2">
        <v>4930.5600000000004</v>
      </c>
      <c r="K972" s="1">
        <v>44377</v>
      </c>
      <c r="L972" s="1">
        <v>44377</v>
      </c>
      <c r="M972">
        <v>971</v>
      </c>
      <c r="N972">
        <v>7</v>
      </c>
      <c r="O972" t="s">
        <v>32</v>
      </c>
      <c r="P972" s="3">
        <v>0.08</v>
      </c>
      <c r="Q972" s="2">
        <v>394.44480000000004</v>
      </c>
      <c r="R972">
        <v>5</v>
      </c>
      <c r="S972" t="str">
        <f t="shared" si="15"/>
        <v>Junho</v>
      </c>
    </row>
    <row r="973" spans="1:19">
      <c r="A973">
        <v>972</v>
      </c>
      <c r="B973" s="1">
        <v>44354</v>
      </c>
      <c r="C973">
        <v>33</v>
      </c>
      <c r="D973" t="s">
        <v>76</v>
      </c>
      <c r="E973" t="s">
        <v>46</v>
      </c>
      <c r="F973">
        <v>23</v>
      </c>
      <c r="G973" s="2">
        <v>116</v>
      </c>
      <c r="H973" s="2">
        <v>2668</v>
      </c>
      <c r="I973" s="4">
        <v>0.08</v>
      </c>
      <c r="J973" s="2">
        <v>2454.56</v>
      </c>
      <c r="K973" s="1">
        <v>44379</v>
      </c>
      <c r="L973" s="1">
        <v>44379</v>
      </c>
      <c r="M973">
        <v>972</v>
      </c>
      <c r="N973">
        <v>6</v>
      </c>
      <c r="O973" t="s">
        <v>25</v>
      </c>
      <c r="P973" s="3">
        <v>0.08</v>
      </c>
      <c r="Q973" s="2">
        <v>196.3648</v>
      </c>
      <c r="R973">
        <v>6</v>
      </c>
      <c r="S973" t="str">
        <f t="shared" si="15"/>
        <v>Junho</v>
      </c>
    </row>
    <row r="974" spans="1:19">
      <c r="A974">
        <v>973</v>
      </c>
      <c r="B974" s="1">
        <v>44354</v>
      </c>
      <c r="C974">
        <v>22</v>
      </c>
      <c r="D974" t="s">
        <v>51</v>
      </c>
      <c r="E974" t="s">
        <v>31</v>
      </c>
      <c r="F974">
        <v>33</v>
      </c>
      <c r="G974" s="2">
        <v>103</v>
      </c>
      <c r="H974" s="2">
        <v>3399</v>
      </c>
      <c r="I974" s="4">
        <v>0.08</v>
      </c>
      <c r="J974" s="2">
        <v>3127.08</v>
      </c>
      <c r="K974" s="1">
        <v>44373</v>
      </c>
      <c r="L974" s="1">
        <v>44373</v>
      </c>
      <c r="M974">
        <v>973</v>
      </c>
      <c r="N974">
        <v>7</v>
      </c>
      <c r="O974" t="s">
        <v>34</v>
      </c>
      <c r="P974" s="3">
        <v>0.1</v>
      </c>
      <c r="Q974" s="2">
        <v>312.70800000000003</v>
      </c>
      <c r="R974">
        <v>7</v>
      </c>
      <c r="S974" t="str">
        <f t="shared" si="15"/>
        <v>Junho</v>
      </c>
    </row>
    <row r="975" spans="1:19">
      <c r="A975">
        <v>974</v>
      </c>
      <c r="B975" s="1">
        <v>44354</v>
      </c>
      <c r="C975">
        <v>84</v>
      </c>
      <c r="D975" t="s">
        <v>44</v>
      </c>
      <c r="E975" t="s">
        <v>46</v>
      </c>
      <c r="F975">
        <v>15</v>
      </c>
      <c r="G975" s="2">
        <v>120</v>
      </c>
      <c r="H975" s="2">
        <v>1800</v>
      </c>
      <c r="I975" s="4">
        <v>0.08</v>
      </c>
      <c r="J975" s="2">
        <v>1656</v>
      </c>
      <c r="K975" s="1">
        <v>44365</v>
      </c>
      <c r="L975" s="1">
        <v>44365</v>
      </c>
      <c r="M975">
        <v>974</v>
      </c>
      <c r="N975">
        <v>3</v>
      </c>
      <c r="O975" t="s">
        <v>22</v>
      </c>
      <c r="P975" s="3">
        <v>0.08</v>
      </c>
      <c r="Q975" s="2">
        <v>132.47999999999999</v>
      </c>
      <c r="R975">
        <v>1</v>
      </c>
      <c r="S975" t="str">
        <f t="shared" si="15"/>
        <v>Junho</v>
      </c>
    </row>
    <row r="976" spans="1:19">
      <c r="A976">
        <v>975</v>
      </c>
      <c r="B976" s="1">
        <v>44354</v>
      </c>
      <c r="C976">
        <v>89</v>
      </c>
      <c r="D976" t="s">
        <v>49</v>
      </c>
      <c r="E976" t="s">
        <v>28</v>
      </c>
      <c r="F976">
        <v>34</v>
      </c>
      <c r="G976" s="2">
        <v>101</v>
      </c>
      <c r="H976" s="2">
        <v>3434</v>
      </c>
      <c r="I976" s="4">
        <v>0.11</v>
      </c>
      <c r="J976" s="2">
        <v>3056.26</v>
      </c>
      <c r="K976" s="1">
        <v>44372</v>
      </c>
      <c r="L976" s="1">
        <v>44372</v>
      </c>
      <c r="M976">
        <v>975</v>
      </c>
      <c r="N976">
        <v>1</v>
      </c>
      <c r="O976" t="s">
        <v>69</v>
      </c>
      <c r="P976" s="3">
        <v>0.09</v>
      </c>
      <c r="Q976" s="2">
        <v>275.0634</v>
      </c>
      <c r="R976">
        <v>2</v>
      </c>
      <c r="S976" t="str">
        <f t="shared" si="15"/>
        <v>Junho</v>
      </c>
    </row>
    <row r="977" spans="1:19">
      <c r="A977">
        <v>976</v>
      </c>
      <c r="B977" s="1">
        <v>44354</v>
      </c>
      <c r="C977">
        <v>43</v>
      </c>
      <c r="D977" t="s">
        <v>99</v>
      </c>
      <c r="E977" t="s">
        <v>55</v>
      </c>
      <c r="F977">
        <v>35</v>
      </c>
      <c r="G977" s="2">
        <v>91</v>
      </c>
      <c r="H977" s="2">
        <v>3185</v>
      </c>
      <c r="I977" s="4">
        <v>0.02</v>
      </c>
      <c r="J977" s="2">
        <v>3121.3</v>
      </c>
      <c r="K977" s="1">
        <v>44380</v>
      </c>
      <c r="L977" s="1">
        <v>44380</v>
      </c>
      <c r="M977">
        <v>976</v>
      </c>
      <c r="N977">
        <v>3</v>
      </c>
      <c r="O977" t="s">
        <v>32</v>
      </c>
      <c r="P977" s="3">
        <v>7.0000000000000007E-2</v>
      </c>
      <c r="Q977" s="2">
        <v>218.49100000000004</v>
      </c>
      <c r="R977">
        <v>3</v>
      </c>
      <c r="S977" t="str">
        <f t="shared" si="15"/>
        <v>Junho</v>
      </c>
    </row>
    <row r="978" spans="1:19">
      <c r="A978">
        <v>977</v>
      </c>
      <c r="B978" s="1">
        <v>44355</v>
      </c>
      <c r="C978">
        <v>26</v>
      </c>
      <c r="D978" t="s">
        <v>95</v>
      </c>
      <c r="E978" t="s">
        <v>28</v>
      </c>
      <c r="F978">
        <v>23</v>
      </c>
      <c r="G978" s="2">
        <v>114</v>
      </c>
      <c r="H978" s="2">
        <v>2622</v>
      </c>
      <c r="I978" s="4">
        <v>0.11</v>
      </c>
      <c r="J978" s="2">
        <v>2333.58</v>
      </c>
      <c r="K978" s="1">
        <v>44357</v>
      </c>
      <c r="L978" s="1">
        <v>44357</v>
      </c>
      <c r="M978">
        <v>977</v>
      </c>
      <c r="N978">
        <v>2</v>
      </c>
      <c r="O978" t="s">
        <v>69</v>
      </c>
      <c r="P978" s="3">
        <v>0.06</v>
      </c>
      <c r="Q978" s="2">
        <v>140.01479999999998</v>
      </c>
      <c r="R978">
        <v>4</v>
      </c>
      <c r="S978" t="str">
        <f t="shared" si="15"/>
        <v>Junho</v>
      </c>
    </row>
    <row r="979" spans="1:19">
      <c r="A979">
        <v>978</v>
      </c>
      <c r="B979" s="1">
        <v>44355</v>
      </c>
      <c r="C979">
        <v>71</v>
      </c>
      <c r="D979" t="s">
        <v>20</v>
      </c>
      <c r="E979" t="s">
        <v>46</v>
      </c>
      <c r="F979">
        <v>29</v>
      </c>
      <c r="G979" s="2">
        <v>106</v>
      </c>
      <c r="H979" s="2">
        <v>3074</v>
      </c>
      <c r="I979" s="4">
        <v>0.11</v>
      </c>
      <c r="J979" s="2">
        <v>2735.86</v>
      </c>
      <c r="K979" s="1">
        <v>44355</v>
      </c>
      <c r="L979" s="1">
        <v>44355</v>
      </c>
      <c r="M979">
        <v>978</v>
      </c>
      <c r="N979">
        <v>5</v>
      </c>
      <c r="O979" t="s">
        <v>25</v>
      </c>
      <c r="P979" s="3">
        <v>7.0000000000000007E-2</v>
      </c>
      <c r="Q979" s="2">
        <v>191.51020000000003</v>
      </c>
      <c r="R979">
        <v>5</v>
      </c>
      <c r="S979" t="str">
        <f t="shared" si="15"/>
        <v>Junho</v>
      </c>
    </row>
    <row r="980" spans="1:19">
      <c r="A980">
        <v>979</v>
      </c>
      <c r="B980" s="1">
        <v>44355</v>
      </c>
      <c r="C980">
        <v>76</v>
      </c>
      <c r="D980" t="s">
        <v>104</v>
      </c>
      <c r="E980" t="s">
        <v>50</v>
      </c>
      <c r="F980">
        <v>29</v>
      </c>
      <c r="G980" s="2">
        <v>117</v>
      </c>
      <c r="H980" s="2">
        <v>3393</v>
      </c>
      <c r="I980" s="4">
        <v>0.03</v>
      </c>
      <c r="J980" s="2">
        <v>3291.21</v>
      </c>
      <c r="K980" s="1">
        <v>44355</v>
      </c>
      <c r="L980" s="1">
        <v>44355</v>
      </c>
      <c r="M980">
        <v>979</v>
      </c>
      <c r="N980">
        <v>4</v>
      </c>
      <c r="O980" t="s">
        <v>37</v>
      </c>
      <c r="P980" s="3">
        <v>0.05</v>
      </c>
      <c r="Q980" s="2">
        <v>164.56050000000002</v>
      </c>
      <c r="R980">
        <v>6</v>
      </c>
      <c r="S980" t="str">
        <f t="shared" si="15"/>
        <v>Junho</v>
      </c>
    </row>
    <row r="981" spans="1:19">
      <c r="A981">
        <v>980</v>
      </c>
      <c r="B981" s="1">
        <v>44356</v>
      </c>
      <c r="C981">
        <v>58</v>
      </c>
      <c r="D981" t="s">
        <v>72</v>
      </c>
      <c r="E981" t="s">
        <v>46</v>
      </c>
      <c r="F981">
        <v>20</v>
      </c>
      <c r="G981" s="2">
        <v>96</v>
      </c>
      <c r="H981" s="2">
        <v>1920</v>
      </c>
      <c r="I981" s="4">
        <v>0.08</v>
      </c>
      <c r="J981" s="2">
        <v>1766.4</v>
      </c>
      <c r="K981" s="1">
        <v>44375</v>
      </c>
      <c r="L981" s="1">
        <v>44375</v>
      </c>
      <c r="M981">
        <v>980</v>
      </c>
      <c r="N981">
        <v>7</v>
      </c>
      <c r="O981" t="s">
        <v>34</v>
      </c>
      <c r="P981" s="3">
        <v>0.08</v>
      </c>
      <c r="Q981" s="2">
        <v>141.31200000000001</v>
      </c>
      <c r="R981">
        <v>7</v>
      </c>
      <c r="S981" t="str">
        <f t="shared" si="15"/>
        <v>Junho</v>
      </c>
    </row>
    <row r="982" spans="1:19">
      <c r="A982">
        <v>981</v>
      </c>
      <c r="B982" s="1">
        <v>44358</v>
      </c>
      <c r="C982">
        <v>70</v>
      </c>
      <c r="D982" t="s">
        <v>67</v>
      </c>
      <c r="E982" t="s">
        <v>21</v>
      </c>
      <c r="F982">
        <v>41</v>
      </c>
      <c r="G982" s="2">
        <v>102</v>
      </c>
      <c r="H982" s="2">
        <v>4182</v>
      </c>
      <c r="I982" s="4">
        <v>0.15</v>
      </c>
      <c r="J982" s="2">
        <v>3554.7</v>
      </c>
      <c r="K982" s="1">
        <v>44366</v>
      </c>
      <c r="L982" s="1">
        <v>44366</v>
      </c>
      <c r="M982">
        <v>981</v>
      </c>
      <c r="N982">
        <v>6</v>
      </c>
      <c r="O982" t="s">
        <v>47</v>
      </c>
      <c r="P982" s="3">
        <v>0.05</v>
      </c>
      <c r="Q982" s="2">
        <v>177.73500000000001</v>
      </c>
      <c r="R982">
        <v>1</v>
      </c>
      <c r="S982" t="str">
        <f t="shared" si="15"/>
        <v>Junho</v>
      </c>
    </row>
    <row r="983" spans="1:19">
      <c r="A983">
        <v>982</v>
      </c>
      <c r="B983" s="1">
        <v>44358</v>
      </c>
      <c r="C983">
        <v>34</v>
      </c>
      <c r="D983" t="s">
        <v>58</v>
      </c>
      <c r="E983" t="s">
        <v>59</v>
      </c>
      <c r="F983">
        <v>38</v>
      </c>
      <c r="G983" s="2">
        <v>97</v>
      </c>
      <c r="H983" s="2">
        <v>3686</v>
      </c>
      <c r="I983" s="4">
        <v>7.0000000000000007E-2</v>
      </c>
      <c r="J983" s="2">
        <v>3427.98</v>
      </c>
      <c r="K983" s="1">
        <v>44364</v>
      </c>
      <c r="L983" s="1">
        <v>44364</v>
      </c>
      <c r="M983">
        <v>982</v>
      </c>
      <c r="N983">
        <v>1</v>
      </c>
      <c r="O983" t="s">
        <v>37</v>
      </c>
      <c r="P983" s="3">
        <v>7.0000000000000007E-2</v>
      </c>
      <c r="Q983" s="2">
        <v>239.95860000000002</v>
      </c>
      <c r="R983">
        <v>2</v>
      </c>
      <c r="S983" t="str">
        <f t="shared" si="15"/>
        <v>Junho</v>
      </c>
    </row>
    <row r="984" spans="1:19">
      <c r="A984">
        <v>983</v>
      </c>
      <c r="B984" s="1">
        <v>44358</v>
      </c>
      <c r="C984">
        <v>72</v>
      </c>
      <c r="D984" t="s">
        <v>38</v>
      </c>
      <c r="E984" t="s">
        <v>55</v>
      </c>
      <c r="F984">
        <v>25</v>
      </c>
      <c r="G984" s="2">
        <v>91</v>
      </c>
      <c r="H984" s="2">
        <v>2275</v>
      </c>
      <c r="I984" s="4">
        <v>7.0000000000000007E-2</v>
      </c>
      <c r="J984" s="2">
        <v>2115.75</v>
      </c>
      <c r="K984" s="1">
        <v>44373</v>
      </c>
      <c r="L984" s="1">
        <v>44373</v>
      </c>
      <c r="M984">
        <v>983</v>
      </c>
      <c r="N984">
        <v>1</v>
      </c>
      <c r="O984" t="s">
        <v>25</v>
      </c>
      <c r="P984" s="3">
        <v>0.05</v>
      </c>
      <c r="Q984" s="2">
        <v>105.78750000000001</v>
      </c>
      <c r="R984">
        <v>3</v>
      </c>
      <c r="S984" t="str">
        <f t="shared" si="15"/>
        <v>Junho</v>
      </c>
    </row>
    <row r="985" spans="1:19">
      <c r="A985">
        <v>984</v>
      </c>
      <c r="B985" s="1">
        <v>44358</v>
      </c>
      <c r="C985">
        <v>74</v>
      </c>
      <c r="D985" t="s">
        <v>38</v>
      </c>
      <c r="E985" t="s">
        <v>31</v>
      </c>
      <c r="F985">
        <v>13</v>
      </c>
      <c r="G985" s="2">
        <v>115</v>
      </c>
      <c r="H985" s="2">
        <v>1495</v>
      </c>
      <c r="I985" s="4">
        <v>0.04</v>
      </c>
      <c r="J985" s="2">
        <v>1435.2</v>
      </c>
      <c r="K985" s="1">
        <v>44373</v>
      </c>
      <c r="L985" s="1">
        <v>44373</v>
      </c>
      <c r="M985">
        <v>984</v>
      </c>
      <c r="N985">
        <v>4</v>
      </c>
      <c r="O985" t="s">
        <v>52</v>
      </c>
      <c r="P985" s="3">
        <v>0.05</v>
      </c>
      <c r="Q985" s="2">
        <v>71.760000000000005</v>
      </c>
      <c r="R985">
        <v>4</v>
      </c>
      <c r="S985" t="str">
        <f t="shared" si="15"/>
        <v>Junho</v>
      </c>
    </row>
    <row r="986" spans="1:19">
      <c r="A986">
        <v>985</v>
      </c>
      <c r="B986" s="1">
        <v>44358</v>
      </c>
      <c r="C986">
        <v>44</v>
      </c>
      <c r="D986" t="s">
        <v>71</v>
      </c>
      <c r="E986" t="s">
        <v>54</v>
      </c>
      <c r="F986">
        <v>26</v>
      </c>
      <c r="G986" s="2">
        <v>114</v>
      </c>
      <c r="H986" s="2">
        <v>2964</v>
      </c>
      <c r="I986" s="4">
        <v>0.09</v>
      </c>
      <c r="J986" s="2">
        <v>2697.24</v>
      </c>
      <c r="K986" s="1">
        <v>44366</v>
      </c>
      <c r="L986" s="1">
        <v>44366</v>
      </c>
      <c r="M986">
        <v>985</v>
      </c>
      <c r="N986">
        <v>6</v>
      </c>
      <c r="O986" t="s">
        <v>52</v>
      </c>
      <c r="P986" s="3">
        <v>0.06</v>
      </c>
      <c r="Q986" s="2">
        <v>161.83439999999999</v>
      </c>
      <c r="R986">
        <v>5</v>
      </c>
      <c r="S986" t="str">
        <f t="shared" si="15"/>
        <v>Junho</v>
      </c>
    </row>
    <row r="987" spans="1:19">
      <c r="A987">
        <v>986</v>
      </c>
      <c r="B987" s="1">
        <v>44358</v>
      </c>
      <c r="C987">
        <v>47</v>
      </c>
      <c r="D987" t="s">
        <v>40</v>
      </c>
      <c r="E987" t="s">
        <v>24</v>
      </c>
      <c r="F987">
        <v>32</v>
      </c>
      <c r="G987" s="2">
        <v>98</v>
      </c>
      <c r="H987" s="2">
        <v>3136</v>
      </c>
      <c r="I987" s="4">
        <v>0.08</v>
      </c>
      <c r="J987" s="2">
        <v>2885.12</v>
      </c>
      <c r="K987" s="1">
        <v>44379</v>
      </c>
      <c r="L987" s="1">
        <v>44379</v>
      </c>
      <c r="M987">
        <v>986</v>
      </c>
      <c r="N987">
        <v>3</v>
      </c>
      <c r="O987" t="s">
        <v>29</v>
      </c>
      <c r="P987" s="3">
        <v>7.0000000000000007E-2</v>
      </c>
      <c r="Q987" s="2">
        <v>201.95840000000001</v>
      </c>
      <c r="R987">
        <v>6</v>
      </c>
      <c r="S987" t="str">
        <f t="shared" si="15"/>
        <v>Junho</v>
      </c>
    </row>
    <row r="988" spans="1:19">
      <c r="A988">
        <v>987</v>
      </c>
      <c r="B988" s="1">
        <v>44360</v>
      </c>
      <c r="C988">
        <v>43</v>
      </c>
      <c r="D988" t="s">
        <v>99</v>
      </c>
      <c r="E988" t="s">
        <v>46</v>
      </c>
      <c r="F988">
        <v>15</v>
      </c>
      <c r="G988" s="2">
        <v>95</v>
      </c>
      <c r="H988" s="2">
        <v>1425</v>
      </c>
      <c r="I988" s="4">
        <v>0.11</v>
      </c>
      <c r="J988" s="2">
        <v>1268.25</v>
      </c>
      <c r="K988" s="1">
        <v>44387</v>
      </c>
      <c r="L988" s="1">
        <v>44387</v>
      </c>
      <c r="M988">
        <v>987</v>
      </c>
      <c r="N988">
        <v>2</v>
      </c>
      <c r="O988" t="s">
        <v>25</v>
      </c>
      <c r="P988" s="3">
        <v>0.09</v>
      </c>
      <c r="Q988" s="2">
        <v>114.1425</v>
      </c>
      <c r="R988">
        <v>7</v>
      </c>
      <c r="S988" t="str">
        <f t="shared" si="15"/>
        <v>Junho</v>
      </c>
    </row>
    <row r="989" spans="1:19">
      <c r="A989">
        <v>988</v>
      </c>
      <c r="B989" s="1">
        <v>44360</v>
      </c>
      <c r="C989">
        <v>73</v>
      </c>
      <c r="D989" t="s">
        <v>38</v>
      </c>
      <c r="E989" t="s">
        <v>50</v>
      </c>
      <c r="F989">
        <v>30</v>
      </c>
      <c r="G989" s="2">
        <v>97</v>
      </c>
      <c r="H989" s="2">
        <v>2910</v>
      </c>
      <c r="I989" s="4">
        <v>0.09</v>
      </c>
      <c r="J989" s="2">
        <v>2648.1</v>
      </c>
      <c r="K989" s="1">
        <v>44385</v>
      </c>
      <c r="L989" s="1">
        <v>44385</v>
      </c>
      <c r="M989">
        <v>988</v>
      </c>
      <c r="N989">
        <v>3</v>
      </c>
      <c r="O989" t="s">
        <v>22</v>
      </c>
      <c r="P989" s="3">
        <v>0.1</v>
      </c>
      <c r="Q989" s="2">
        <v>264.81</v>
      </c>
      <c r="R989">
        <v>1</v>
      </c>
      <c r="S989" t="str">
        <f t="shared" si="15"/>
        <v>Junho</v>
      </c>
    </row>
    <row r="990" spans="1:19">
      <c r="A990">
        <v>989</v>
      </c>
      <c r="B990" s="1">
        <v>44361</v>
      </c>
      <c r="C990">
        <v>93</v>
      </c>
      <c r="D990" t="s">
        <v>33</v>
      </c>
      <c r="E990" t="s">
        <v>24</v>
      </c>
      <c r="F990">
        <v>12</v>
      </c>
      <c r="G990" s="2">
        <v>96</v>
      </c>
      <c r="H990" s="2">
        <v>1152</v>
      </c>
      <c r="I990" s="4">
        <v>0.03</v>
      </c>
      <c r="J990" s="2">
        <v>1117.44</v>
      </c>
      <c r="K990" s="1">
        <v>44376</v>
      </c>
      <c r="L990" s="1">
        <v>44376</v>
      </c>
      <c r="M990">
        <v>989</v>
      </c>
      <c r="N990">
        <v>2</v>
      </c>
      <c r="O990" t="s">
        <v>37</v>
      </c>
      <c r="P990" s="3">
        <v>0.06</v>
      </c>
      <c r="Q990" s="2">
        <v>67.046400000000006</v>
      </c>
      <c r="R990">
        <v>2</v>
      </c>
      <c r="S990" t="str">
        <f t="shared" si="15"/>
        <v>Junho</v>
      </c>
    </row>
    <row r="991" spans="1:19">
      <c r="A991">
        <v>990</v>
      </c>
      <c r="B991" s="1">
        <v>44361</v>
      </c>
      <c r="C991">
        <v>6</v>
      </c>
      <c r="D991" t="s">
        <v>88</v>
      </c>
      <c r="E991" t="s">
        <v>46</v>
      </c>
      <c r="F991">
        <v>36</v>
      </c>
      <c r="G991" s="2">
        <v>92</v>
      </c>
      <c r="H991" s="2">
        <v>3312</v>
      </c>
      <c r="I991" s="4">
        <v>0.15</v>
      </c>
      <c r="J991" s="2">
        <v>2815.2</v>
      </c>
      <c r="K991" s="1">
        <v>44390</v>
      </c>
      <c r="L991" s="1">
        <v>44390</v>
      </c>
      <c r="M991">
        <v>990</v>
      </c>
      <c r="N991">
        <v>7</v>
      </c>
      <c r="O991" t="s">
        <v>37</v>
      </c>
      <c r="P991" s="3">
        <v>0.09</v>
      </c>
      <c r="Q991" s="2">
        <v>253.36799999999997</v>
      </c>
      <c r="R991">
        <v>3</v>
      </c>
      <c r="S991" t="str">
        <f t="shared" si="15"/>
        <v>Junho</v>
      </c>
    </row>
    <row r="992" spans="1:19">
      <c r="A992">
        <v>991</v>
      </c>
      <c r="B992" s="1">
        <v>44362</v>
      </c>
      <c r="C992">
        <v>11</v>
      </c>
      <c r="D992" t="s">
        <v>60</v>
      </c>
      <c r="E992" t="s">
        <v>31</v>
      </c>
      <c r="F992">
        <v>50</v>
      </c>
      <c r="G992" s="2">
        <v>118</v>
      </c>
      <c r="H992" s="2">
        <v>5900</v>
      </c>
      <c r="I992" s="4">
        <v>0.13</v>
      </c>
      <c r="J992" s="2">
        <v>5133</v>
      </c>
      <c r="K992" s="1">
        <v>44366</v>
      </c>
      <c r="L992" s="1">
        <v>44366</v>
      </c>
      <c r="M992">
        <v>991</v>
      </c>
      <c r="N992">
        <v>1</v>
      </c>
      <c r="O992" t="s">
        <v>37</v>
      </c>
      <c r="P992" s="3">
        <v>0.09</v>
      </c>
      <c r="Q992" s="2">
        <v>461.96999999999997</v>
      </c>
      <c r="R992">
        <v>4</v>
      </c>
      <c r="S992" t="str">
        <f t="shared" si="15"/>
        <v>Junho</v>
      </c>
    </row>
    <row r="993" spans="1:19">
      <c r="A993">
        <v>992</v>
      </c>
      <c r="B993" s="1">
        <v>44363</v>
      </c>
      <c r="C993">
        <v>42</v>
      </c>
      <c r="D993" t="s">
        <v>92</v>
      </c>
      <c r="E993" t="s">
        <v>24</v>
      </c>
      <c r="F993">
        <v>12</v>
      </c>
      <c r="G993" s="2">
        <v>111</v>
      </c>
      <c r="H993" s="2">
        <v>1332</v>
      </c>
      <c r="I993" s="4">
        <v>0.11</v>
      </c>
      <c r="J993" s="2">
        <v>1185.48</v>
      </c>
      <c r="K993" s="1">
        <v>44366</v>
      </c>
      <c r="L993" s="1">
        <v>44366</v>
      </c>
      <c r="M993">
        <v>992</v>
      </c>
      <c r="N993">
        <v>7</v>
      </c>
      <c r="O993" t="s">
        <v>34</v>
      </c>
      <c r="P993" s="3">
        <v>0.09</v>
      </c>
      <c r="Q993" s="2">
        <v>106.6932</v>
      </c>
      <c r="R993">
        <v>5</v>
      </c>
      <c r="S993" t="str">
        <f t="shared" si="15"/>
        <v>Junho</v>
      </c>
    </row>
    <row r="994" spans="1:19">
      <c r="A994">
        <v>993</v>
      </c>
      <c r="B994" s="1">
        <v>44364</v>
      </c>
      <c r="C994">
        <v>60</v>
      </c>
      <c r="D994" t="s">
        <v>82</v>
      </c>
      <c r="E994" t="s">
        <v>50</v>
      </c>
      <c r="F994">
        <v>24</v>
      </c>
      <c r="G994" s="2">
        <v>107</v>
      </c>
      <c r="H994" s="2">
        <v>2568</v>
      </c>
      <c r="I994" s="4">
        <v>0.05</v>
      </c>
      <c r="J994" s="2">
        <v>2439.6</v>
      </c>
      <c r="K994" s="1">
        <v>44365</v>
      </c>
      <c r="L994" s="1">
        <v>44365</v>
      </c>
      <c r="M994">
        <v>993</v>
      </c>
      <c r="N994">
        <v>7</v>
      </c>
      <c r="O994" t="s">
        <v>69</v>
      </c>
      <c r="P994" s="3">
        <v>0.06</v>
      </c>
      <c r="Q994" s="2">
        <v>146.37599999999998</v>
      </c>
      <c r="R994">
        <v>6</v>
      </c>
      <c r="S994" t="str">
        <f t="shared" si="15"/>
        <v>Junho</v>
      </c>
    </row>
    <row r="995" spans="1:19">
      <c r="A995">
        <v>994</v>
      </c>
      <c r="B995" s="1">
        <v>44364</v>
      </c>
      <c r="C995">
        <v>79</v>
      </c>
      <c r="D995" t="s">
        <v>33</v>
      </c>
      <c r="E995" t="s">
        <v>24</v>
      </c>
      <c r="F995">
        <v>13</v>
      </c>
      <c r="G995" s="2">
        <v>117</v>
      </c>
      <c r="H995" s="2">
        <v>1521</v>
      </c>
      <c r="I995" s="4">
        <v>7.0000000000000007E-2</v>
      </c>
      <c r="J995" s="2">
        <v>1414.53</v>
      </c>
      <c r="K995" s="1">
        <v>44382</v>
      </c>
      <c r="L995" s="1">
        <v>44382</v>
      </c>
      <c r="M995">
        <v>994</v>
      </c>
      <c r="N995">
        <v>5</v>
      </c>
      <c r="O995" t="s">
        <v>47</v>
      </c>
      <c r="P995" s="3">
        <v>0.08</v>
      </c>
      <c r="Q995" s="2">
        <v>113.16240000000001</v>
      </c>
      <c r="R995">
        <v>7</v>
      </c>
      <c r="S995" t="str">
        <f t="shared" si="15"/>
        <v>Junho</v>
      </c>
    </row>
    <row r="996" spans="1:19">
      <c r="A996">
        <v>995</v>
      </c>
      <c r="B996" s="1">
        <v>44364</v>
      </c>
      <c r="C996">
        <v>21</v>
      </c>
      <c r="D996" t="s">
        <v>87</v>
      </c>
      <c r="E996" t="s">
        <v>31</v>
      </c>
      <c r="F996">
        <v>14</v>
      </c>
      <c r="G996" s="2">
        <v>119</v>
      </c>
      <c r="H996" s="2">
        <v>1666</v>
      </c>
      <c r="I996" s="4">
        <v>0.13</v>
      </c>
      <c r="J996" s="2">
        <v>1449.42</v>
      </c>
      <c r="K996" s="1">
        <v>44374</v>
      </c>
      <c r="L996" s="1">
        <v>44374</v>
      </c>
      <c r="M996">
        <v>995</v>
      </c>
      <c r="N996">
        <v>5</v>
      </c>
      <c r="O996" t="s">
        <v>37</v>
      </c>
      <c r="P996" s="3">
        <v>0.06</v>
      </c>
      <c r="Q996" s="2">
        <v>86.965199999999996</v>
      </c>
      <c r="R996">
        <v>1</v>
      </c>
      <c r="S996" t="str">
        <f t="shared" si="15"/>
        <v>Junho</v>
      </c>
    </row>
    <row r="997" spans="1:19">
      <c r="A997">
        <v>996</v>
      </c>
      <c r="B997" s="1">
        <v>44364</v>
      </c>
      <c r="C997">
        <v>77</v>
      </c>
      <c r="D997" t="s">
        <v>65</v>
      </c>
      <c r="E997" t="s">
        <v>50</v>
      </c>
      <c r="F997">
        <v>16</v>
      </c>
      <c r="G997" s="2">
        <v>113</v>
      </c>
      <c r="H997" s="2">
        <v>1808</v>
      </c>
      <c r="I997" s="4">
        <v>0.03</v>
      </c>
      <c r="J997" s="2">
        <v>1753.76</v>
      </c>
      <c r="K997" s="1">
        <v>44364</v>
      </c>
      <c r="L997" s="1">
        <v>44364</v>
      </c>
      <c r="M997">
        <v>996</v>
      </c>
      <c r="N997">
        <v>5</v>
      </c>
      <c r="O997" t="s">
        <v>25</v>
      </c>
      <c r="P997" s="3">
        <v>0.09</v>
      </c>
      <c r="Q997" s="2">
        <v>157.83840000000001</v>
      </c>
      <c r="R997">
        <v>2</v>
      </c>
      <c r="S997" t="str">
        <f t="shared" si="15"/>
        <v>Junho</v>
      </c>
    </row>
    <row r="998" spans="1:19">
      <c r="A998">
        <v>997</v>
      </c>
      <c r="B998" s="1">
        <v>44365</v>
      </c>
      <c r="C998">
        <v>28</v>
      </c>
      <c r="D998" t="s">
        <v>86</v>
      </c>
      <c r="E998" t="s">
        <v>24</v>
      </c>
      <c r="F998">
        <v>33</v>
      </c>
      <c r="G998" s="2">
        <v>97</v>
      </c>
      <c r="H998" s="2">
        <v>3201</v>
      </c>
      <c r="I998" s="4">
        <v>0.11</v>
      </c>
      <c r="J998" s="2">
        <v>2848.89</v>
      </c>
      <c r="K998" s="1">
        <v>44373</v>
      </c>
      <c r="L998" s="1">
        <v>44373</v>
      </c>
      <c r="M998">
        <v>997</v>
      </c>
      <c r="N998">
        <v>3</v>
      </c>
      <c r="O998" t="s">
        <v>47</v>
      </c>
      <c r="P998" s="3">
        <v>7.0000000000000007E-2</v>
      </c>
      <c r="Q998" s="2">
        <v>199.42230000000001</v>
      </c>
      <c r="R998">
        <v>3</v>
      </c>
      <c r="S998" t="str">
        <f t="shared" si="15"/>
        <v>Junho</v>
      </c>
    </row>
    <row r="999" spans="1:19">
      <c r="A999">
        <v>998</v>
      </c>
      <c r="B999" s="1">
        <v>44365</v>
      </c>
      <c r="C999">
        <v>97</v>
      </c>
      <c r="D999" t="s">
        <v>66</v>
      </c>
      <c r="E999" t="s">
        <v>54</v>
      </c>
      <c r="F999">
        <v>13</v>
      </c>
      <c r="G999" s="2">
        <v>99</v>
      </c>
      <c r="H999" s="2">
        <v>1287</v>
      </c>
      <c r="I999" s="4">
        <v>0.06</v>
      </c>
      <c r="J999" s="2">
        <v>1209.78</v>
      </c>
      <c r="K999" s="1">
        <v>44382</v>
      </c>
      <c r="L999" s="1">
        <v>44382</v>
      </c>
      <c r="M999">
        <v>998</v>
      </c>
      <c r="N999">
        <v>3</v>
      </c>
      <c r="O999" t="s">
        <v>29</v>
      </c>
      <c r="P999" s="3">
        <v>7.0000000000000007E-2</v>
      </c>
      <c r="Q999" s="2">
        <v>84.684600000000003</v>
      </c>
      <c r="R999">
        <v>4</v>
      </c>
      <c r="S999" t="str">
        <f t="shared" si="15"/>
        <v>Junho</v>
      </c>
    </row>
    <row r="1000" spans="1:19">
      <c r="A1000">
        <v>999</v>
      </c>
      <c r="B1000" s="1">
        <v>44365</v>
      </c>
      <c r="C1000">
        <v>8</v>
      </c>
      <c r="D1000" t="s">
        <v>38</v>
      </c>
      <c r="E1000" t="s">
        <v>46</v>
      </c>
      <c r="F1000">
        <v>21</v>
      </c>
      <c r="G1000" s="2">
        <v>93</v>
      </c>
      <c r="H1000" s="2">
        <v>1953</v>
      </c>
      <c r="I1000" s="4">
        <v>0.03</v>
      </c>
      <c r="J1000" s="2">
        <v>1894.41</v>
      </c>
      <c r="K1000" s="1">
        <v>44392</v>
      </c>
      <c r="L1000" s="1">
        <v>44392</v>
      </c>
      <c r="M1000">
        <v>999</v>
      </c>
      <c r="N1000">
        <v>5</v>
      </c>
      <c r="O1000" t="s">
        <v>69</v>
      </c>
      <c r="P1000" s="3">
        <v>7.0000000000000007E-2</v>
      </c>
      <c r="Q1000" s="2">
        <v>132.60870000000003</v>
      </c>
      <c r="R1000">
        <v>5</v>
      </c>
      <c r="S1000" t="str">
        <f t="shared" si="15"/>
        <v>Junho</v>
      </c>
    </row>
    <row r="1001" spans="1:19">
      <c r="A1001">
        <v>1000</v>
      </c>
      <c r="B1001" s="1">
        <v>44366</v>
      </c>
      <c r="C1001">
        <v>1</v>
      </c>
      <c r="D1001" t="s">
        <v>93</v>
      </c>
      <c r="E1001" t="s">
        <v>24</v>
      </c>
      <c r="F1001">
        <v>41</v>
      </c>
      <c r="G1001" s="2">
        <v>92</v>
      </c>
      <c r="H1001" s="2">
        <v>3772</v>
      </c>
      <c r="I1001" s="4">
        <v>0.1</v>
      </c>
      <c r="J1001" s="2">
        <v>3394.8</v>
      </c>
      <c r="K1001" s="1">
        <v>44393</v>
      </c>
      <c r="L1001" s="1">
        <v>44393</v>
      </c>
      <c r="M1001">
        <v>1000</v>
      </c>
      <c r="N1001">
        <v>7</v>
      </c>
      <c r="O1001" t="s">
        <v>34</v>
      </c>
      <c r="P1001" s="3">
        <v>0.08</v>
      </c>
      <c r="Q1001" s="2">
        <v>271.584</v>
      </c>
      <c r="R1001">
        <v>6</v>
      </c>
      <c r="S1001" t="str">
        <f t="shared" si="15"/>
        <v>Junho</v>
      </c>
    </row>
    <row r="1002" spans="1:19">
      <c r="A1002">
        <v>1001</v>
      </c>
      <c r="B1002" s="1">
        <v>44367</v>
      </c>
      <c r="C1002">
        <v>98</v>
      </c>
      <c r="D1002" t="s">
        <v>26</v>
      </c>
      <c r="E1002" t="s">
        <v>28</v>
      </c>
      <c r="F1002">
        <v>47</v>
      </c>
      <c r="G1002" s="2">
        <v>108</v>
      </c>
      <c r="H1002" s="2">
        <v>5076</v>
      </c>
      <c r="I1002" s="4">
        <v>0</v>
      </c>
      <c r="J1002" s="2">
        <v>5076</v>
      </c>
      <c r="K1002" s="1">
        <v>44397</v>
      </c>
      <c r="L1002" s="1">
        <v>44397</v>
      </c>
      <c r="M1002">
        <v>1001</v>
      </c>
      <c r="N1002">
        <v>2</v>
      </c>
      <c r="O1002" t="s">
        <v>32</v>
      </c>
      <c r="P1002" s="3">
        <v>0.05</v>
      </c>
      <c r="Q1002" s="2">
        <v>253.8</v>
      </c>
      <c r="R1002">
        <v>7</v>
      </c>
      <c r="S1002" t="str">
        <f t="shared" si="15"/>
        <v>Junho</v>
      </c>
    </row>
    <row r="1003" spans="1:19">
      <c r="A1003">
        <v>1002</v>
      </c>
      <c r="B1003" s="1">
        <v>44369</v>
      </c>
      <c r="C1003">
        <v>28</v>
      </c>
      <c r="D1003" t="s">
        <v>86</v>
      </c>
      <c r="E1003" t="s">
        <v>46</v>
      </c>
      <c r="F1003">
        <v>27</v>
      </c>
      <c r="G1003" s="2">
        <v>105</v>
      </c>
      <c r="H1003" s="2">
        <v>2835</v>
      </c>
      <c r="I1003" s="4">
        <v>0.01</v>
      </c>
      <c r="J1003" s="2">
        <v>2806.65</v>
      </c>
      <c r="K1003" s="1">
        <v>44385</v>
      </c>
      <c r="L1003" s="1">
        <v>44385</v>
      </c>
      <c r="M1003">
        <v>1002</v>
      </c>
      <c r="N1003">
        <v>7</v>
      </c>
      <c r="O1003" t="s">
        <v>22</v>
      </c>
      <c r="P1003" s="3">
        <v>0.06</v>
      </c>
      <c r="Q1003" s="2">
        <v>168.399</v>
      </c>
      <c r="R1003">
        <v>1</v>
      </c>
      <c r="S1003" t="str">
        <f t="shared" si="15"/>
        <v>Junho</v>
      </c>
    </row>
    <row r="1004" spans="1:19">
      <c r="A1004">
        <v>1003</v>
      </c>
      <c r="B1004" s="1">
        <v>44369</v>
      </c>
      <c r="C1004">
        <v>11</v>
      </c>
      <c r="D1004" t="s">
        <v>60</v>
      </c>
      <c r="E1004" t="s">
        <v>46</v>
      </c>
      <c r="F1004">
        <v>41</v>
      </c>
      <c r="G1004" s="2">
        <v>107</v>
      </c>
      <c r="H1004" s="2">
        <v>4387</v>
      </c>
      <c r="I1004" s="4">
        <v>0</v>
      </c>
      <c r="J1004" s="2">
        <v>4387</v>
      </c>
      <c r="K1004" s="1">
        <v>44383</v>
      </c>
      <c r="L1004" s="1">
        <v>44383</v>
      </c>
      <c r="M1004">
        <v>1003</v>
      </c>
      <c r="N1004">
        <v>4</v>
      </c>
      <c r="O1004" t="s">
        <v>22</v>
      </c>
      <c r="P1004" s="3">
        <v>0.09</v>
      </c>
      <c r="Q1004" s="2">
        <v>394.83</v>
      </c>
      <c r="R1004">
        <v>2</v>
      </c>
      <c r="S1004" t="str">
        <f t="shared" si="15"/>
        <v>Junho</v>
      </c>
    </row>
    <row r="1005" spans="1:19">
      <c r="A1005">
        <v>1004</v>
      </c>
      <c r="B1005" s="1">
        <v>44370</v>
      </c>
      <c r="C1005">
        <v>62</v>
      </c>
      <c r="D1005" t="s">
        <v>38</v>
      </c>
      <c r="E1005" t="s">
        <v>21</v>
      </c>
      <c r="F1005">
        <v>20</v>
      </c>
      <c r="G1005" s="2">
        <v>113</v>
      </c>
      <c r="H1005" s="2">
        <v>2260</v>
      </c>
      <c r="I1005" s="4">
        <v>0.05</v>
      </c>
      <c r="J1005" s="2">
        <v>2147</v>
      </c>
      <c r="K1005" s="1">
        <v>44394</v>
      </c>
      <c r="L1005" s="1">
        <v>44394</v>
      </c>
      <c r="M1005">
        <v>1004</v>
      </c>
      <c r="N1005">
        <v>2</v>
      </c>
      <c r="O1005" t="s">
        <v>29</v>
      </c>
      <c r="P1005" s="3">
        <v>0.06</v>
      </c>
      <c r="Q1005" s="2">
        <v>128.82</v>
      </c>
      <c r="R1005">
        <v>3</v>
      </c>
      <c r="S1005" t="str">
        <f t="shared" si="15"/>
        <v>Junho</v>
      </c>
    </row>
    <row r="1006" spans="1:19">
      <c r="A1006">
        <v>1005</v>
      </c>
      <c r="B1006" s="1">
        <v>44371</v>
      </c>
      <c r="C1006">
        <v>48</v>
      </c>
      <c r="D1006" t="s">
        <v>61</v>
      </c>
      <c r="E1006" t="s">
        <v>24</v>
      </c>
      <c r="F1006">
        <v>39</v>
      </c>
      <c r="G1006" s="2">
        <v>105</v>
      </c>
      <c r="H1006" s="2">
        <v>4095</v>
      </c>
      <c r="I1006" s="4">
        <v>0.03</v>
      </c>
      <c r="J1006" s="2">
        <v>3972.15</v>
      </c>
      <c r="K1006" s="1">
        <v>44371</v>
      </c>
      <c r="L1006" s="1">
        <v>44371</v>
      </c>
      <c r="M1006">
        <v>1005</v>
      </c>
      <c r="N1006">
        <v>6</v>
      </c>
      <c r="O1006" t="s">
        <v>32</v>
      </c>
      <c r="P1006" s="3">
        <v>0.1</v>
      </c>
      <c r="Q1006" s="2">
        <v>397.21500000000003</v>
      </c>
      <c r="R1006">
        <v>4</v>
      </c>
      <c r="S1006" t="str">
        <f t="shared" si="15"/>
        <v>Junho</v>
      </c>
    </row>
    <row r="1007" spans="1:19">
      <c r="A1007">
        <v>1006</v>
      </c>
      <c r="B1007" s="1">
        <v>44371</v>
      </c>
      <c r="C1007">
        <v>62</v>
      </c>
      <c r="D1007" t="s">
        <v>38</v>
      </c>
      <c r="E1007" t="s">
        <v>55</v>
      </c>
      <c r="F1007">
        <v>13</v>
      </c>
      <c r="G1007" s="2">
        <v>103</v>
      </c>
      <c r="H1007" s="2">
        <v>1339</v>
      </c>
      <c r="I1007" s="4">
        <v>0.14000000000000001</v>
      </c>
      <c r="J1007" s="2">
        <v>1151.54</v>
      </c>
      <c r="K1007" s="1">
        <v>44397</v>
      </c>
      <c r="L1007" s="1">
        <v>44397</v>
      </c>
      <c r="M1007">
        <v>1006</v>
      </c>
      <c r="N1007">
        <v>6</v>
      </c>
      <c r="O1007" t="s">
        <v>34</v>
      </c>
      <c r="P1007" s="3">
        <v>0.08</v>
      </c>
      <c r="Q1007" s="2">
        <v>92.123199999999997</v>
      </c>
      <c r="R1007">
        <v>5</v>
      </c>
      <c r="S1007" t="str">
        <f t="shared" si="15"/>
        <v>Junho</v>
      </c>
    </row>
    <row r="1008" spans="1:19">
      <c r="A1008">
        <v>1007</v>
      </c>
      <c r="B1008" s="1">
        <v>44373</v>
      </c>
      <c r="C1008">
        <v>70</v>
      </c>
      <c r="D1008" t="s">
        <v>67</v>
      </c>
      <c r="E1008" t="s">
        <v>31</v>
      </c>
      <c r="F1008">
        <v>38</v>
      </c>
      <c r="G1008" s="2">
        <v>117</v>
      </c>
      <c r="H1008" s="2">
        <v>4446</v>
      </c>
      <c r="I1008" s="4">
        <v>0.02</v>
      </c>
      <c r="J1008" s="2">
        <v>4357.08</v>
      </c>
      <c r="K1008" s="1">
        <v>44390</v>
      </c>
      <c r="L1008" s="1">
        <v>44390</v>
      </c>
      <c r="M1008">
        <v>1007</v>
      </c>
      <c r="N1008">
        <v>4</v>
      </c>
      <c r="O1008" t="s">
        <v>37</v>
      </c>
      <c r="P1008" s="3">
        <v>0.05</v>
      </c>
      <c r="Q1008" s="2">
        <v>217.85400000000001</v>
      </c>
      <c r="R1008">
        <v>6</v>
      </c>
      <c r="S1008" t="str">
        <f t="shared" si="15"/>
        <v>Junho</v>
      </c>
    </row>
    <row r="1009" spans="1:19">
      <c r="A1009">
        <v>1008</v>
      </c>
      <c r="B1009" s="1">
        <v>44374</v>
      </c>
      <c r="C1009">
        <v>81</v>
      </c>
      <c r="D1009" t="s">
        <v>103</v>
      </c>
      <c r="E1009" t="s">
        <v>54</v>
      </c>
      <c r="F1009">
        <v>20</v>
      </c>
      <c r="G1009" s="2">
        <v>111</v>
      </c>
      <c r="H1009" s="2">
        <v>2220</v>
      </c>
      <c r="I1009" s="4">
        <v>0.05</v>
      </c>
      <c r="J1009" s="2">
        <v>2109</v>
      </c>
      <c r="K1009" s="1">
        <v>44383</v>
      </c>
      <c r="L1009" s="1">
        <v>44383</v>
      </c>
      <c r="M1009">
        <v>1008</v>
      </c>
      <c r="N1009">
        <v>5</v>
      </c>
      <c r="O1009" t="s">
        <v>69</v>
      </c>
      <c r="P1009" s="3">
        <v>0.05</v>
      </c>
      <c r="Q1009" s="2">
        <v>105.45</v>
      </c>
      <c r="R1009">
        <v>7</v>
      </c>
      <c r="S1009" t="str">
        <f t="shared" si="15"/>
        <v>Junho</v>
      </c>
    </row>
    <row r="1010" spans="1:19">
      <c r="A1010">
        <v>1009</v>
      </c>
      <c r="B1010" s="1">
        <v>44375</v>
      </c>
      <c r="C1010">
        <v>42</v>
      </c>
      <c r="D1010" t="s">
        <v>92</v>
      </c>
      <c r="E1010" t="s">
        <v>21</v>
      </c>
      <c r="F1010">
        <v>48</v>
      </c>
      <c r="G1010" s="2">
        <v>98</v>
      </c>
      <c r="H1010" s="2">
        <v>4704</v>
      </c>
      <c r="I1010" s="4">
        <v>7.0000000000000007E-2</v>
      </c>
      <c r="J1010" s="2">
        <v>4374.72</v>
      </c>
      <c r="K1010" s="1">
        <v>44384</v>
      </c>
      <c r="L1010" s="1">
        <v>44384</v>
      </c>
      <c r="M1010">
        <v>1009</v>
      </c>
      <c r="N1010">
        <v>4</v>
      </c>
      <c r="O1010" t="s">
        <v>37</v>
      </c>
      <c r="P1010" s="3">
        <v>0.1</v>
      </c>
      <c r="Q1010" s="2">
        <v>437.47200000000004</v>
      </c>
      <c r="R1010">
        <v>1</v>
      </c>
      <c r="S1010" t="str">
        <f t="shared" si="15"/>
        <v>Junho</v>
      </c>
    </row>
    <row r="1011" spans="1:19">
      <c r="A1011">
        <v>1010</v>
      </c>
      <c r="B1011" s="1">
        <v>44375</v>
      </c>
      <c r="C1011">
        <v>17</v>
      </c>
      <c r="D1011" t="s">
        <v>67</v>
      </c>
      <c r="E1011" t="s">
        <v>41</v>
      </c>
      <c r="F1011">
        <v>35</v>
      </c>
      <c r="G1011" s="2">
        <v>114</v>
      </c>
      <c r="H1011" s="2">
        <v>3990</v>
      </c>
      <c r="I1011" s="4">
        <v>0.03</v>
      </c>
      <c r="J1011" s="2">
        <v>3870.3</v>
      </c>
      <c r="K1011" s="1">
        <v>44382</v>
      </c>
      <c r="L1011" s="1">
        <v>44382</v>
      </c>
      <c r="M1011">
        <v>1010</v>
      </c>
      <c r="N1011">
        <v>1</v>
      </c>
      <c r="O1011" t="s">
        <v>37</v>
      </c>
      <c r="P1011" s="3">
        <v>0.06</v>
      </c>
      <c r="Q1011" s="2">
        <v>232.21799999999999</v>
      </c>
      <c r="R1011">
        <v>2</v>
      </c>
      <c r="S1011" t="str">
        <f t="shared" si="15"/>
        <v>Junho</v>
      </c>
    </row>
    <row r="1012" spans="1:19">
      <c r="A1012">
        <v>1011</v>
      </c>
      <c r="B1012" s="1">
        <v>44375</v>
      </c>
      <c r="C1012">
        <v>60</v>
      </c>
      <c r="D1012" t="s">
        <v>82</v>
      </c>
      <c r="E1012" t="s">
        <v>46</v>
      </c>
      <c r="F1012">
        <v>45</v>
      </c>
      <c r="G1012" s="2">
        <v>116</v>
      </c>
      <c r="H1012" s="2">
        <v>5220</v>
      </c>
      <c r="I1012" s="4">
        <v>7.0000000000000007E-2</v>
      </c>
      <c r="J1012" s="2">
        <v>4854.6000000000004</v>
      </c>
      <c r="K1012" s="1">
        <v>44400</v>
      </c>
      <c r="L1012" s="1">
        <v>44400</v>
      </c>
      <c r="M1012">
        <v>1011</v>
      </c>
      <c r="N1012">
        <v>6</v>
      </c>
      <c r="O1012" t="s">
        <v>69</v>
      </c>
      <c r="P1012" s="3">
        <v>0.08</v>
      </c>
      <c r="Q1012" s="2">
        <v>388.36800000000005</v>
      </c>
      <c r="R1012">
        <v>3</v>
      </c>
      <c r="S1012" t="str">
        <f t="shared" si="15"/>
        <v>Junho</v>
      </c>
    </row>
    <row r="1013" spans="1:19">
      <c r="A1013">
        <v>1012</v>
      </c>
      <c r="B1013" s="1">
        <v>44376</v>
      </c>
      <c r="C1013">
        <v>35</v>
      </c>
      <c r="D1013" t="s">
        <v>38</v>
      </c>
      <c r="E1013" t="s">
        <v>50</v>
      </c>
      <c r="F1013">
        <v>30</v>
      </c>
      <c r="G1013" s="2">
        <v>114</v>
      </c>
      <c r="H1013" s="2">
        <v>3420</v>
      </c>
      <c r="I1013" s="4">
        <v>0.15</v>
      </c>
      <c r="J1013" s="2">
        <v>2907</v>
      </c>
      <c r="K1013" s="1">
        <v>44400</v>
      </c>
      <c r="L1013" s="1">
        <v>44400</v>
      </c>
      <c r="M1013">
        <v>1012</v>
      </c>
      <c r="N1013">
        <v>4</v>
      </c>
      <c r="O1013" t="s">
        <v>29</v>
      </c>
      <c r="P1013" s="3">
        <v>0.05</v>
      </c>
      <c r="Q1013" s="2">
        <v>145.35</v>
      </c>
      <c r="R1013">
        <v>4</v>
      </c>
      <c r="S1013" t="str">
        <f t="shared" si="15"/>
        <v>Junho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95BB6-6A62-4078-8C36-C9B101061EAE}">
  <dimension ref="A1:T1015"/>
  <sheetViews>
    <sheetView topLeftCell="A3" workbookViewId="0">
      <selection activeCell="A3" sqref="A3"/>
    </sheetView>
  </sheetViews>
  <sheetFormatPr defaultRowHeight="15"/>
  <cols>
    <col min="2" max="2" width="11.140625" bestFit="1" customWidth="1"/>
    <col min="3" max="3" width="13.85546875" bestFit="1" customWidth="1"/>
    <col min="4" max="4" width="22.85546875" bestFit="1" customWidth="1"/>
    <col min="5" max="5" width="12.5703125" bestFit="1" customWidth="1"/>
    <col min="6" max="6" width="9.140625" style="8"/>
    <col min="7" max="7" width="15.85546875" style="7" bestFit="1" customWidth="1"/>
    <col min="8" max="8" width="13.42578125" bestFit="1" customWidth="1"/>
    <col min="9" max="9" width="13.5703125" bestFit="1" customWidth="1"/>
    <col min="10" max="10" width="14.140625" bestFit="1" customWidth="1"/>
    <col min="11" max="11" width="14.140625" customWidth="1"/>
    <col min="12" max="12" width="13.85546875" bestFit="1" customWidth="1"/>
    <col min="13" max="13" width="18" bestFit="1" customWidth="1"/>
    <col min="14" max="14" width="13.5703125" bestFit="1" customWidth="1"/>
    <col min="15" max="15" width="17" bestFit="1" customWidth="1"/>
    <col min="16" max="16" width="17.5703125" bestFit="1" customWidth="1"/>
    <col min="17" max="17" width="11.140625" bestFit="1" customWidth="1"/>
    <col min="18" max="18" width="11.5703125" bestFit="1" customWidth="1"/>
    <col min="19" max="19" width="20.42578125" bestFit="1" customWidth="1"/>
    <col min="20" max="20" width="10.140625" bestFit="1" customWidth="1"/>
  </cols>
  <sheetData>
    <row r="1" spans="1:20">
      <c r="A1" s="6" t="s">
        <v>107</v>
      </c>
    </row>
    <row r="3" spans="1:20">
      <c r="A3" t="s">
        <v>0</v>
      </c>
      <c r="B3" t="s">
        <v>1</v>
      </c>
      <c r="C3" t="s">
        <v>3</v>
      </c>
      <c r="D3" t="s">
        <v>4</v>
      </c>
      <c r="E3" t="s">
        <v>5</v>
      </c>
      <c r="F3" s="8" t="s">
        <v>6</v>
      </c>
      <c r="G3" s="7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14</v>
      </c>
      <c r="O3" t="s">
        <v>15</v>
      </c>
      <c r="P3" t="s">
        <v>16</v>
      </c>
      <c r="Q3" t="s">
        <v>17</v>
      </c>
      <c r="R3" t="s">
        <v>18</v>
      </c>
      <c r="S3" t="s">
        <v>19</v>
      </c>
      <c r="T3" t="s">
        <v>2</v>
      </c>
    </row>
    <row r="4" spans="1:20">
      <c r="A4">
        <v>1</v>
      </c>
      <c r="B4" s="1">
        <v>43831</v>
      </c>
      <c r="C4">
        <v>71</v>
      </c>
      <c r="D4" t="s">
        <v>20</v>
      </c>
      <c r="E4" t="s">
        <v>21</v>
      </c>
      <c r="F4" s="8">
        <v>37</v>
      </c>
      <c r="G4" s="7">
        <v>101</v>
      </c>
      <c r="H4" s="7">
        <v>3737</v>
      </c>
      <c r="I4" s="4">
        <v>0.02</v>
      </c>
      <c r="J4" s="7">
        <v>3662.26</v>
      </c>
      <c r="K4" s="7">
        <f>Tabela1[[#This Row],[Valor Bruto]]-Tabela1[[#This Row],[Valor Venda]]</f>
        <v>74.739999999999782</v>
      </c>
      <c r="L4" s="1">
        <v>43842</v>
      </c>
      <c r="M4" s="1">
        <v>43842</v>
      </c>
      <c r="N4">
        <v>1</v>
      </c>
      <c r="O4">
        <v>6</v>
      </c>
      <c r="P4" t="s">
        <v>22</v>
      </c>
      <c r="Q4">
        <v>0.08</v>
      </c>
      <c r="R4" s="7">
        <v>292.98080000000004</v>
      </c>
      <c r="S4">
        <v>1</v>
      </c>
      <c r="T4" t="s">
        <v>108</v>
      </c>
    </row>
    <row r="5" spans="1:20">
      <c r="A5">
        <v>2</v>
      </c>
      <c r="B5" s="1">
        <v>43831</v>
      </c>
      <c r="C5">
        <v>52</v>
      </c>
      <c r="D5" t="s">
        <v>23</v>
      </c>
      <c r="E5" t="s">
        <v>24</v>
      </c>
      <c r="F5" s="8">
        <v>47</v>
      </c>
      <c r="G5" s="7">
        <v>93</v>
      </c>
      <c r="H5" s="7">
        <v>4371</v>
      </c>
      <c r="I5" s="4">
        <v>0.04</v>
      </c>
      <c r="J5" s="7">
        <v>4196.16</v>
      </c>
      <c r="K5" s="7">
        <f>Tabela1[[#This Row],[Valor Bruto]]-Tabela1[[#This Row],[Valor Venda]]</f>
        <v>174.84000000000015</v>
      </c>
      <c r="L5" s="1">
        <v>43833</v>
      </c>
      <c r="M5" s="1">
        <v>43833</v>
      </c>
      <c r="N5">
        <v>2</v>
      </c>
      <c r="O5">
        <v>2</v>
      </c>
      <c r="P5" t="s">
        <v>25</v>
      </c>
      <c r="Q5">
        <v>0.1</v>
      </c>
      <c r="R5" s="7">
        <v>419.61599999999999</v>
      </c>
      <c r="S5">
        <v>2</v>
      </c>
      <c r="T5" t="s">
        <v>108</v>
      </c>
    </row>
    <row r="6" spans="1:20">
      <c r="A6">
        <v>3</v>
      </c>
      <c r="B6" s="1">
        <v>43831</v>
      </c>
      <c r="C6">
        <v>92</v>
      </c>
      <c r="D6" t="s">
        <v>26</v>
      </c>
      <c r="E6" t="s">
        <v>24</v>
      </c>
      <c r="F6" s="8">
        <v>34</v>
      </c>
      <c r="G6" s="7">
        <v>116</v>
      </c>
      <c r="H6" s="7">
        <v>3944</v>
      </c>
      <c r="I6" s="4">
        <v>0.01</v>
      </c>
      <c r="J6" s="7">
        <v>3904.56</v>
      </c>
      <c r="K6" s="7">
        <f>Tabela1[[#This Row],[Valor Bruto]]-Tabela1[[#This Row],[Valor Venda]]</f>
        <v>39.440000000000055</v>
      </c>
      <c r="L6" s="1">
        <v>43854</v>
      </c>
      <c r="M6" s="1">
        <v>43854</v>
      </c>
      <c r="N6">
        <v>3</v>
      </c>
      <c r="O6">
        <v>4</v>
      </c>
      <c r="P6" t="s">
        <v>25</v>
      </c>
      <c r="Q6">
        <v>0.1</v>
      </c>
      <c r="R6" s="7">
        <v>390.45600000000002</v>
      </c>
      <c r="S6">
        <v>3</v>
      </c>
      <c r="T6" t="s">
        <v>108</v>
      </c>
    </row>
    <row r="7" spans="1:20">
      <c r="A7">
        <v>4</v>
      </c>
      <c r="B7" s="1">
        <v>43834</v>
      </c>
      <c r="C7">
        <v>16</v>
      </c>
      <c r="D7" t="s">
        <v>27</v>
      </c>
      <c r="E7" t="s">
        <v>28</v>
      </c>
      <c r="F7" s="8">
        <v>44</v>
      </c>
      <c r="G7" s="7">
        <v>113</v>
      </c>
      <c r="H7" s="7">
        <v>4972</v>
      </c>
      <c r="I7" s="4">
        <v>0.08</v>
      </c>
      <c r="J7" s="7">
        <v>4574.24</v>
      </c>
      <c r="K7" s="7">
        <f>Tabela1[[#This Row],[Valor Bruto]]-Tabela1[[#This Row],[Valor Venda]]</f>
        <v>397.76000000000022</v>
      </c>
      <c r="L7" s="1">
        <v>43834</v>
      </c>
      <c r="M7" s="1">
        <v>43834</v>
      </c>
      <c r="N7">
        <v>4</v>
      </c>
      <c r="O7">
        <v>3</v>
      </c>
      <c r="P7" t="s">
        <v>29</v>
      </c>
      <c r="Q7">
        <v>7.0000000000000007E-2</v>
      </c>
      <c r="R7" s="7">
        <v>320.1968</v>
      </c>
      <c r="S7">
        <v>4</v>
      </c>
      <c r="T7" t="s">
        <v>108</v>
      </c>
    </row>
    <row r="8" spans="1:20">
      <c r="A8">
        <v>5</v>
      </c>
      <c r="B8" s="1">
        <v>43835</v>
      </c>
      <c r="C8">
        <v>66</v>
      </c>
      <c r="D8" t="s">
        <v>30</v>
      </c>
      <c r="E8" t="s">
        <v>31</v>
      </c>
      <c r="F8" s="8">
        <v>24</v>
      </c>
      <c r="G8" s="7">
        <v>97</v>
      </c>
      <c r="H8" s="7">
        <v>2328</v>
      </c>
      <c r="I8" s="4">
        <v>0.02</v>
      </c>
      <c r="J8" s="7">
        <v>2281.44</v>
      </c>
      <c r="K8" s="7">
        <f>Tabela1[[#This Row],[Valor Bruto]]-Tabela1[[#This Row],[Valor Venda]]</f>
        <v>46.559999999999945</v>
      </c>
      <c r="L8" s="1">
        <v>43842</v>
      </c>
      <c r="M8" s="1">
        <v>43842</v>
      </c>
      <c r="N8">
        <v>5</v>
      </c>
      <c r="O8">
        <v>6</v>
      </c>
      <c r="P8" t="s">
        <v>32</v>
      </c>
      <c r="Q8">
        <v>7.0000000000000007E-2</v>
      </c>
      <c r="R8" s="7">
        <v>159.70080000000002</v>
      </c>
      <c r="S8">
        <v>5</v>
      </c>
      <c r="T8" t="s">
        <v>108</v>
      </c>
    </row>
    <row r="9" spans="1:20">
      <c r="A9">
        <v>6</v>
      </c>
      <c r="B9" s="1">
        <v>43836</v>
      </c>
      <c r="C9">
        <v>93</v>
      </c>
      <c r="D9" t="s">
        <v>33</v>
      </c>
      <c r="E9" t="s">
        <v>24</v>
      </c>
      <c r="F9" s="8">
        <v>11</v>
      </c>
      <c r="G9" s="7">
        <v>96</v>
      </c>
      <c r="H9" s="7">
        <v>1056</v>
      </c>
      <c r="I9" s="4">
        <v>0</v>
      </c>
      <c r="J9" s="7">
        <v>1056</v>
      </c>
      <c r="K9" s="7">
        <f>Tabela1[[#This Row],[Valor Bruto]]-Tabela1[[#This Row],[Valor Venda]]</f>
        <v>0</v>
      </c>
      <c r="L9" s="1">
        <v>43857</v>
      </c>
      <c r="M9" s="1">
        <v>43857</v>
      </c>
      <c r="N9">
        <v>6</v>
      </c>
      <c r="O9">
        <v>2</v>
      </c>
      <c r="P9" t="s">
        <v>34</v>
      </c>
      <c r="Q9">
        <v>0.08</v>
      </c>
      <c r="R9" s="7">
        <v>84.48</v>
      </c>
      <c r="S9">
        <v>6</v>
      </c>
      <c r="T9" t="s">
        <v>108</v>
      </c>
    </row>
    <row r="10" spans="1:20">
      <c r="A10">
        <v>7</v>
      </c>
      <c r="B10" s="1">
        <v>43836</v>
      </c>
      <c r="C10">
        <v>2</v>
      </c>
      <c r="D10" t="s">
        <v>35</v>
      </c>
      <c r="E10" t="s">
        <v>31</v>
      </c>
      <c r="F10" s="8">
        <v>20</v>
      </c>
      <c r="G10" s="7">
        <v>112</v>
      </c>
      <c r="H10" s="7">
        <v>2240</v>
      </c>
      <c r="I10" s="4">
        <v>0.13</v>
      </c>
      <c r="J10" s="7">
        <v>1948.8</v>
      </c>
      <c r="K10" s="7">
        <f>Tabela1[[#This Row],[Valor Bruto]]-Tabela1[[#This Row],[Valor Venda]]</f>
        <v>291.20000000000005</v>
      </c>
      <c r="L10" s="1">
        <v>43865</v>
      </c>
      <c r="M10" s="1">
        <v>43865</v>
      </c>
      <c r="N10">
        <v>7</v>
      </c>
      <c r="O10">
        <v>4</v>
      </c>
      <c r="P10" t="s">
        <v>29</v>
      </c>
      <c r="Q10">
        <v>0.08</v>
      </c>
      <c r="R10" s="7">
        <v>155.904</v>
      </c>
      <c r="S10">
        <v>7</v>
      </c>
      <c r="T10" t="s">
        <v>108</v>
      </c>
    </row>
    <row r="11" spans="1:20">
      <c r="A11">
        <v>8</v>
      </c>
      <c r="B11" s="1">
        <v>43836</v>
      </c>
      <c r="C11">
        <v>9</v>
      </c>
      <c r="D11" t="s">
        <v>36</v>
      </c>
      <c r="E11" t="s">
        <v>31</v>
      </c>
      <c r="F11" s="8">
        <v>10</v>
      </c>
      <c r="G11" s="7">
        <v>92</v>
      </c>
      <c r="H11" s="7">
        <v>920</v>
      </c>
      <c r="I11" s="4">
        <v>0</v>
      </c>
      <c r="J11" s="7">
        <v>920</v>
      </c>
      <c r="K11" s="7">
        <f>Tabela1[[#This Row],[Valor Bruto]]-Tabela1[[#This Row],[Valor Venda]]</f>
        <v>0</v>
      </c>
      <c r="L11" s="1">
        <v>43861</v>
      </c>
      <c r="M11" s="1">
        <v>43861</v>
      </c>
      <c r="N11">
        <v>8</v>
      </c>
      <c r="O11">
        <v>4</v>
      </c>
      <c r="P11" t="s">
        <v>37</v>
      </c>
      <c r="Q11">
        <v>0.06</v>
      </c>
      <c r="R11" s="7">
        <v>55.199999999999996</v>
      </c>
      <c r="S11">
        <v>1</v>
      </c>
      <c r="T11" t="s">
        <v>108</v>
      </c>
    </row>
    <row r="12" spans="1:20">
      <c r="A12">
        <v>9</v>
      </c>
      <c r="B12" s="1">
        <v>43836</v>
      </c>
      <c r="C12">
        <v>39</v>
      </c>
      <c r="D12" t="s">
        <v>38</v>
      </c>
      <c r="E12" t="s">
        <v>24</v>
      </c>
      <c r="F12" s="8">
        <v>22</v>
      </c>
      <c r="G12" s="7">
        <v>99</v>
      </c>
      <c r="H12" s="7">
        <v>2178</v>
      </c>
      <c r="I12" s="4">
        <v>0.02</v>
      </c>
      <c r="J12" s="7">
        <v>2134.44</v>
      </c>
      <c r="K12" s="7">
        <f>Tabela1[[#This Row],[Valor Bruto]]-Tabela1[[#This Row],[Valor Venda]]</f>
        <v>43.559999999999945</v>
      </c>
      <c r="L12" s="1">
        <v>43855</v>
      </c>
      <c r="M12" s="1">
        <v>43855</v>
      </c>
      <c r="N12">
        <v>9</v>
      </c>
      <c r="O12">
        <v>7</v>
      </c>
      <c r="P12" t="s">
        <v>34</v>
      </c>
      <c r="Q12">
        <v>0.09</v>
      </c>
      <c r="R12" s="7">
        <v>192.09960000000001</v>
      </c>
      <c r="S12">
        <v>2</v>
      </c>
      <c r="T12" t="s">
        <v>108</v>
      </c>
    </row>
    <row r="13" spans="1:20">
      <c r="A13">
        <v>10</v>
      </c>
      <c r="B13" s="1">
        <v>43837</v>
      </c>
      <c r="C13">
        <v>20</v>
      </c>
      <c r="D13" t="s">
        <v>39</v>
      </c>
      <c r="E13" t="s">
        <v>31</v>
      </c>
      <c r="F13" s="8">
        <v>45</v>
      </c>
      <c r="G13" s="7">
        <v>107</v>
      </c>
      <c r="H13" s="7">
        <v>4815</v>
      </c>
      <c r="I13" s="4">
        <v>0.02</v>
      </c>
      <c r="J13" s="7">
        <v>4718.7</v>
      </c>
      <c r="K13" s="7">
        <f>Tabela1[[#This Row],[Valor Bruto]]-Tabela1[[#This Row],[Valor Venda]]</f>
        <v>96.300000000000182</v>
      </c>
      <c r="L13" s="1">
        <v>43842</v>
      </c>
      <c r="M13" s="1">
        <v>43842</v>
      </c>
      <c r="N13">
        <v>10</v>
      </c>
      <c r="O13">
        <v>5</v>
      </c>
      <c r="P13" t="s">
        <v>25</v>
      </c>
      <c r="Q13">
        <v>0.1</v>
      </c>
      <c r="R13" s="7">
        <v>471.87</v>
      </c>
      <c r="S13">
        <v>3</v>
      </c>
      <c r="T13" t="s">
        <v>108</v>
      </c>
    </row>
    <row r="14" spans="1:20">
      <c r="A14">
        <v>11</v>
      </c>
      <c r="B14" s="1">
        <v>43837</v>
      </c>
      <c r="C14">
        <v>87</v>
      </c>
      <c r="D14" t="s">
        <v>40</v>
      </c>
      <c r="E14" t="s">
        <v>41</v>
      </c>
      <c r="F14" s="8">
        <v>14</v>
      </c>
      <c r="G14" s="7">
        <v>105</v>
      </c>
      <c r="H14" s="7">
        <v>1470</v>
      </c>
      <c r="I14" s="4">
        <v>0</v>
      </c>
      <c r="J14" s="7">
        <v>1470</v>
      </c>
      <c r="K14" s="7">
        <f>Tabela1[[#This Row],[Valor Bruto]]-Tabela1[[#This Row],[Valor Venda]]</f>
        <v>0</v>
      </c>
      <c r="L14" s="1">
        <v>43843</v>
      </c>
      <c r="M14" s="1">
        <v>43843</v>
      </c>
      <c r="N14">
        <v>11</v>
      </c>
      <c r="O14">
        <v>6</v>
      </c>
      <c r="P14" t="s">
        <v>29</v>
      </c>
      <c r="Q14">
        <v>0.1</v>
      </c>
      <c r="R14" s="7">
        <v>147</v>
      </c>
      <c r="S14">
        <v>4</v>
      </c>
      <c r="T14" t="s">
        <v>108</v>
      </c>
    </row>
    <row r="15" spans="1:20">
      <c r="A15">
        <v>12</v>
      </c>
      <c r="B15" s="1">
        <v>43837</v>
      </c>
      <c r="C15">
        <v>96</v>
      </c>
      <c r="D15" t="s">
        <v>42</v>
      </c>
      <c r="E15" t="s">
        <v>31</v>
      </c>
      <c r="F15" s="8">
        <v>27</v>
      </c>
      <c r="G15" s="7">
        <v>105</v>
      </c>
      <c r="H15" s="7">
        <v>2835</v>
      </c>
      <c r="I15" s="4">
        <v>0.09</v>
      </c>
      <c r="J15" s="7">
        <v>2579.85</v>
      </c>
      <c r="K15" s="7">
        <f>Tabela1[[#This Row],[Valor Bruto]]-Tabela1[[#This Row],[Valor Venda]]</f>
        <v>255.15000000000009</v>
      </c>
      <c r="L15" s="1">
        <v>43842</v>
      </c>
      <c r="M15" s="1">
        <v>43842</v>
      </c>
      <c r="N15">
        <v>12</v>
      </c>
      <c r="O15">
        <v>3</v>
      </c>
      <c r="P15" t="s">
        <v>43</v>
      </c>
      <c r="Q15">
        <v>7.0000000000000007E-2</v>
      </c>
      <c r="R15" s="7">
        <v>180.58950000000002</v>
      </c>
      <c r="S15">
        <v>5</v>
      </c>
      <c r="T15" t="s">
        <v>108</v>
      </c>
    </row>
    <row r="16" spans="1:20">
      <c r="A16">
        <v>13</v>
      </c>
      <c r="B16" s="1">
        <v>43839</v>
      </c>
      <c r="C16">
        <v>55</v>
      </c>
      <c r="D16" t="s">
        <v>44</v>
      </c>
      <c r="E16" t="s">
        <v>31</v>
      </c>
      <c r="F16" s="8">
        <v>18</v>
      </c>
      <c r="G16" s="7">
        <v>110</v>
      </c>
      <c r="H16" s="7">
        <v>1980</v>
      </c>
      <c r="I16" s="4">
        <v>0.14000000000000001</v>
      </c>
      <c r="J16" s="7">
        <v>1702.8</v>
      </c>
      <c r="K16" s="7">
        <f>Tabela1[[#This Row],[Valor Bruto]]-Tabela1[[#This Row],[Valor Venda]]</f>
        <v>277.20000000000005</v>
      </c>
      <c r="L16" s="1">
        <v>43868</v>
      </c>
      <c r="M16" s="1">
        <v>43868</v>
      </c>
      <c r="N16">
        <v>13</v>
      </c>
      <c r="O16">
        <v>5</v>
      </c>
      <c r="P16" t="s">
        <v>22</v>
      </c>
      <c r="Q16">
        <v>0.06</v>
      </c>
      <c r="R16" s="7">
        <v>102.16799999999999</v>
      </c>
      <c r="S16">
        <v>6</v>
      </c>
      <c r="T16" t="s">
        <v>108</v>
      </c>
    </row>
    <row r="17" spans="1:20">
      <c r="A17">
        <v>14</v>
      </c>
      <c r="B17" s="1">
        <v>43839</v>
      </c>
      <c r="C17">
        <v>73</v>
      </c>
      <c r="D17" t="s">
        <v>38</v>
      </c>
      <c r="E17" t="s">
        <v>24</v>
      </c>
      <c r="F17" s="8">
        <v>31</v>
      </c>
      <c r="G17" s="7">
        <v>117</v>
      </c>
      <c r="H17" s="7">
        <v>3627</v>
      </c>
      <c r="I17" s="4">
        <v>0.02</v>
      </c>
      <c r="J17" s="7">
        <v>3554.46</v>
      </c>
      <c r="K17" s="7">
        <f>Tabela1[[#This Row],[Valor Bruto]]-Tabela1[[#This Row],[Valor Venda]]</f>
        <v>72.539999999999964</v>
      </c>
      <c r="L17" s="1">
        <v>43839</v>
      </c>
      <c r="M17" s="1">
        <v>43839</v>
      </c>
      <c r="N17">
        <v>14</v>
      </c>
      <c r="O17">
        <v>4</v>
      </c>
      <c r="P17" t="s">
        <v>25</v>
      </c>
      <c r="Q17">
        <v>0.06</v>
      </c>
      <c r="R17" s="7">
        <v>213.26759999999999</v>
      </c>
      <c r="S17">
        <v>7</v>
      </c>
      <c r="T17" t="s">
        <v>108</v>
      </c>
    </row>
    <row r="18" spans="1:20">
      <c r="A18">
        <v>15</v>
      </c>
      <c r="B18" s="1">
        <v>43839</v>
      </c>
      <c r="C18">
        <v>74</v>
      </c>
      <c r="D18" t="s">
        <v>38</v>
      </c>
      <c r="E18" t="s">
        <v>28</v>
      </c>
      <c r="F18" s="8">
        <v>11</v>
      </c>
      <c r="G18" s="7">
        <v>114</v>
      </c>
      <c r="H18" s="7">
        <v>1254</v>
      </c>
      <c r="I18" s="4">
        <v>0.04</v>
      </c>
      <c r="J18" s="7">
        <v>1203.8399999999999</v>
      </c>
      <c r="K18" s="7">
        <f>Tabela1[[#This Row],[Valor Bruto]]-Tabela1[[#This Row],[Valor Venda]]</f>
        <v>50.160000000000082</v>
      </c>
      <c r="L18" s="1">
        <v>43847</v>
      </c>
      <c r="M18" s="1">
        <v>43847</v>
      </c>
      <c r="N18">
        <v>15</v>
      </c>
      <c r="O18">
        <v>4</v>
      </c>
      <c r="P18" t="s">
        <v>32</v>
      </c>
      <c r="Q18">
        <v>0.1</v>
      </c>
      <c r="R18" s="7">
        <v>120.384</v>
      </c>
      <c r="S18">
        <v>1</v>
      </c>
      <c r="T18" t="s">
        <v>108</v>
      </c>
    </row>
    <row r="19" spans="1:20">
      <c r="A19">
        <v>16</v>
      </c>
      <c r="B19" s="1">
        <v>43841</v>
      </c>
      <c r="C19">
        <v>12</v>
      </c>
      <c r="D19" t="s">
        <v>45</v>
      </c>
      <c r="E19" t="s">
        <v>31</v>
      </c>
      <c r="F19" s="8">
        <v>25</v>
      </c>
      <c r="G19" s="7">
        <v>110</v>
      </c>
      <c r="H19" s="7">
        <v>2750</v>
      </c>
      <c r="I19" s="4">
        <v>0.01</v>
      </c>
      <c r="J19" s="7">
        <v>2722.5</v>
      </c>
      <c r="K19" s="7">
        <f>Tabela1[[#This Row],[Valor Bruto]]-Tabela1[[#This Row],[Valor Venda]]</f>
        <v>27.5</v>
      </c>
      <c r="L19" s="1">
        <v>43843</v>
      </c>
      <c r="M19" s="1">
        <v>43843</v>
      </c>
      <c r="N19">
        <v>16</v>
      </c>
      <c r="O19">
        <v>6</v>
      </c>
      <c r="P19" t="s">
        <v>32</v>
      </c>
      <c r="Q19">
        <v>0.1</v>
      </c>
      <c r="R19" s="7">
        <v>272.25</v>
      </c>
      <c r="S19">
        <v>2</v>
      </c>
      <c r="T19" t="s">
        <v>108</v>
      </c>
    </row>
    <row r="20" spans="1:20">
      <c r="A20">
        <v>17</v>
      </c>
      <c r="B20" s="1">
        <v>43842</v>
      </c>
      <c r="C20">
        <v>92</v>
      </c>
      <c r="D20" t="s">
        <v>26</v>
      </c>
      <c r="E20" t="s">
        <v>46</v>
      </c>
      <c r="F20" s="8">
        <v>30</v>
      </c>
      <c r="G20" s="7">
        <v>108</v>
      </c>
      <c r="H20" s="7">
        <v>3240</v>
      </c>
      <c r="I20" s="4">
        <v>0.06</v>
      </c>
      <c r="J20" s="7">
        <v>3045.6</v>
      </c>
      <c r="K20" s="7">
        <f>Tabela1[[#This Row],[Valor Bruto]]-Tabela1[[#This Row],[Valor Venda]]</f>
        <v>194.40000000000009</v>
      </c>
      <c r="L20" s="1">
        <v>43865</v>
      </c>
      <c r="M20" s="1">
        <v>43865</v>
      </c>
      <c r="N20">
        <v>17</v>
      </c>
      <c r="O20">
        <v>1</v>
      </c>
      <c r="P20" t="s">
        <v>47</v>
      </c>
      <c r="Q20">
        <v>7.0000000000000007E-2</v>
      </c>
      <c r="R20" s="7">
        <v>213.19200000000001</v>
      </c>
      <c r="S20">
        <v>3</v>
      </c>
      <c r="T20" t="s">
        <v>108</v>
      </c>
    </row>
    <row r="21" spans="1:20">
      <c r="A21">
        <v>18</v>
      </c>
      <c r="B21" s="1">
        <v>43845</v>
      </c>
      <c r="C21">
        <v>37</v>
      </c>
      <c r="D21" t="s">
        <v>48</v>
      </c>
      <c r="E21" t="s">
        <v>28</v>
      </c>
      <c r="F21" s="8">
        <v>21</v>
      </c>
      <c r="G21" s="7">
        <v>109</v>
      </c>
      <c r="H21" s="7">
        <v>2289</v>
      </c>
      <c r="I21" s="4">
        <v>0.1</v>
      </c>
      <c r="J21" s="7">
        <v>2060.1</v>
      </c>
      <c r="K21" s="7">
        <f>Tabela1[[#This Row],[Valor Bruto]]-Tabela1[[#This Row],[Valor Venda]]</f>
        <v>228.90000000000009</v>
      </c>
      <c r="L21" s="1">
        <v>43873</v>
      </c>
      <c r="M21" s="1">
        <v>43873</v>
      </c>
      <c r="N21">
        <v>18</v>
      </c>
      <c r="O21">
        <v>4</v>
      </c>
      <c r="P21" t="s">
        <v>47</v>
      </c>
      <c r="Q21">
        <v>7.0000000000000007E-2</v>
      </c>
      <c r="R21" s="7">
        <v>144.20699999999999</v>
      </c>
      <c r="S21">
        <v>4</v>
      </c>
      <c r="T21" t="s">
        <v>108</v>
      </c>
    </row>
    <row r="22" spans="1:20">
      <c r="A22">
        <v>19</v>
      </c>
      <c r="B22" s="1">
        <v>43845</v>
      </c>
      <c r="C22">
        <v>100</v>
      </c>
      <c r="D22" t="s">
        <v>38</v>
      </c>
      <c r="E22" t="s">
        <v>31</v>
      </c>
      <c r="F22" s="8">
        <v>37</v>
      </c>
      <c r="G22" s="7">
        <v>99</v>
      </c>
      <c r="H22" s="7">
        <v>3663</v>
      </c>
      <c r="I22" s="4">
        <v>0.12</v>
      </c>
      <c r="J22" s="7">
        <v>3223.44</v>
      </c>
      <c r="K22" s="7">
        <f>Tabela1[[#This Row],[Valor Bruto]]-Tabela1[[#This Row],[Valor Venda]]</f>
        <v>439.55999999999995</v>
      </c>
      <c r="L22" s="1">
        <v>43863</v>
      </c>
      <c r="M22" s="1">
        <v>43863</v>
      </c>
      <c r="N22">
        <v>19</v>
      </c>
      <c r="O22">
        <v>3</v>
      </c>
      <c r="P22" t="s">
        <v>43</v>
      </c>
      <c r="Q22">
        <v>0.05</v>
      </c>
      <c r="R22" s="7">
        <v>161.17200000000003</v>
      </c>
      <c r="S22">
        <v>5</v>
      </c>
      <c r="T22" t="s">
        <v>108</v>
      </c>
    </row>
    <row r="23" spans="1:20">
      <c r="A23">
        <v>20</v>
      </c>
      <c r="B23" s="1">
        <v>43845</v>
      </c>
      <c r="C23">
        <v>94</v>
      </c>
      <c r="D23" t="s">
        <v>49</v>
      </c>
      <c r="E23" t="s">
        <v>50</v>
      </c>
      <c r="F23" s="8">
        <v>39</v>
      </c>
      <c r="G23" s="7">
        <v>103</v>
      </c>
      <c r="H23" s="7">
        <v>4017</v>
      </c>
      <c r="I23" s="4">
        <v>0.15</v>
      </c>
      <c r="J23" s="7">
        <v>3414.45</v>
      </c>
      <c r="K23" s="7">
        <f>Tabela1[[#This Row],[Valor Bruto]]-Tabela1[[#This Row],[Valor Venda]]</f>
        <v>602.55000000000018</v>
      </c>
      <c r="L23" s="1">
        <v>43860</v>
      </c>
      <c r="M23" s="1">
        <v>43860</v>
      </c>
      <c r="N23">
        <v>20</v>
      </c>
      <c r="O23">
        <v>6</v>
      </c>
      <c r="P23" t="s">
        <v>34</v>
      </c>
      <c r="Q23">
        <v>0.08</v>
      </c>
      <c r="R23" s="7">
        <v>273.15600000000001</v>
      </c>
      <c r="S23">
        <v>6</v>
      </c>
      <c r="T23" t="s">
        <v>108</v>
      </c>
    </row>
    <row r="24" spans="1:20">
      <c r="A24">
        <v>21</v>
      </c>
      <c r="B24" s="1">
        <v>43845</v>
      </c>
      <c r="C24">
        <v>22</v>
      </c>
      <c r="D24" t="s">
        <v>51</v>
      </c>
      <c r="E24" t="s">
        <v>50</v>
      </c>
      <c r="F24" s="8">
        <v>27</v>
      </c>
      <c r="G24" s="7">
        <v>115</v>
      </c>
      <c r="H24" s="7">
        <v>3105</v>
      </c>
      <c r="I24" s="4">
        <v>0.12</v>
      </c>
      <c r="J24" s="7">
        <v>2732.4</v>
      </c>
      <c r="K24" s="7">
        <f>Tabela1[[#This Row],[Valor Bruto]]-Tabela1[[#This Row],[Valor Venda]]</f>
        <v>372.59999999999991</v>
      </c>
      <c r="L24" s="1">
        <v>43855</v>
      </c>
      <c r="M24" s="1">
        <v>43855</v>
      </c>
      <c r="N24">
        <v>21</v>
      </c>
      <c r="O24">
        <v>1</v>
      </c>
      <c r="P24" t="s">
        <v>29</v>
      </c>
      <c r="Q24">
        <v>7.0000000000000007E-2</v>
      </c>
      <c r="R24" s="7">
        <v>191.26800000000003</v>
      </c>
      <c r="S24">
        <v>7</v>
      </c>
      <c r="T24" t="s">
        <v>108</v>
      </c>
    </row>
    <row r="25" spans="1:20">
      <c r="A25">
        <v>22</v>
      </c>
      <c r="B25" s="1">
        <v>43846</v>
      </c>
      <c r="C25">
        <v>35</v>
      </c>
      <c r="D25" t="s">
        <v>38</v>
      </c>
      <c r="E25" t="s">
        <v>31</v>
      </c>
      <c r="F25" s="8">
        <v>49</v>
      </c>
      <c r="G25" s="7">
        <v>105</v>
      </c>
      <c r="H25" s="7">
        <v>5145</v>
      </c>
      <c r="I25" s="4">
        <v>0.03</v>
      </c>
      <c r="J25" s="7">
        <v>4990.6499999999996</v>
      </c>
      <c r="K25" s="7">
        <f>Tabela1[[#This Row],[Valor Bruto]]-Tabela1[[#This Row],[Valor Venda]]</f>
        <v>154.35000000000036</v>
      </c>
      <c r="L25" s="1">
        <v>43852</v>
      </c>
      <c r="M25" s="1">
        <v>43852</v>
      </c>
      <c r="N25">
        <v>22</v>
      </c>
      <c r="O25">
        <v>2</v>
      </c>
      <c r="P25" t="s">
        <v>29</v>
      </c>
      <c r="Q25">
        <v>0.09</v>
      </c>
      <c r="R25" s="7">
        <v>449.15849999999995</v>
      </c>
      <c r="S25">
        <v>1</v>
      </c>
      <c r="T25" t="s">
        <v>108</v>
      </c>
    </row>
    <row r="26" spans="1:20">
      <c r="A26">
        <v>23</v>
      </c>
      <c r="B26" s="1">
        <v>43846</v>
      </c>
      <c r="C26">
        <v>88</v>
      </c>
      <c r="D26" t="s">
        <v>38</v>
      </c>
      <c r="E26" t="s">
        <v>50</v>
      </c>
      <c r="F26" s="8">
        <v>29</v>
      </c>
      <c r="G26" s="7">
        <v>91</v>
      </c>
      <c r="H26" s="7">
        <v>2639</v>
      </c>
      <c r="I26" s="4">
        <v>0.1</v>
      </c>
      <c r="J26" s="7">
        <v>2375.1</v>
      </c>
      <c r="K26" s="7">
        <f>Tabela1[[#This Row],[Valor Bruto]]-Tabela1[[#This Row],[Valor Venda]]</f>
        <v>263.90000000000009</v>
      </c>
      <c r="L26" s="1">
        <v>43873</v>
      </c>
      <c r="M26" s="1">
        <v>43873</v>
      </c>
      <c r="N26">
        <v>23</v>
      </c>
      <c r="O26">
        <v>2</v>
      </c>
      <c r="P26" t="s">
        <v>52</v>
      </c>
      <c r="Q26">
        <v>0.09</v>
      </c>
      <c r="R26" s="7">
        <v>213.75899999999999</v>
      </c>
      <c r="S26">
        <v>2</v>
      </c>
      <c r="T26" t="s">
        <v>108</v>
      </c>
    </row>
    <row r="27" spans="1:20">
      <c r="A27">
        <v>24</v>
      </c>
      <c r="B27" s="1">
        <v>43846</v>
      </c>
      <c r="C27">
        <v>51</v>
      </c>
      <c r="D27" t="s">
        <v>53</v>
      </c>
      <c r="E27" t="s">
        <v>54</v>
      </c>
      <c r="F27" s="8">
        <v>23</v>
      </c>
      <c r="G27" s="7">
        <v>90</v>
      </c>
      <c r="H27" s="7">
        <v>2070</v>
      </c>
      <c r="I27" s="4">
        <v>7.0000000000000007E-2</v>
      </c>
      <c r="J27" s="7">
        <v>1925.1</v>
      </c>
      <c r="K27" s="7">
        <f>Tabela1[[#This Row],[Valor Bruto]]-Tabela1[[#This Row],[Valor Venda]]</f>
        <v>144.90000000000009</v>
      </c>
      <c r="L27" s="1">
        <v>43865</v>
      </c>
      <c r="M27" s="1">
        <v>43865</v>
      </c>
      <c r="N27">
        <v>24</v>
      </c>
      <c r="O27">
        <v>5</v>
      </c>
      <c r="P27" t="s">
        <v>25</v>
      </c>
      <c r="Q27">
        <v>7.0000000000000007E-2</v>
      </c>
      <c r="R27" s="7">
        <v>134.75700000000001</v>
      </c>
      <c r="S27">
        <v>3</v>
      </c>
      <c r="T27" t="s">
        <v>108</v>
      </c>
    </row>
    <row r="28" spans="1:20">
      <c r="A28">
        <v>25</v>
      </c>
      <c r="B28" s="1">
        <v>43848</v>
      </c>
      <c r="C28">
        <v>51</v>
      </c>
      <c r="D28" t="s">
        <v>53</v>
      </c>
      <c r="E28" t="s">
        <v>55</v>
      </c>
      <c r="F28" s="8">
        <v>17</v>
      </c>
      <c r="G28" s="7">
        <v>116</v>
      </c>
      <c r="H28" s="7">
        <v>1972</v>
      </c>
      <c r="I28" s="4">
        <v>0.08</v>
      </c>
      <c r="J28" s="7">
        <v>1814.24</v>
      </c>
      <c r="K28" s="7">
        <f>Tabela1[[#This Row],[Valor Bruto]]-Tabela1[[#This Row],[Valor Venda]]</f>
        <v>157.76</v>
      </c>
      <c r="L28" s="1">
        <v>43853</v>
      </c>
      <c r="M28" s="1">
        <v>43853</v>
      </c>
      <c r="N28">
        <v>25</v>
      </c>
      <c r="O28">
        <v>5</v>
      </c>
      <c r="P28" t="s">
        <v>34</v>
      </c>
      <c r="Q28">
        <v>0.09</v>
      </c>
      <c r="R28" s="7">
        <v>163.2816</v>
      </c>
      <c r="S28">
        <v>4</v>
      </c>
      <c r="T28" t="s">
        <v>108</v>
      </c>
    </row>
    <row r="29" spans="1:20">
      <c r="A29">
        <v>26</v>
      </c>
      <c r="B29" s="1">
        <v>43848</v>
      </c>
      <c r="C29">
        <v>61</v>
      </c>
      <c r="D29" t="s">
        <v>56</v>
      </c>
      <c r="E29" t="s">
        <v>55</v>
      </c>
      <c r="F29" s="8">
        <v>28</v>
      </c>
      <c r="G29" s="7">
        <v>109</v>
      </c>
      <c r="H29" s="7">
        <v>3052</v>
      </c>
      <c r="I29" s="4">
        <v>0.09</v>
      </c>
      <c r="J29" s="7">
        <v>2777.32</v>
      </c>
      <c r="K29" s="7">
        <f>Tabela1[[#This Row],[Valor Bruto]]-Tabela1[[#This Row],[Valor Venda]]</f>
        <v>274.67999999999984</v>
      </c>
      <c r="L29" s="1">
        <v>43869</v>
      </c>
      <c r="M29" s="1">
        <v>43869</v>
      </c>
      <c r="N29">
        <v>26</v>
      </c>
      <c r="O29">
        <v>5</v>
      </c>
      <c r="P29" t="s">
        <v>47</v>
      </c>
      <c r="Q29">
        <v>0.05</v>
      </c>
      <c r="R29" s="7">
        <v>138.86600000000001</v>
      </c>
      <c r="S29">
        <v>5</v>
      </c>
      <c r="T29" t="s">
        <v>108</v>
      </c>
    </row>
    <row r="30" spans="1:20">
      <c r="A30">
        <v>27</v>
      </c>
      <c r="B30" s="1">
        <v>43848</v>
      </c>
      <c r="C30">
        <v>85</v>
      </c>
      <c r="D30" t="s">
        <v>57</v>
      </c>
      <c r="E30" t="s">
        <v>28</v>
      </c>
      <c r="F30" s="8">
        <v>11</v>
      </c>
      <c r="G30" s="7">
        <v>101</v>
      </c>
      <c r="H30" s="7">
        <v>1111</v>
      </c>
      <c r="I30" s="4">
        <v>0.11</v>
      </c>
      <c r="J30" s="7">
        <v>988.79</v>
      </c>
      <c r="K30" s="7">
        <f>Tabela1[[#This Row],[Valor Bruto]]-Tabela1[[#This Row],[Valor Venda]]</f>
        <v>122.21000000000004</v>
      </c>
      <c r="L30" s="1">
        <v>43878</v>
      </c>
      <c r="M30" s="1">
        <v>43878</v>
      </c>
      <c r="N30">
        <v>27</v>
      </c>
      <c r="O30">
        <v>6</v>
      </c>
      <c r="P30" t="s">
        <v>25</v>
      </c>
      <c r="Q30">
        <v>0.06</v>
      </c>
      <c r="R30" s="7">
        <v>59.327399999999997</v>
      </c>
      <c r="S30">
        <v>6</v>
      </c>
      <c r="T30" t="s">
        <v>108</v>
      </c>
    </row>
    <row r="31" spans="1:20">
      <c r="A31">
        <v>28</v>
      </c>
      <c r="B31" s="1">
        <v>43849</v>
      </c>
      <c r="C31">
        <v>34</v>
      </c>
      <c r="D31" t="s">
        <v>58</v>
      </c>
      <c r="E31" t="s">
        <v>59</v>
      </c>
      <c r="F31" s="8">
        <v>27</v>
      </c>
      <c r="G31" s="7">
        <v>96</v>
      </c>
      <c r="H31" s="7">
        <v>2592</v>
      </c>
      <c r="I31" s="4">
        <v>0.13</v>
      </c>
      <c r="J31" s="7">
        <v>2255.04</v>
      </c>
      <c r="K31" s="7">
        <f>Tabela1[[#This Row],[Valor Bruto]]-Tabela1[[#This Row],[Valor Venda]]</f>
        <v>336.96000000000004</v>
      </c>
      <c r="L31" s="1">
        <v>43868</v>
      </c>
      <c r="M31" s="1">
        <v>43868</v>
      </c>
      <c r="N31">
        <v>28</v>
      </c>
      <c r="O31">
        <v>6</v>
      </c>
      <c r="P31" t="s">
        <v>32</v>
      </c>
      <c r="Q31">
        <v>0.06</v>
      </c>
      <c r="R31" s="7">
        <v>135.30240000000001</v>
      </c>
      <c r="S31">
        <v>7</v>
      </c>
      <c r="T31" t="s">
        <v>108</v>
      </c>
    </row>
    <row r="32" spans="1:20">
      <c r="A32">
        <v>29</v>
      </c>
      <c r="B32" s="1">
        <v>43849</v>
      </c>
      <c r="C32">
        <v>90</v>
      </c>
      <c r="D32" t="s">
        <v>60</v>
      </c>
      <c r="E32" t="s">
        <v>28</v>
      </c>
      <c r="F32" s="8">
        <v>20</v>
      </c>
      <c r="G32" s="7">
        <v>95</v>
      </c>
      <c r="H32" s="7">
        <v>1900</v>
      </c>
      <c r="I32" s="4">
        <v>7.0000000000000007E-2</v>
      </c>
      <c r="J32" s="7">
        <v>1767</v>
      </c>
      <c r="K32" s="7">
        <f>Tabela1[[#This Row],[Valor Bruto]]-Tabela1[[#This Row],[Valor Venda]]</f>
        <v>133</v>
      </c>
      <c r="L32" s="1">
        <v>43854</v>
      </c>
      <c r="M32" s="1">
        <v>43854</v>
      </c>
      <c r="N32">
        <v>29</v>
      </c>
      <c r="O32">
        <v>7</v>
      </c>
      <c r="P32" t="s">
        <v>43</v>
      </c>
      <c r="Q32">
        <v>0.1</v>
      </c>
      <c r="R32" s="7">
        <v>176.70000000000002</v>
      </c>
      <c r="S32">
        <v>1</v>
      </c>
      <c r="T32" t="s">
        <v>108</v>
      </c>
    </row>
    <row r="33" spans="1:20">
      <c r="A33">
        <v>30</v>
      </c>
      <c r="B33" s="1">
        <v>43850</v>
      </c>
      <c r="C33">
        <v>48</v>
      </c>
      <c r="D33" t="s">
        <v>61</v>
      </c>
      <c r="E33" t="s">
        <v>50</v>
      </c>
      <c r="F33" s="8">
        <v>19</v>
      </c>
      <c r="G33" s="7">
        <v>114</v>
      </c>
      <c r="H33" s="7">
        <v>2166</v>
      </c>
      <c r="I33" s="4">
        <v>0.05</v>
      </c>
      <c r="J33" s="7">
        <v>2057.6999999999998</v>
      </c>
      <c r="K33" s="7">
        <f>Tabela1[[#This Row],[Valor Bruto]]-Tabela1[[#This Row],[Valor Venda]]</f>
        <v>108.30000000000018</v>
      </c>
      <c r="L33" s="1">
        <v>43879</v>
      </c>
      <c r="M33" s="1">
        <v>43879</v>
      </c>
      <c r="N33">
        <v>30</v>
      </c>
      <c r="O33">
        <v>5</v>
      </c>
      <c r="P33" t="s">
        <v>32</v>
      </c>
      <c r="Q33">
        <v>0.1</v>
      </c>
      <c r="R33" s="7">
        <v>205.76999999999998</v>
      </c>
      <c r="S33">
        <v>2</v>
      </c>
      <c r="T33" t="s">
        <v>108</v>
      </c>
    </row>
    <row r="34" spans="1:20">
      <c r="A34">
        <v>31</v>
      </c>
      <c r="B34" s="1">
        <v>43850</v>
      </c>
      <c r="C34">
        <v>91</v>
      </c>
      <c r="D34" t="s">
        <v>62</v>
      </c>
      <c r="E34" t="s">
        <v>54</v>
      </c>
      <c r="F34" s="8">
        <v>50</v>
      </c>
      <c r="G34" s="7">
        <v>96</v>
      </c>
      <c r="H34" s="7">
        <v>4800</v>
      </c>
      <c r="I34" s="4">
        <v>0.05</v>
      </c>
      <c r="J34" s="7">
        <v>4560</v>
      </c>
      <c r="K34" s="7">
        <f>Tabela1[[#This Row],[Valor Bruto]]-Tabela1[[#This Row],[Valor Venda]]</f>
        <v>240</v>
      </c>
      <c r="L34" s="1">
        <v>43879</v>
      </c>
      <c r="M34" s="1">
        <v>43879</v>
      </c>
      <c r="N34">
        <v>31</v>
      </c>
      <c r="O34">
        <v>3</v>
      </c>
      <c r="P34" t="s">
        <v>22</v>
      </c>
      <c r="Q34">
        <v>0.08</v>
      </c>
      <c r="R34" s="7">
        <v>364.8</v>
      </c>
      <c r="S34">
        <v>3</v>
      </c>
      <c r="T34" t="s">
        <v>108</v>
      </c>
    </row>
    <row r="35" spans="1:20">
      <c r="A35">
        <v>32</v>
      </c>
      <c r="B35" s="1">
        <v>43850</v>
      </c>
      <c r="C35">
        <v>25</v>
      </c>
      <c r="D35" t="s">
        <v>63</v>
      </c>
      <c r="E35" t="s">
        <v>50</v>
      </c>
      <c r="F35" s="8">
        <v>20</v>
      </c>
      <c r="G35" s="7">
        <v>108</v>
      </c>
      <c r="H35" s="7">
        <v>2160</v>
      </c>
      <c r="I35" s="4">
        <v>0</v>
      </c>
      <c r="J35" s="7">
        <v>2160</v>
      </c>
      <c r="K35" s="7">
        <f>Tabela1[[#This Row],[Valor Bruto]]-Tabela1[[#This Row],[Valor Venda]]</f>
        <v>0</v>
      </c>
      <c r="L35" s="1">
        <v>43862</v>
      </c>
      <c r="M35" s="1">
        <v>43862</v>
      </c>
      <c r="N35">
        <v>32</v>
      </c>
      <c r="O35">
        <v>6</v>
      </c>
      <c r="P35" t="s">
        <v>32</v>
      </c>
      <c r="Q35">
        <v>7.0000000000000007E-2</v>
      </c>
      <c r="R35" s="7">
        <v>151.20000000000002</v>
      </c>
      <c r="S35">
        <v>4</v>
      </c>
      <c r="T35" t="s">
        <v>108</v>
      </c>
    </row>
    <row r="36" spans="1:20">
      <c r="A36">
        <v>33</v>
      </c>
      <c r="B36" s="1">
        <v>43851</v>
      </c>
      <c r="C36">
        <v>65</v>
      </c>
      <c r="D36" t="s">
        <v>64</v>
      </c>
      <c r="E36" t="s">
        <v>31</v>
      </c>
      <c r="F36" s="8">
        <v>18</v>
      </c>
      <c r="G36" s="7">
        <v>102</v>
      </c>
      <c r="H36" s="7">
        <v>1836</v>
      </c>
      <c r="I36" s="4">
        <v>0.11</v>
      </c>
      <c r="J36" s="7">
        <v>1634.04</v>
      </c>
      <c r="K36" s="7">
        <f>Tabela1[[#This Row],[Valor Bruto]]-Tabela1[[#This Row],[Valor Venda]]</f>
        <v>201.96000000000004</v>
      </c>
      <c r="L36" s="1">
        <v>43878</v>
      </c>
      <c r="M36" s="1">
        <v>43878</v>
      </c>
      <c r="N36">
        <v>33</v>
      </c>
      <c r="O36">
        <v>3</v>
      </c>
      <c r="P36" t="s">
        <v>22</v>
      </c>
      <c r="Q36">
        <v>0.06</v>
      </c>
      <c r="R36" s="7">
        <v>98.042400000000001</v>
      </c>
      <c r="S36">
        <v>5</v>
      </c>
      <c r="T36" t="s">
        <v>108</v>
      </c>
    </row>
    <row r="37" spans="1:20">
      <c r="A37">
        <v>34</v>
      </c>
      <c r="B37" s="1">
        <v>43851</v>
      </c>
      <c r="C37">
        <v>52</v>
      </c>
      <c r="D37" t="s">
        <v>23</v>
      </c>
      <c r="E37" t="s">
        <v>31</v>
      </c>
      <c r="F37" s="8">
        <v>44</v>
      </c>
      <c r="G37" s="7">
        <v>106</v>
      </c>
      <c r="H37" s="7">
        <v>4664</v>
      </c>
      <c r="I37" s="4">
        <v>0.08</v>
      </c>
      <c r="J37" s="7">
        <v>4290.88</v>
      </c>
      <c r="K37" s="7">
        <f>Tabela1[[#This Row],[Valor Bruto]]-Tabela1[[#This Row],[Valor Venda]]</f>
        <v>373.11999999999989</v>
      </c>
      <c r="L37" s="1">
        <v>43863</v>
      </c>
      <c r="M37" s="1">
        <v>43863</v>
      </c>
      <c r="N37">
        <v>34</v>
      </c>
      <c r="O37">
        <v>1</v>
      </c>
      <c r="P37" t="s">
        <v>32</v>
      </c>
      <c r="Q37">
        <v>7.0000000000000007E-2</v>
      </c>
      <c r="R37" s="7">
        <v>300.36160000000001</v>
      </c>
      <c r="S37">
        <v>6</v>
      </c>
      <c r="T37" t="s">
        <v>108</v>
      </c>
    </row>
    <row r="38" spans="1:20">
      <c r="A38">
        <v>35</v>
      </c>
      <c r="B38" s="1">
        <v>43851</v>
      </c>
      <c r="C38">
        <v>74</v>
      </c>
      <c r="D38" t="s">
        <v>38</v>
      </c>
      <c r="E38" t="s">
        <v>50</v>
      </c>
      <c r="F38" s="8">
        <v>41</v>
      </c>
      <c r="G38" s="7">
        <v>105</v>
      </c>
      <c r="H38" s="7">
        <v>4305</v>
      </c>
      <c r="I38" s="4">
        <v>0.13</v>
      </c>
      <c r="J38" s="7">
        <v>3745.35</v>
      </c>
      <c r="K38" s="7">
        <f>Tabela1[[#This Row],[Valor Bruto]]-Tabela1[[#This Row],[Valor Venda]]</f>
        <v>559.65000000000009</v>
      </c>
      <c r="L38" s="1">
        <v>43879</v>
      </c>
      <c r="M38" s="1">
        <v>43879</v>
      </c>
      <c r="N38">
        <v>35</v>
      </c>
      <c r="O38">
        <v>6</v>
      </c>
      <c r="P38" t="s">
        <v>52</v>
      </c>
      <c r="Q38">
        <v>0.09</v>
      </c>
      <c r="R38" s="7">
        <v>337.08150000000001</v>
      </c>
      <c r="S38">
        <v>7</v>
      </c>
      <c r="T38" t="s">
        <v>108</v>
      </c>
    </row>
    <row r="39" spans="1:20">
      <c r="A39">
        <v>36</v>
      </c>
      <c r="B39" s="1">
        <v>43852</v>
      </c>
      <c r="C39">
        <v>77</v>
      </c>
      <c r="D39" t="s">
        <v>65</v>
      </c>
      <c r="E39" t="s">
        <v>24</v>
      </c>
      <c r="F39" s="8">
        <v>19</v>
      </c>
      <c r="G39" s="7">
        <v>111</v>
      </c>
      <c r="H39" s="7">
        <v>2109</v>
      </c>
      <c r="I39" s="4">
        <v>0.08</v>
      </c>
      <c r="J39" s="7">
        <v>1940.28</v>
      </c>
      <c r="K39" s="7">
        <f>Tabela1[[#This Row],[Valor Bruto]]-Tabela1[[#This Row],[Valor Venda]]</f>
        <v>168.72000000000003</v>
      </c>
      <c r="L39" s="1">
        <v>43866</v>
      </c>
      <c r="M39" s="1">
        <v>43866</v>
      </c>
      <c r="N39">
        <v>36</v>
      </c>
      <c r="O39">
        <v>2</v>
      </c>
      <c r="P39" t="s">
        <v>37</v>
      </c>
      <c r="Q39">
        <v>0.06</v>
      </c>
      <c r="R39" s="7">
        <v>116.41679999999999</v>
      </c>
      <c r="S39">
        <v>1</v>
      </c>
      <c r="T39" t="s">
        <v>108</v>
      </c>
    </row>
    <row r="40" spans="1:20">
      <c r="A40">
        <v>37</v>
      </c>
      <c r="B40" s="1">
        <v>43852</v>
      </c>
      <c r="C40">
        <v>72</v>
      </c>
      <c r="D40" t="s">
        <v>38</v>
      </c>
      <c r="E40" t="s">
        <v>31</v>
      </c>
      <c r="F40" s="8">
        <v>14</v>
      </c>
      <c r="G40" s="7">
        <v>94</v>
      </c>
      <c r="H40" s="7">
        <v>1316</v>
      </c>
      <c r="I40" s="4">
        <v>0.09</v>
      </c>
      <c r="J40" s="7">
        <v>1197.56</v>
      </c>
      <c r="K40" s="7">
        <f>Tabela1[[#This Row],[Valor Bruto]]-Tabela1[[#This Row],[Valor Venda]]</f>
        <v>118.44000000000005</v>
      </c>
      <c r="L40" s="1">
        <v>43870</v>
      </c>
      <c r="M40" s="1">
        <v>43870</v>
      </c>
      <c r="N40">
        <v>37</v>
      </c>
      <c r="O40">
        <v>7</v>
      </c>
      <c r="P40" t="s">
        <v>47</v>
      </c>
      <c r="Q40">
        <v>0.09</v>
      </c>
      <c r="R40" s="7">
        <v>107.78039999999999</v>
      </c>
      <c r="S40">
        <v>2</v>
      </c>
      <c r="T40" t="s">
        <v>108</v>
      </c>
    </row>
    <row r="41" spans="1:20">
      <c r="A41">
        <v>38</v>
      </c>
      <c r="B41" s="1">
        <v>43853</v>
      </c>
      <c r="C41">
        <v>97</v>
      </c>
      <c r="D41" t="s">
        <v>66</v>
      </c>
      <c r="E41" t="s">
        <v>21</v>
      </c>
      <c r="F41" s="8">
        <v>16</v>
      </c>
      <c r="G41" s="7">
        <v>108</v>
      </c>
      <c r="H41" s="7">
        <v>1728</v>
      </c>
      <c r="I41" s="4">
        <v>0.08</v>
      </c>
      <c r="J41" s="7">
        <v>1589.76</v>
      </c>
      <c r="K41" s="7">
        <f>Tabela1[[#This Row],[Valor Bruto]]-Tabela1[[#This Row],[Valor Venda]]</f>
        <v>138.24</v>
      </c>
      <c r="L41" s="1">
        <v>43862</v>
      </c>
      <c r="M41" s="1">
        <v>43862</v>
      </c>
      <c r="N41">
        <v>38</v>
      </c>
      <c r="O41">
        <v>4</v>
      </c>
      <c r="P41" t="s">
        <v>47</v>
      </c>
      <c r="Q41">
        <v>0.06</v>
      </c>
      <c r="R41" s="7">
        <v>95.385599999999997</v>
      </c>
      <c r="S41">
        <v>3</v>
      </c>
      <c r="T41" t="s">
        <v>108</v>
      </c>
    </row>
    <row r="42" spans="1:20">
      <c r="A42">
        <v>39</v>
      </c>
      <c r="B42" s="1">
        <v>43853</v>
      </c>
      <c r="C42">
        <v>82</v>
      </c>
      <c r="D42" t="s">
        <v>67</v>
      </c>
      <c r="E42" t="s">
        <v>24</v>
      </c>
      <c r="F42" s="8">
        <v>41</v>
      </c>
      <c r="G42" s="7">
        <v>102</v>
      </c>
      <c r="H42" s="7">
        <v>4182</v>
      </c>
      <c r="I42" s="4">
        <v>0.04</v>
      </c>
      <c r="J42" s="7">
        <v>4014.72</v>
      </c>
      <c r="K42" s="7">
        <f>Tabela1[[#This Row],[Valor Bruto]]-Tabela1[[#This Row],[Valor Venda]]</f>
        <v>167.2800000000002</v>
      </c>
      <c r="L42" s="1">
        <v>43878</v>
      </c>
      <c r="M42" s="1">
        <v>43878</v>
      </c>
      <c r="N42">
        <v>39</v>
      </c>
      <c r="O42">
        <v>7</v>
      </c>
      <c r="P42" t="s">
        <v>29</v>
      </c>
      <c r="Q42">
        <v>0.09</v>
      </c>
      <c r="R42" s="7">
        <v>361.32479999999998</v>
      </c>
      <c r="S42">
        <v>4</v>
      </c>
      <c r="T42" t="s">
        <v>108</v>
      </c>
    </row>
    <row r="43" spans="1:20">
      <c r="A43">
        <v>40</v>
      </c>
      <c r="B43" s="1">
        <v>43854</v>
      </c>
      <c r="C43">
        <v>47</v>
      </c>
      <c r="D43" t="s">
        <v>40</v>
      </c>
      <c r="E43" t="s">
        <v>59</v>
      </c>
      <c r="F43" s="8">
        <v>46</v>
      </c>
      <c r="G43" s="7">
        <v>107</v>
      </c>
      <c r="H43" s="7">
        <v>4922</v>
      </c>
      <c r="I43" s="4">
        <v>0.15</v>
      </c>
      <c r="J43" s="7">
        <v>4183.7</v>
      </c>
      <c r="K43" s="7">
        <f>Tabela1[[#This Row],[Valor Bruto]]-Tabela1[[#This Row],[Valor Venda]]</f>
        <v>738.30000000000018</v>
      </c>
      <c r="L43" s="1">
        <v>43867</v>
      </c>
      <c r="M43" s="1">
        <v>43867</v>
      </c>
      <c r="N43">
        <v>40</v>
      </c>
      <c r="O43">
        <v>6</v>
      </c>
      <c r="P43" t="s">
        <v>25</v>
      </c>
      <c r="Q43">
        <v>0.05</v>
      </c>
      <c r="R43" s="7">
        <v>209.185</v>
      </c>
      <c r="S43">
        <v>5</v>
      </c>
      <c r="T43" t="s">
        <v>108</v>
      </c>
    </row>
    <row r="44" spans="1:20">
      <c r="A44">
        <v>41</v>
      </c>
      <c r="B44" s="1">
        <v>43854</v>
      </c>
      <c r="C44">
        <v>77</v>
      </c>
      <c r="D44" t="s">
        <v>65</v>
      </c>
      <c r="E44" t="s">
        <v>50</v>
      </c>
      <c r="F44" s="8">
        <v>38</v>
      </c>
      <c r="G44" s="7">
        <v>105</v>
      </c>
      <c r="H44" s="7">
        <v>3990</v>
      </c>
      <c r="I44" s="4">
        <v>0.05</v>
      </c>
      <c r="J44" s="7">
        <v>3790.5</v>
      </c>
      <c r="K44" s="7">
        <f>Tabela1[[#This Row],[Valor Bruto]]-Tabela1[[#This Row],[Valor Venda]]</f>
        <v>199.5</v>
      </c>
      <c r="L44" s="1">
        <v>43881</v>
      </c>
      <c r="M44" s="1">
        <v>43881</v>
      </c>
      <c r="N44">
        <v>41</v>
      </c>
      <c r="O44">
        <v>7</v>
      </c>
      <c r="P44" t="s">
        <v>43</v>
      </c>
      <c r="Q44">
        <v>0.09</v>
      </c>
      <c r="R44" s="7">
        <v>341.14499999999998</v>
      </c>
      <c r="S44">
        <v>6</v>
      </c>
      <c r="T44" t="s">
        <v>108</v>
      </c>
    </row>
    <row r="45" spans="1:20">
      <c r="A45">
        <v>42</v>
      </c>
      <c r="B45" s="1">
        <v>43854</v>
      </c>
      <c r="C45">
        <v>8</v>
      </c>
      <c r="D45" t="s">
        <v>38</v>
      </c>
      <c r="E45" t="s">
        <v>41</v>
      </c>
      <c r="F45" s="8">
        <v>48</v>
      </c>
      <c r="G45" s="7">
        <v>111</v>
      </c>
      <c r="H45" s="7">
        <v>5328</v>
      </c>
      <c r="I45" s="4">
        <v>0.11</v>
      </c>
      <c r="J45" s="7">
        <v>4741.92</v>
      </c>
      <c r="K45" s="7">
        <f>Tabela1[[#This Row],[Valor Bruto]]-Tabela1[[#This Row],[Valor Venda]]</f>
        <v>586.07999999999993</v>
      </c>
      <c r="L45" s="1">
        <v>43867</v>
      </c>
      <c r="M45" s="1">
        <v>43867</v>
      </c>
      <c r="N45">
        <v>42</v>
      </c>
      <c r="O45">
        <v>7</v>
      </c>
      <c r="P45" t="s">
        <v>37</v>
      </c>
      <c r="Q45">
        <v>0.09</v>
      </c>
      <c r="R45" s="7">
        <v>426.77280000000002</v>
      </c>
      <c r="S45">
        <v>7</v>
      </c>
      <c r="T45" t="s">
        <v>108</v>
      </c>
    </row>
    <row r="46" spans="1:20">
      <c r="A46">
        <v>43</v>
      </c>
      <c r="B46" s="1">
        <v>43854</v>
      </c>
      <c r="C46">
        <v>41</v>
      </c>
      <c r="D46" t="s">
        <v>68</v>
      </c>
      <c r="E46" t="s">
        <v>28</v>
      </c>
      <c r="F46" s="8">
        <v>33</v>
      </c>
      <c r="G46" s="7">
        <v>99</v>
      </c>
      <c r="H46" s="7">
        <v>3267</v>
      </c>
      <c r="I46" s="4">
        <v>0.02</v>
      </c>
      <c r="J46" s="7">
        <v>3201.66</v>
      </c>
      <c r="K46" s="7">
        <f>Tabela1[[#This Row],[Valor Bruto]]-Tabela1[[#This Row],[Valor Venda]]</f>
        <v>65.340000000000146</v>
      </c>
      <c r="L46" s="1">
        <v>43877</v>
      </c>
      <c r="M46" s="1">
        <v>43877</v>
      </c>
      <c r="N46">
        <v>43</v>
      </c>
      <c r="O46">
        <v>5</v>
      </c>
      <c r="P46" t="s">
        <v>22</v>
      </c>
      <c r="Q46">
        <v>0.05</v>
      </c>
      <c r="R46" s="7">
        <v>160.083</v>
      </c>
      <c r="S46">
        <v>1</v>
      </c>
      <c r="T46" t="s">
        <v>108</v>
      </c>
    </row>
    <row r="47" spans="1:20">
      <c r="A47">
        <v>44</v>
      </c>
      <c r="B47" s="1">
        <v>43855</v>
      </c>
      <c r="C47">
        <v>41</v>
      </c>
      <c r="D47" t="s">
        <v>68</v>
      </c>
      <c r="E47" t="s">
        <v>46</v>
      </c>
      <c r="F47" s="8">
        <v>22</v>
      </c>
      <c r="G47" s="7">
        <v>117</v>
      </c>
      <c r="H47" s="7">
        <v>2574</v>
      </c>
      <c r="I47" s="4">
        <v>0.12</v>
      </c>
      <c r="J47" s="7">
        <v>2265.12</v>
      </c>
      <c r="K47" s="7">
        <f>Tabela1[[#This Row],[Valor Bruto]]-Tabela1[[#This Row],[Valor Venda]]</f>
        <v>308.88000000000011</v>
      </c>
      <c r="L47" s="1">
        <v>43884</v>
      </c>
      <c r="M47" s="1">
        <v>43884</v>
      </c>
      <c r="N47">
        <v>44</v>
      </c>
      <c r="O47">
        <v>7</v>
      </c>
      <c r="P47" t="s">
        <v>29</v>
      </c>
      <c r="Q47">
        <v>7.0000000000000007E-2</v>
      </c>
      <c r="R47" s="7">
        <v>158.55840000000001</v>
      </c>
      <c r="S47">
        <v>2</v>
      </c>
      <c r="T47" t="s">
        <v>108</v>
      </c>
    </row>
    <row r="48" spans="1:20">
      <c r="A48">
        <v>45</v>
      </c>
      <c r="B48" s="1">
        <v>43855</v>
      </c>
      <c r="C48">
        <v>55</v>
      </c>
      <c r="D48" t="s">
        <v>44</v>
      </c>
      <c r="E48" t="s">
        <v>41</v>
      </c>
      <c r="F48" s="8">
        <v>31</v>
      </c>
      <c r="G48" s="7">
        <v>110</v>
      </c>
      <c r="H48" s="7">
        <v>3410</v>
      </c>
      <c r="I48" s="4">
        <v>0.04</v>
      </c>
      <c r="J48" s="7">
        <v>3273.6</v>
      </c>
      <c r="K48" s="7">
        <f>Tabela1[[#This Row],[Valor Bruto]]-Tabela1[[#This Row],[Valor Venda]]</f>
        <v>136.40000000000009</v>
      </c>
      <c r="L48" s="1">
        <v>43858</v>
      </c>
      <c r="M48" s="1">
        <v>43858</v>
      </c>
      <c r="N48">
        <v>45</v>
      </c>
      <c r="O48">
        <v>6</v>
      </c>
      <c r="P48" t="s">
        <v>43</v>
      </c>
      <c r="Q48">
        <v>0.06</v>
      </c>
      <c r="R48" s="7">
        <v>196.416</v>
      </c>
      <c r="S48">
        <v>3</v>
      </c>
      <c r="T48" t="s">
        <v>108</v>
      </c>
    </row>
    <row r="49" spans="1:20">
      <c r="A49">
        <v>46</v>
      </c>
      <c r="B49" s="1">
        <v>43855</v>
      </c>
      <c r="C49">
        <v>40</v>
      </c>
      <c r="D49" t="s">
        <v>49</v>
      </c>
      <c r="E49" t="s">
        <v>41</v>
      </c>
      <c r="F49" s="8">
        <v>37</v>
      </c>
      <c r="G49" s="7">
        <v>90</v>
      </c>
      <c r="H49" s="7">
        <v>3330</v>
      </c>
      <c r="I49" s="4">
        <v>0.15</v>
      </c>
      <c r="J49" s="7">
        <v>2830.5</v>
      </c>
      <c r="K49" s="7">
        <f>Tabela1[[#This Row],[Valor Bruto]]-Tabela1[[#This Row],[Valor Venda]]</f>
        <v>499.5</v>
      </c>
      <c r="L49" s="1">
        <v>43876</v>
      </c>
      <c r="M49" s="1">
        <v>43876</v>
      </c>
      <c r="N49">
        <v>46</v>
      </c>
      <c r="O49">
        <v>1</v>
      </c>
      <c r="P49" t="s">
        <v>34</v>
      </c>
      <c r="Q49">
        <v>0.1</v>
      </c>
      <c r="R49" s="7">
        <v>283.05</v>
      </c>
      <c r="S49">
        <v>4</v>
      </c>
      <c r="T49" t="s">
        <v>108</v>
      </c>
    </row>
    <row r="50" spans="1:20">
      <c r="A50">
        <v>47</v>
      </c>
      <c r="B50" s="1">
        <v>43855</v>
      </c>
      <c r="C50">
        <v>47</v>
      </c>
      <c r="D50" t="s">
        <v>40</v>
      </c>
      <c r="E50" t="s">
        <v>41</v>
      </c>
      <c r="F50" s="8">
        <v>45</v>
      </c>
      <c r="G50" s="7">
        <v>108</v>
      </c>
      <c r="H50" s="7">
        <v>4860</v>
      </c>
      <c r="I50" s="4">
        <v>0.11</v>
      </c>
      <c r="J50" s="7">
        <v>4325.3999999999996</v>
      </c>
      <c r="K50" s="7">
        <f>Tabela1[[#This Row],[Valor Bruto]]-Tabela1[[#This Row],[Valor Venda]]</f>
        <v>534.60000000000036</v>
      </c>
      <c r="L50" s="1">
        <v>43860</v>
      </c>
      <c r="M50" s="1">
        <v>43860</v>
      </c>
      <c r="N50">
        <v>47</v>
      </c>
      <c r="O50">
        <v>6</v>
      </c>
      <c r="P50" t="s">
        <v>69</v>
      </c>
      <c r="Q50">
        <v>0.1</v>
      </c>
      <c r="R50" s="7">
        <v>432.53999999999996</v>
      </c>
      <c r="S50">
        <v>5</v>
      </c>
      <c r="T50" t="s">
        <v>108</v>
      </c>
    </row>
    <row r="51" spans="1:20">
      <c r="A51">
        <v>48</v>
      </c>
      <c r="B51" s="1">
        <v>43857</v>
      </c>
      <c r="C51">
        <v>36</v>
      </c>
      <c r="D51" t="s">
        <v>70</v>
      </c>
      <c r="E51" t="s">
        <v>46</v>
      </c>
      <c r="F51" s="8">
        <v>26</v>
      </c>
      <c r="G51" s="7">
        <v>93</v>
      </c>
      <c r="H51" s="7">
        <v>2418</v>
      </c>
      <c r="I51" s="4">
        <v>0.05</v>
      </c>
      <c r="J51" s="7">
        <v>2297.1</v>
      </c>
      <c r="K51" s="7">
        <f>Tabela1[[#This Row],[Valor Bruto]]-Tabela1[[#This Row],[Valor Venda]]</f>
        <v>120.90000000000009</v>
      </c>
      <c r="L51" s="1">
        <v>43878</v>
      </c>
      <c r="M51" s="1">
        <v>43878</v>
      </c>
      <c r="N51">
        <v>48</v>
      </c>
      <c r="O51">
        <v>7</v>
      </c>
      <c r="P51" t="s">
        <v>34</v>
      </c>
      <c r="Q51">
        <v>0.09</v>
      </c>
      <c r="R51" s="7">
        <v>206.73899999999998</v>
      </c>
      <c r="S51">
        <v>6</v>
      </c>
      <c r="T51" t="s">
        <v>108</v>
      </c>
    </row>
    <row r="52" spans="1:20">
      <c r="A52">
        <v>49</v>
      </c>
      <c r="B52" s="1">
        <v>43859</v>
      </c>
      <c r="C52">
        <v>44</v>
      </c>
      <c r="D52" t="s">
        <v>71</v>
      </c>
      <c r="E52" t="s">
        <v>55</v>
      </c>
      <c r="F52" s="8">
        <v>44</v>
      </c>
      <c r="G52" s="7">
        <v>92</v>
      </c>
      <c r="H52" s="7">
        <v>4048</v>
      </c>
      <c r="I52" s="4">
        <v>0.04</v>
      </c>
      <c r="J52" s="7">
        <v>3886.08</v>
      </c>
      <c r="K52" s="7">
        <f>Tabela1[[#This Row],[Valor Bruto]]-Tabela1[[#This Row],[Valor Venda]]</f>
        <v>161.92000000000007</v>
      </c>
      <c r="L52" s="1">
        <v>43889</v>
      </c>
      <c r="M52" s="1">
        <v>43889</v>
      </c>
      <c r="N52">
        <v>49</v>
      </c>
      <c r="O52">
        <v>5</v>
      </c>
      <c r="P52" t="s">
        <v>52</v>
      </c>
      <c r="Q52">
        <v>0.1</v>
      </c>
      <c r="R52" s="7">
        <v>388.608</v>
      </c>
      <c r="S52">
        <v>7</v>
      </c>
      <c r="T52" t="s">
        <v>108</v>
      </c>
    </row>
    <row r="53" spans="1:20">
      <c r="A53">
        <v>50</v>
      </c>
      <c r="B53" s="1">
        <v>43859</v>
      </c>
      <c r="C53">
        <v>58</v>
      </c>
      <c r="D53" t="s">
        <v>72</v>
      </c>
      <c r="E53" t="s">
        <v>46</v>
      </c>
      <c r="F53" s="8">
        <v>26</v>
      </c>
      <c r="G53" s="7">
        <v>116</v>
      </c>
      <c r="H53" s="7">
        <v>3016</v>
      </c>
      <c r="I53" s="4">
        <v>0</v>
      </c>
      <c r="J53" s="7">
        <v>3016</v>
      </c>
      <c r="K53" s="7">
        <f>Tabela1[[#This Row],[Valor Bruto]]-Tabela1[[#This Row],[Valor Venda]]</f>
        <v>0</v>
      </c>
      <c r="L53" s="1">
        <v>43884</v>
      </c>
      <c r="M53" s="1">
        <v>43884</v>
      </c>
      <c r="N53">
        <v>50</v>
      </c>
      <c r="O53">
        <v>1</v>
      </c>
      <c r="P53" t="s">
        <v>25</v>
      </c>
      <c r="Q53">
        <v>0.1</v>
      </c>
      <c r="R53" s="7">
        <v>301.60000000000002</v>
      </c>
      <c r="S53">
        <v>1</v>
      </c>
      <c r="T53" t="s">
        <v>108</v>
      </c>
    </row>
    <row r="54" spans="1:20">
      <c r="A54">
        <v>51</v>
      </c>
      <c r="B54" s="1">
        <v>43859</v>
      </c>
      <c r="C54">
        <v>38</v>
      </c>
      <c r="D54" t="s">
        <v>73</v>
      </c>
      <c r="E54" t="s">
        <v>31</v>
      </c>
      <c r="F54" s="8">
        <v>50</v>
      </c>
      <c r="G54" s="7">
        <v>91</v>
      </c>
      <c r="H54" s="7">
        <v>4550</v>
      </c>
      <c r="I54" s="4">
        <v>0.12</v>
      </c>
      <c r="J54" s="7">
        <v>4004</v>
      </c>
      <c r="K54" s="7">
        <f>Tabela1[[#This Row],[Valor Bruto]]-Tabela1[[#This Row],[Valor Venda]]</f>
        <v>546</v>
      </c>
      <c r="L54" s="1">
        <v>43860</v>
      </c>
      <c r="M54" s="1">
        <v>43860</v>
      </c>
      <c r="N54">
        <v>51</v>
      </c>
      <c r="O54">
        <v>7</v>
      </c>
      <c r="P54" t="s">
        <v>22</v>
      </c>
      <c r="Q54">
        <v>0.09</v>
      </c>
      <c r="R54" s="7">
        <v>360.36</v>
      </c>
      <c r="S54">
        <v>2</v>
      </c>
      <c r="T54" t="s">
        <v>108</v>
      </c>
    </row>
    <row r="55" spans="1:20">
      <c r="A55">
        <v>52</v>
      </c>
      <c r="B55" s="1">
        <v>43859</v>
      </c>
      <c r="C55">
        <v>94</v>
      </c>
      <c r="D55" t="s">
        <v>49</v>
      </c>
      <c r="E55" t="s">
        <v>50</v>
      </c>
      <c r="F55" s="8">
        <v>30</v>
      </c>
      <c r="G55" s="7">
        <v>103</v>
      </c>
      <c r="H55" s="7">
        <v>3090</v>
      </c>
      <c r="I55" s="4">
        <v>0.06</v>
      </c>
      <c r="J55" s="7">
        <v>2904.6</v>
      </c>
      <c r="K55" s="7">
        <f>Tabela1[[#This Row],[Valor Bruto]]-Tabela1[[#This Row],[Valor Venda]]</f>
        <v>185.40000000000009</v>
      </c>
      <c r="L55" s="1">
        <v>43871</v>
      </c>
      <c r="M55" s="1">
        <v>43871</v>
      </c>
      <c r="N55">
        <v>52</v>
      </c>
      <c r="O55">
        <v>3</v>
      </c>
      <c r="P55" t="s">
        <v>69</v>
      </c>
      <c r="Q55">
        <v>7.0000000000000007E-2</v>
      </c>
      <c r="R55" s="7">
        <v>203.322</v>
      </c>
      <c r="S55">
        <v>3</v>
      </c>
      <c r="T55" t="s">
        <v>108</v>
      </c>
    </row>
    <row r="56" spans="1:20">
      <c r="A56">
        <v>53</v>
      </c>
      <c r="B56" s="1">
        <v>43860</v>
      </c>
      <c r="C56">
        <v>24</v>
      </c>
      <c r="D56" t="s">
        <v>74</v>
      </c>
      <c r="E56" t="s">
        <v>31</v>
      </c>
      <c r="F56" s="8">
        <v>44</v>
      </c>
      <c r="G56" s="7">
        <v>94</v>
      </c>
      <c r="H56" s="7">
        <v>4136</v>
      </c>
      <c r="I56" s="4">
        <v>0.08</v>
      </c>
      <c r="J56" s="7">
        <v>3805.12</v>
      </c>
      <c r="K56" s="7">
        <f>Tabela1[[#This Row],[Valor Bruto]]-Tabela1[[#This Row],[Valor Venda]]</f>
        <v>330.88000000000011</v>
      </c>
      <c r="L56" s="1">
        <v>43886</v>
      </c>
      <c r="M56" s="1">
        <v>43886</v>
      </c>
      <c r="N56">
        <v>53</v>
      </c>
      <c r="O56">
        <v>6</v>
      </c>
      <c r="P56" t="s">
        <v>37</v>
      </c>
      <c r="Q56">
        <v>0.06</v>
      </c>
      <c r="R56" s="7">
        <v>228.30719999999999</v>
      </c>
      <c r="S56">
        <v>4</v>
      </c>
      <c r="T56" t="s">
        <v>108</v>
      </c>
    </row>
    <row r="57" spans="1:20">
      <c r="A57">
        <v>54</v>
      </c>
      <c r="B57" s="1">
        <v>43861</v>
      </c>
      <c r="C57">
        <v>93</v>
      </c>
      <c r="D57" t="s">
        <v>33</v>
      </c>
      <c r="E57" t="s">
        <v>46</v>
      </c>
      <c r="F57" s="8">
        <v>41</v>
      </c>
      <c r="G57" s="7">
        <v>103</v>
      </c>
      <c r="H57" s="7">
        <v>4223</v>
      </c>
      <c r="I57" s="4">
        <v>0.1</v>
      </c>
      <c r="J57" s="7">
        <v>3800.7</v>
      </c>
      <c r="K57" s="7">
        <f>Tabela1[[#This Row],[Valor Bruto]]-Tabela1[[#This Row],[Valor Venda]]</f>
        <v>422.30000000000018</v>
      </c>
      <c r="L57" s="1">
        <v>43869</v>
      </c>
      <c r="M57" s="1">
        <v>43869</v>
      </c>
      <c r="N57">
        <v>54</v>
      </c>
      <c r="O57">
        <v>2</v>
      </c>
      <c r="P57" t="s">
        <v>22</v>
      </c>
      <c r="Q57">
        <v>0.08</v>
      </c>
      <c r="R57" s="7">
        <v>304.05599999999998</v>
      </c>
      <c r="S57">
        <v>5</v>
      </c>
      <c r="T57" t="s">
        <v>108</v>
      </c>
    </row>
    <row r="58" spans="1:20">
      <c r="A58">
        <v>55</v>
      </c>
      <c r="B58" s="1">
        <v>43861</v>
      </c>
      <c r="C58">
        <v>95</v>
      </c>
      <c r="D58" t="s">
        <v>38</v>
      </c>
      <c r="E58" t="s">
        <v>41</v>
      </c>
      <c r="F58" s="8">
        <v>11</v>
      </c>
      <c r="G58" s="7">
        <v>105</v>
      </c>
      <c r="H58" s="7">
        <v>1155</v>
      </c>
      <c r="I58" s="4">
        <v>0.06</v>
      </c>
      <c r="J58" s="7">
        <v>1085.7</v>
      </c>
      <c r="K58" s="7">
        <f>Tabela1[[#This Row],[Valor Bruto]]-Tabela1[[#This Row],[Valor Venda]]</f>
        <v>69.299999999999955</v>
      </c>
      <c r="L58" s="1">
        <v>43872</v>
      </c>
      <c r="M58" s="1">
        <v>43872</v>
      </c>
      <c r="N58">
        <v>55</v>
      </c>
      <c r="O58">
        <v>4</v>
      </c>
      <c r="P58" t="s">
        <v>29</v>
      </c>
      <c r="Q58">
        <v>7.0000000000000007E-2</v>
      </c>
      <c r="R58" s="7">
        <v>75.999000000000009</v>
      </c>
      <c r="S58">
        <v>6</v>
      </c>
      <c r="T58" t="s">
        <v>108</v>
      </c>
    </row>
    <row r="59" spans="1:20">
      <c r="A59">
        <v>56</v>
      </c>
      <c r="B59" s="1">
        <v>43861</v>
      </c>
      <c r="C59">
        <v>13</v>
      </c>
      <c r="D59" t="s">
        <v>75</v>
      </c>
      <c r="E59" t="s">
        <v>24</v>
      </c>
      <c r="F59" s="8">
        <v>45</v>
      </c>
      <c r="G59" s="7">
        <v>106</v>
      </c>
      <c r="H59" s="7">
        <v>4770</v>
      </c>
      <c r="I59" s="4">
        <v>0.12</v>
      </c>
      <c r="J59" s="7">
        <v>4197.6000000000004</v>
      </c>
      <c r="K59" s="7">
        <f>Tabela1[[#This Row],[Valor Bruto]]-Tabela1[[#This Row],[Valor Venda]]</f>
        <v>572.39999999999964</v>
      </c>
      <c r="L59" s="1">
        <v>43886</v>
      </c>
      <c r="M59" s="1">
        <v>43886</v>
      </c>
      <c r="N59">
        <v>56</v>
      </c>
      <c r="O59">
        <v>6</v>
      </c>
      <c r="P59" t="s">
        <v>25</v>
      </c>
      <c r="Q59">
        <v>0.05</v>
      </c>
      <c r="R59" s="7">
        <v>209.88000000000002</v>
      </c>
      <c r="S59">
        <v>7</v>
      </c>
      <c r="T59" t="s">
        <v>108</v>
      </c>
    </row>
    <row r="60" spans="1:20">
      <c r="A60">
        <v>57</v>
      </c>
      <c r="B60" s="1">
        <v>43862</v>
      </c>
      <c r="C60">
        <v>33</v>
      </c>
      <c r="D60" t="s">
        <v>76</v>
      </c>
      <c r="E60" t="s">
        <v>50</v>
      </c>
      <c r="F60" s="8">
        <v>35</v>
      </c>
      <c r="G60" s="7">
        <v>101</v>
      </c>
      <c r="H60" s="7">
        <v>3535</v>
      </c>
      <c r="I60" s="4">
        <v>0.13</v>
      </c>
      <c r="J60" s="7">
        <v>3075.45</v>
      </c>
      <c r="K60" s="7">
        <f>Tabela1[[#This Row],[Valor Bruto]]-Tabela1[[#This Row],[Valor Venda]]</f>
        <v>459.55000000000018</v>
      </c>
      <c r="L60" s="1">
        <v>43888</v>
      </c>
      <c r="M60" s="1">
        <v>43888</v>
      </c>
      <c r="N60">
        <v>57</v>
      </c>
      <c r="O60">
        <v>4</v>
      </c>
      <c r="P60" t="s">
        <v>32</v>
      </c>
      <c r="Q60">
        <v>0.08</v>
      </c>
      <c r="R60" s="7">
        <v>246.036</v>
      </c>
      <c r="S60">
        <v>1</v>
      </c>
      <c r="T60" t="s">
        <v>109</v>
      </c>
    </row>
    <row r="61" spans="1:20">
      <c r="A61">
        <v>58</v>
      </c>
      <c r="B61" s="1">
        <v>43862</v>
      </c>
      <c r="C61">
        <v>52</v>
      </c>
      <c r="D61" t="s">
        <v>23</v>
      </c>
      <c r="E61" t="s">
        <v>54</v>
      </c>
      <c r="F61" s="8">
        <v>15</v>
      </c>
      <c r="G61" s="7">
        <v>104</v>
      </c>
      <c r="H61" s="7">
        <v>1560</v>
      </c>
      <c r="I61" s="4">
        <v>0.12</v>
      </c>
      <c r="J61" s="7">
        <v>1372.8</v>
      </c>
      <c r="K61" s="7">
        <f>Tabela1[[#This Row],[Valor Bruto]]-Tabela1[[#This Row],[Valor Venda]]</f>
        <v>187.20000000000005</v>
      </c>
      <c r="L61" s="1">
        <v>43882</v>
      </c>
      <c r="M61" s="1">
        <v>43882</v>
      </c>
      <c r="N61">
        <v>58</v>
      </c>
      <c r="O61">
        <v>4</v>
      </c>
      <c r="P61" t="s">
        <v>43</v>
      </c>
      <c r="Q61">
        <v>0.08</v>
      </c>
      <c r="R61" s="7">
        <v>109.824</v>
      </c>
      <c r="S61">
        <v>2</v>
      </c>
      <c r="T61" t="s">
        <v>109</v>
      </c>
    </row>
    <row r="62" spans="1:20">
      <c r="A62">
        <v>59</v>
      </c>
      <c r="B62" s="1">
        <v>43863</v>
      </c>
      <c r="C62">
        <v>15</v>
      </c>
      <c r="D62" t="s">
        <v>77</v>
      </c>
      <c r="E62" t="s">
        <v>24</v>
      </c>
      <c r="F62" s="8">
        <v>13</v>
      </c>
      <c r="G62" s="7">
        <v>116</v>
      </c>
      <c r="H62" s="7">
        <v>1508</v>
      </c>
      <c r="I62" s="4">
        <v>0.14000000000000001</v>
      </c>
      <c r="J62" s="7">
        <v>1296.8799999999999</v>
      </c>
      <c r="K62" s="7">
        <f>Tabela1[[#This Row],[Valor Bruto]]-Tabela1[[#This Row],[Valor Venda]]</f>
        <v>211.12000000000012</v>
      </c>
      <c r="L62" s="1">
        <v>43891</v>
      </c>
      <c r="M62" s="1">
        <v>43891</v>
      </c>
      <c r="N62">
        <v>59</v>
      </c>
      <c r="O62">
        <v>3</v>
      </c>
      <c r="P62" t="s">
        <v>29</v>
      </c>
      <c r="Q62">
        <v>7.0000000000000007E-2</v>
      </c>
      <c r="R62" s="7">
        <v>90.781599999999997</v>
      </c>
      <c r="S62">
        <v>3</v>
      </c>
      <c r="T62" t="s">
        <v>109</v>
      </c>
    </row>
    <row r="63" spans="1:20">
      <c r="A63">
        <v>60</v>
      </c>
      <c r="B63" s="1">
        <v>43864</v>
      </c>
      <c r="C63">
        <v>13</v>
      </c>
      <c r="D63" t="s">
        <v>75</v>
      </c>
      <c r="E63" t="s">
        <v>31</v>
      </c>
      <c r="F63" s="8">
        <v>43</v>
      </c>
      <c r="G63" s="7">
        <v>98</v>
      </c>
      <c r="H63" s="7">
        <v>4214</v>
      </c>
      <c r="I63" s="4">
        <v>0.08</v>
      </c>
      <c r="J63" s="7">
        <v>3876.88</v>
      </c>
      <c r="K63" s="7">
        <f>Tabela1[[#This Row],[Valor Bruto]]-Tabela1[[#This Row],[Valor Venda]]</f>
        <v>337.11999999999989</v>
      </c>
      <c r="L63" s="1">
        <v>43879</v>
      </c>
      <c r="M63" s="1">
        <v>43879</v>
      </c>
      <c r="N63">
        <v>60</v>
      </c>
      <c r="O63">
        <v>1</v>
      </c>
      <c r="P63" t="s">
        <v>34</v>
      </c>
      <c r="Q63">
        <v>7.0000000000000007E-2</v>
      </c>
      <c r="R63" s="7">
        <v>271.38160000000005</v>
      </c>
      <c r="S63">
        <v>4</v>
      </c>
      <c r="T63" t="s">
        <v>109</v>
      </c>
    </row>
    <row r="64" spans="1:20">
      <c r="A64">
        <v>61</v>
      </c>
      <c r="B64" s="1">
        <v>43864</v>
      </c>
      <c r="C64">
        <v>89</v>
      </c>
      <c r="D64" t="s">
        <v>49</v>
      </c>
      <c r="E64" t="s">
        <v>41</v>
      </c>
      <c r="F64" s="8">
        <v>28</v>
      </c>
      <c r="G64" s="7">
        <v>102</v>
      </c>
      <c r="H64" s="7">
        <v>2856</v>
      </c>
      <c r="I64" s="4">
        <v>0</v>
      </c>
      <c r="J64" s="7">
        <v>2856</v>
      </c>
      <c r="K64" s="7">
        <f>Tabela1[[#This Row],[Valor Bruto]]-Tabela1[[#This Row],[Valor Venda]]</f>
        <v>0</v>
      </c>
      <c r="L64" s="1">
        <v>43890</v>
      </c>
      <c r="M64" s="1">
        <v>43890</v>
      </c>
      <c r="N64">
        <v>61</v>
      </c>
      <c r="O64">
        <v>2</v>
      </c>
      <c r="P64" t="s">
        <v>47</v>
      </c>
      <c r="Q64">
        <v>0.09</v>
      </c>
      <c r="R64" s="7">
        <v>257.03999999999996</v>
      </c>
      <c r="S64">
        <v>5</v>
      </c>
      <c r="T64" t="s">
        <v>109</v>
      </c>
    </row>
    <row r="65" spans="1:20">
      <c r="A65">
        <v>62</v>
      </c>
      <c r="B65" s="1">
        <v>43865</v>
      </c>
      <c r="C65">
        <v>64</v>
      </c>
      <c r="D65" t="s">
        <v>78</v>
      </c>
      <c r="E65" t="s">
        <v>50</v>
      </c>
      <c r="F65" s="8">
        <v>16</v>
      </c>
      <c r="G65" s="7">
        <v>112</v>
      </c>
      <c r="H65" s="7">
        <v>1792</v>
      </c>
      <c r="I65" s="4">
        <v>0.04</v>
      </c>
      <c r="J65" s="7">
        <v>1720.32</v>
      </c>
      <c r="K65" s="7">
        <f>Tabela1[[#This Row],[Valor Bruto]]-Tabela1[[#This Row],[Valor Venda]]</f>
        <v>71.680000000000064</v>
      </c>
      <c r="L65" s="1">
        <v>43869</v>
      </c>
      <c r="M65" s="1">
        <v>43869</v>
      </c>
      <c r="N65">
        <v>62</v>
      </c>
      <c r="O65">
        <v>4</v>
      </c>
      <c r="P65" t="s">
        <v>52</v>
      </c>
      <c r="Q65">
        <v>0.05</v>
      </c>
      <c r="R65" s="7">
        <v>86.016000000000005</v>
      </c>
      <c r="S65">
        <v>6</v>
      </c>
      <c r="T65" t="s">
        <v>109</v>
      </c>
    </row>
    <row r="66" spans="1:20">
      <c r="A66">
        <v>63</v>
      </c>
      <c r="B66" s="1">
        <v>43865</v>
      </c>
      <c r="C66">
        <v>54</v>
      </c>
      <c r="D66" t="s">
        <v>79</v>
      </c>
      <c r="E66" t="s">
        <v>54</v>
      </c>
      <c r="F66" s="8">
        <v>42</v>
      </c>
      <c r="G66" s="7">
        <v>102</v>
      </c>
      <c r="H66" s="7">
        <v>4284</v>
      </c>
      <c r="I66" s="4">
        <v>0.05</v>
      </c>
      <c r="J66" s="7">
        <v>4069.8</v>
      </c>
      <c r="K66" s="7">
        <f>Tabela1[[#This Row],[Valor Bruto]]-Tabela1[[#This Row],[Valor Venda]]</f>
        <v>214.19999999999982</v>
      </c>
      <c r="L66" s="1">
        <v>43885</v>
      </c>
      <c r="M66" s="1">
        <v>43885</v>
      </c>
      <c r="N66">
        <v>63</v>
      </c>
      <c r="O66">
        <v>2</v>
      </c>
      <c r="P66" t="s">
        <v>43</v>
      </c>
      <c r="Q66">
        <v>0.05</v>
      </c>
      <c r="R66" s="7">
        <v>203.49</v>
      </c>
      <c r="S66">
        <v>7</v>
      </c>
      <c r="T66" t="s">
        <v>109</v>
      </c>
    </row>
    <row r="67" spans="1:20">
      <c r="A67">
        <v>64</v>
      </c>
      <c r="B67" s="1">
        <v>43866</v>
      </c>
      <c r="C67">
        <v>41</v>
      </c>
      <c r="D67" t="s">
        <v>68</v>
      </c>
      <c r="E67" t="s">
        <v>28</v>
      </c>
      <c r="F67" s="8">
        <v>32</v>
      </c>
      <c r="G67" s="7">
        <v>110</v>
      </c>
      <c r="H67" s="7">
        <v>3520</v>
      </c>
      <c r="I67" s="4">
        <v>0</v>
      </c>
      <c r="J67" s="7">
        <v>3520</v>
      </c>
      <c r="K67" s="7">
        <f>Tabela1[[#This Row],[Valor Bruto]]-Tabela1[[#This Row],[Valor Venda]]</f>
        <v>0</v>
      </c>
      <c r="L67" s="1">
        <v>43877</v>
      </c>
      <c r="M67" s="1">
        <v>43877</v>
      </c>
      <c r="N67">
        <v>64</v>
      </c>
      <c r="O67">
        <v>4</v>
      </c>
      <c r="P67" t="s">
        <v>43</v>
      </c>
      <c r="Q67">
        <v>0.06</v>
      </c>
      <c r="R67" s="7">
        <v>211.2</v>
      </c>
      <c r="S67">
        <v>1</v>
      </c>
      <c r="T67" t="s">
        <v>109</v>
      </c>
    </row>
    <row r="68" spans="1:20">
      <c r="A68">
        <v>65</v>
      </c>
      <c r="B68" s="1">
        <v>43866</v>
      </c>
      <c r="C68">
        <v>65</v>
      </c>
      <c r="D68" t="s">
        <v>64</v>
      </c>
      <c r="E68" t="s">
        <v>21</v>
      </c>
      <c r="F68" s="8">
        <v>17</v>
      </c>
      <c r="G68" s="7">
        <v>93</v>
      </c>
      <c r="H68" s="7">
        <v>1581</v>
      </c>
      <c r="I68" s="4">
        <v>0.02</v>
      </c>
      <c r="J68" s="7">
        <v>1549.38</v>
      </c>
      <c r="K68" s="7">
        <f>Tabela1[[#This Row],[Valor Bruto]]-Tabela1[[#This Row],[Valor Venda]]</f>
        <v>31.619999999999891</v>
      </c>
      <c r="L68" s="1">
        <v>43871</v>
      </c>
      <c r="M68" s="1">
        <v>43871</v>
      </c>
      <c r="N68">
        <v>65</v>
      </c>
      <c r="O68">
        <v>5</v>
      </c>
      <c r="P68" t="s">
        <v>34</v>
      </c>
      <c r="Q68">
        <v>0.05</v>
      </c>
      <c r="R68" s="7">
        <v>77.469000000000008</v>
      </c>
      <c r="S68">
        <v>2</v>
      </c>
      <c r="T68" t="s">
        <v>109</v>
      </c>
    </row>
    <row r="69" spans="1:20">
      <c r="A69">
        <v>66</v>
      </c>
      <c r="B69" s="1">
        <v>43866</v>
      </c>
      <c r="C69">
        <v>94</v>
      </c>
      <c r="D69" t="s">
        <v>49</v>
      </c>
      <c r="E69" t="s">
        <v>31</v>
      </c>
      <c r="F69" s="8">
        <v>23</v>
      </c>
      <c r="G69" s="7">
        <v>107</v>
      </c>
      <c r="H69" s="7">
        <v>2461</v>
      </c>
      <c r="I69" s="4">
        <v>0.1</v>
      </c>
      <c r="J69" s="7">
        <v>2214.9</v>
      </c>
      <c r="K69" s="7">
        <f>Tabela1[[#This Row],[Valor Bruto]]-Tabela1[[#This Row],[Valor Venda]]</f>
        <v>246.09999999999991</v>
      </c>
      <c r="L69" s="1">
        <v>43877</v>
      </c>
      <c r="M69" s="1">
        <v>43877</v>
      </c>
      <c r="N69">
        <v>66</v>
      </c>
      <c r="O69">
        <v>1</v>
      </c>
      <c r="P69" t="s">
        <v>25</v>
      </c>
      <c r="Q69">
        <v>0.05</v>
      </c>
      <c r="R69" s="7">
        <v>110.745</v>
      </c>
      <c r="S69">
        <v>3</v>
      </c>
      <c r="T69" t="s">
        <v>109</v>
      </c>
    </row>
    <row r="70" spans="1:20">
      <c r="A70">
        <v>67</v>
      </c>
      <c r="B70" s="1">
        <v>43866</v>
      </c>
      <c r="C70">
        <v>47</v>
      </c>
      <c r="D70" t="s">
        <v>40</v>
      </c>
      <c r="E70" t="s">
        <v>31</v>
      </c>
      <c r="F70" s="8">
        <v>35</v>
      </c>
      <c r="G70" s="7">
        <v>93</v>
      </c>
      <c r="H70" s="7">
        <v>3255</v>
      </c>
      <c r="I70" s="4">
        <v>0.14000000000000001</v>
      </c>
      <c r="J70" s="7">
        <v>2799.3</v>
      </c>
      <c r="K70" s="7">
        <f>Tabela1[[#This Row],[Valor Bruto]]-Tabela1[[#This Row],[Valor Venda]]</f>
        <v>455.69999999999982</v>
      </c>
      <c r="L70" s="1">
        <v>43886</v>
      </c>
      <c r="M70" s="1">
        <v>43886</v>
      </c>
      <c r="N70">
        <v>67</v>
      </c>
      <c r="O70">
        <v>5</v>
      </c>
      <c r="P70" t="s">
        <v>52</v>
      </c>
      <c r="Q70">
        <v>0.1</v>
      </c>
      <c r="R70" s="7">
        <v>279.93</v>
      </c>
      <c r="S70">
        <v>4</v>
      </c>
      <c r="T70" t="s">
        <v>109</v>
      </c>
    </row>
    <row r="71" spans="1:20">
      <c r="A71">
        <v>68</v>
      </c>
      <c r="B71" s="1">
        <v>43866</v>
      </c>
      <c r="C71">
        <v>69</v>
      </c>
      <c r="D71" t="s">
        <v>67</v>
      </c>
      <c r="E71" t="s">
        <v>50</v>
      </c>
      <c r="F71" s="8">
        <v>45</v>
      </c>
      <c r="G71" s="7">
        <v>119</v>
      </c>
      <c r="H71" s="7">
        <v>5355</v>
      </c>
      <c r="I71" s="4">
        <v>0.05</v>
      </c>
      <c r="J71" s="7">
        <v>5087.25</v>
      </c>
      <c r="K71" s="7">
        <f>Tabela1[[#This Row],[Valor Bruto]]-Tabela1[[#This Row],[Valor Venda]]</f>
        <v>267.75</v>
      </c>
      <c r="L71" s="1">
        <v>43885</v>
      </c>
      <c r="M71" s="1">
        <v>43885</v>
      </c>
      <c r="N71">
        <v>68</v>
      </c>
      <c r="O71">
        <v>1</v>
      </c>
      <c r="P71" t="s">
        <v>25</v>
      </c>
      <c r="Q71">
        <v>0.05</v>
      </c>
      <c r="R71" s="7">
        <v>254.36250000000001</v>
      </c>
      <c r="S71">
        <v>5</v>
      </c>
      <c r="T71" t="s">
        <v>109</v>
      </c>
    </row>
    <row r="72" spans="1:20">
      <c r="A72">
        <v>69</v>
      </c>
      <c r="B72" s="1">
        <v>43866</v>
      </c>
      <c r="C72">
        <v>39</v>
      </c>
      <c r="D72" t="s">
        <v>38</v>
      </c>
      <c r="E72" t="s">
        <v>54</v>
      </c>
      <c r="F72" s="8">
        <v>32</v>
      </c>
      <c r="G72" s="7">
        <v>117</v>
      </c>
      <c r="H72" s="7">
        <v>3744</v>
      </c>
      <c r="I72" s="4">
        <v>0.14000000000000001</v>
      </c>
      <c r="J72" s="7">
        <v>3219.84</v>
      </c>
      <c r="K72" s="7">
        <f>Tabela1[[#This Row],[Valor Bruto]]-Tabela1[[#This Row],[Valor Venda]]</f>
        <v>524.15999999999985</v>
      </c>
      <c r="L72" s="1">
        <v>43884</v>
      </c>
      <c r="M72" s="1">
        <v>43884</v>
      </c>
      <c r="N72">
        <v>69</v>
      </c>
      <c r="O72">
        <v>1</v>
      </c>
      <c r="P72" t="s">
        <v>47</v>
      </c>
      <c r="Q72">
        <v>0.09</v>
      </c>
      <c r="R72" s="7">
        <v>289.78559999999999</v>
      </c>
      <c r="S72">
        <v>6</v>
      </c>
      <c r="T72" t="s">
        <v>109</v>
      </c>
    </row>
    <row r="73" spans="1:20">
      <c r="A73">
        <v>70</v>
      </c>
      <c r="B73" s="1">
        <v>43867</v>
      </c>
      <c r="C73">
        <v>94</v>
      </c>
      <c r="D73" t="s">
        <v>49</v>
      </c>
      <c r="E73" t="s">
        <v>31</v>
      </c>
      <c r="F73" s="8">
        <v>40</v>
      </c>
      <c r="G73" s="7">
        <v>99</v>
      </c>
      <c r="H73" s="7">
        <v>3960</v>
      </c>
      <c r="I73" s="4">
        <v>0.01</v>
      </c>
      <c r="J73" s="7">
        <v>3920.4</v>
      </c>
      <c r="K73" s="7">
        <f>Tabela1[[#This Row],[Valor Bruto]]-Tabela1[[#This Row],[Valor Venda]]</f>
        <v>39.599999999999909</v>
      </c>
      <c r="L73" s="1">
        <v>43875</v>
      </c>
      <c r="M73" s="1">
        <v>43875</v>
      </c>
      <c r="N73">
        <v>70</v>
      </c>
      <c r="O73">
        <v>3</v>
      </c>
      <c r="P73" t="s">
        <v>34</v>
      </c>
      <c r="Q73">
        <v>0.08</v>
      </c>
      <c r="R73" s="7">
        <v>313.63200000000001</v>
      </c>
      <c r="S73">
        <v>7</v>
      </c>
      <c r="T73" t="s">
        <v>109</v>
      </c>
    </row>
    <row r="74" spans="1:20">
      <c r="A74">
        <v>71</v>
      </c>
      <c r="B74" s="1">
        <v>43867</v>
      </c>
      <c r="C74">
        <v>17</v>
      </c>
      <c r="D74" t="s">
        <v>67</v>
      </c>
      <c r="E74" t="s">
        <v>59</v>
      </c>
      <c r="F74" s="8">
        <v>43</v>
      </c>
      <c r="G74" s="7">
        <v>106</v>
      </c>
      <c r="H74" s="7">
        <v>4558</v>
      </c>
      <c r="I74" s="4">
        <v>0.08</v>
      </c>
      <c r="J74" s="7">
        <v>4193.3599999999997</v>
      </c>
      <c r="K74" s="7">
        <f>Tabela1[[#This Row],[Valor Bruto]]-Tabela1[[#This Row],[Valor Venda]]</f>
        <v>364.64000000000033</v>
      </c>
      <c r="L74" s="1">
        <v>43880</v>
      </c>
      <c r="M74" s="1">
        <v>43880</v>
      </c>
      <c r="N74">
        <v>71</v>
      </c>
      <c r="O74">
        <v>7</v>
      </c>
      <c r="P74" t="s">
        <v>22</v>
      </c>
      <c r="Q74">
        <v>0.09</v>
      </c>
      <c r="R74" s="7">
        <v>377.40239999999994</v>
      </c>
      <c r="S74">
        <v>1</v>
      </c>
      <c r="T74" t="s">
        <v>109</v>
      </c>
    </row>
    <row r="75" spans="1:20">
      <c r="A75">
        <v>72</v>
      </c>
      <c r="B75" s="1">
        <v>43868</v>
      </c>
      <c r="C75">
        <v>73</v>
      </c>
      <c r="D75" t="s">
        <v>38</v>
      </c>
      <c r="E75" t="s">
        <v>41</v>
      </c>
      <c r="F75" s="8">
        <v>11</v>
      </c>
      <c r="G75" s="7">
        <v>120</v>
      </c>
      <c r="H75" s="7">
        <v>1320</v>
      </c>
      <c r="I75" s="4">
        <v>0.02</v>
      </c>
      <c r="J75" s="7">
        <v>1293.5999999999999</v>
      </c>
      <c r="K75" s="7">
        <f>Tabela1[[#This Row],[Valor Bruto]]-Tabela1[[#This Row],[Valor Venda]]</f>
        <v>26.400000000000091</v>
      </c>
      <c r="L75" s="1">
        <v>43887</v>
      </c>
      <c r="M75" s="1">
        <v>43887</v>
      </c>
      <c r="N75">
        <v>72</v>
      </c>
      <c r="O75">
        <v>4</v>
      </c>
      <c r="P75" t="s">
        <v>29</v>
      </c>
      <c r="Q75">
        <v>0.1</v>
      </c>
      <c r="R75" s="7">
        <v>129.35999999999999</v>
      </c>
      <c r="S75">
        <v>2</v>
      </c>
      <c r="T75" t="s">
        <v>109</v>
      </c>
    </row>
    <row r="76" spans="1:20">
      <c r="A76">
        <v>73</v>
      </c>
      <c r="B76" s="1">
        <v>43868</v>
      </c>
      <c r="C76">
        <v>63</v>
      </c>
      <c r="D76" t="s">
        <v>80</v>
      </c>
      <c r="E76" t="s">
        <v>24</v>
      </c>
      <c r="F76" s="8">
        <v>30</v>
      </c>
      <c r="G76" s="7">
        <v>107</v>
      </c>
      <c r="H76" s="7">
        <v>3210</v>
      </c>
      <c r="I76" s="4">
        <v>0</v>
      </c>
      <c r="J76" s="7">
        <v>3210</v>
      </c>
      <c r="K76" s="7">
        <f>Tabela1[[#This Row],[Valor Bruto]]-Tabela1[[#This Row],[Valor Venda]]</f>
        <v>0</v>
      </c>
      <c r="L76" s="1">
        <v>43879</v>
      </c>
      <c r="M76" s="1">
        <v>43879</v>
      </c>
      <c r="N76">
        <v>73</v>
      </c>
      <c r="O76">
        <v>1</v>
      </c>
      <c r="P76" t="s">
        <v>52</v>
      </c>
      <c r="Q76">
        <v>7.0000000000000007E-2</v>
      </c>
      <c r="R76" s="7">
        <v>224.70000000000002</v>
      </c>
      <c r="S76">
        <v>3</v>
      </c>
      <c r="T76" t="s">
        <v>109</v>
      </c>
    </row>
    <row r="77" spans="1:20">
      <c r="A77">
        <v>74</v>
      </c>
      <c r="B77" s="1">
        <v>43871</v>
      </c>
      <c r="C77">
        <v>69</v>
      </c>
      <c r="D77" t="s">
        <v>67</v>
      </c>
      <c r="E77" t="s">
        <v>28</v>
      </c>
      <c r="F77" s="8">
        <v>23</v>
      </c>
      <c r="G77" s="7">
        <v>94</v>
      </c>
      <c r="H77" s="7">
        <v>2162</v>
      </c>
      <c r="I77" s="4">
        <v>0.12</v>
      </c>
      <c r="J77" s="7">
        <v>1902.56</v>
      </c>
      <c r="K77" s="7">
        <f>Tabela1[[#This Row],[Valor Bruto]]-Tabela1[[#This Row],[Valor Venda]]</f>
        <v>259.44000000000005</v>
      </c>
      <c r="L77" s="1">
        <v>43885</v>
      </c>
      <c r="M77" s="1">
        <v>43885</v>
      </c>
      <c r="N77">
        <v>74</v>
      </c>
      <c r="O77">
        <v>3</v>
      </c>
      <c r="P77" t="s">
        <v>29</v>
      </c>
      <c r="Q77">
        <v>0.06</v>
      </c>
      <c r="R77" s="7">
        <v>114.1536</v>
      </c>
      <c r="S77">
        <v>4</v>
      </c>
      <c r="T77" t="s">
        <v>109</v>
      </c>
    </row>
    <row r="78" spans="1:20">
      <c r="A78">
        <v>75</v>
      </c>
      <c r="B78" s="1">
        <v>43871</v>
      </c>
      <c r="C78">
        <v>19</v>
      </c>
      <c r="D78" t="s">
        <v>38</v>
      </c>
      <c r="E78" t="s">
        <v>21</v>
      </c>
      <c r="F78" s="8">
        <v>34</v>
      </c>
      <c r="G78" s="7">
        <v>104</v>
      </c>
      <c r="H78" s="7">
        <v>3536</v>
      </c>
      <c r="I78" s="4">
        <v>0.1</v>
      </c>
      <c r="J78" s="7">
        <v>3182.4</v>
      </c>
      <c r="K78" s="7">
        <f>Tabela1[[#This Row],[Valor Bruto]]-Tabela1[[#This Row],[Valor Venda]]</f>
        <v>353.59999999999991</v>
      </c>
      <c r="L78" s="1">
        <v>43885</v>
      </c>
      <c r="M78" s="1">
        <v>43885</v>
      </c>
      <c r="N78">
        <v>75</v>
      </c>
      <c r="O78">
        <v>2</v>
      </c>
      <c r="P78" t="s">
        <v>47</v>
      </c>
      <c r="Q78">
        <v>7.0000000000000007E-2</v>
      </c>
      <c r="R78" s="7">
        <v>222.76800000000003</v>
      </c>
      <c r="S78">
        <v>5</v>
      </c>
      <c r="T78" t="s">
        <v>109</v>
      </c>
    </row>
    <row r="79" spans="1:20">
      <c r="A79">
        <v>76</v>
      </c>
      <c r="B79" s="1">
        <v>43872</v>
      </c>
      <c r="C79">
        <v>87</v>
      </c>
      <c r="D79" t="s">
        <v>40</v>
      </c>
      <c r="E79" t="s">
        <v>55</v>
      </c>
      <c r="F79" s="8">
        <v>42</v>
      </c>
      <c r="G79" s="7">
        <v>106</v>
      </c>
      <c r="H79" s="7">
        <v>4452</v>
      </c>
      <c r="I79" s="4">
        <v>0.06</v>
      </c>
      <c r="J79" s="7">
        <v>4184.88</v>
      </c>
      <c r="K79" s="7">
        <f>Tabela1[[#This Row],[Valor Bruto]]-Tabela1[[#This Row],[Valor Venda]]</f>
        <v>267.11999999999989</v>
      </c>
      <c r="L79" s="1">
        <v>43902</v>
      </c>
      <c r="M79" s="1">
        <v>43902</v>
      </c>
      <c r="N79">
        <v>76</v>
      </c>
      <c r="O79">
        <v>3</v>
      </c>
      <c r="P79" t="s">
        <v>43</v>
      </c>
      <c r="Q79">
        <v>7.0000000000000007E-2</v>
      </c>
      <c r="R79" s="7">
        <v>292.94160000000005</v>
      </c>
      <c r="S79">
        <v>6</v>
      </c>
      <c r="T79" t="s">
        <v>109</v>
      </c>
    </row>
    <row r="80" spans="1:20">
      <c r="A80">
        <v>77</v>
      </c>
      <c r="B80" s="1">
        <v>43872</v>
      </c>
      <c r="C80">
        <v>33</v>
      </c>
      <c r="D80" t="s">
        <v>76</v>
      </c>
      <c r="E80" t="s">
        <v>24</v>
      </c>
      <c r="F80" s="8">
        <v>10</v>
      </c>
      <c r="G80" s="7">
        <v>91</v>
      </c>
      <c r="H80" s="7">
        <v>910</v>
      </c>
      <c r="I80" s="4">
        <v>0.1</v>
      </c>
      <c r="J80" s="7">
        <v>819</v>
      </c>
      <c r="K80" s="7">
        <f>Tabela1[[#This Row],[Valor Bruto]]-Tabela1[[#This Row],[Valor Venda]]</f>
        <v>91</v>
      </c>
      <c r="L80" s="1">
        <v>43897</v>
      </c>
      <c r="M80" s="1">
        <v>43897</v>
      </c>
      <c r="N80">
        <v>77</v>
      </c>
      <c r="O80">
        <v>4</v>
      </c>
      <c r="P80" t="s">
        <v>52</v>
      </c>
      <c r="Q80">
        <v>0.09</v>
      </c>
      <c r="R80" s="7">
        <v>73.709999999999994</v>
      </c>
      <c r="S80">
        <v>7</v>
      </c>
      <c r="T80" t="s">
        <v>109</v>
      </c>
    </row>
    <row r="81" spans="1:20">
      <c r="A81">
        <v>78</v>
      </c>
      <c r="B81" s="1">
        <v>43875</v>
      </c>
      <c r="C81">
        <v>9</v>
      </c>
      <c r="D81" t="s">
        <v>36</v>
      </c>
      <c r="E81" t="s">
        <v>21</v>
      </c>
      <c r="F81" s="8">
        <v>34</v>
      </c>
      <c r="G81" s="7">
        <v>99</v>
      </c>
      <c r="H81" s="7">
        <v>3366</v>
      </c>
      <c r="I81" s="4">
        <v>0.14000000000000001</v>
      </c>
      <c r="J81" s="7">
        <v>2894.7599999999998</v>
      </c>
      <c r="K81" s="7">
        <f>Tabela1[[#This Row],[Valor Bruto]]-Tabela1[[#This Row],[Valor Venda]]</f>
        <v>471.24000000000024</v>
      </c>
      <c r="L81" s="1">
        <v>43886</v>
      </c>
      <c r="M81" s="1">
        <v>43886</v>
      </c>
      <c r="N81">
        <v>78</v>
      </c>
      <c r="O81">
        <v>1</v>
      </c>
      <c r="P81" t="s">
        <v>32</v>
      </c>
      <c r="Q81">
        <v>7.0000000000000007E-2</v>
      </c>
      <c r="R81" s="7">
        <v>202.63320000000002</v>
      </c>
      <c r="S81">
        <v>1</v>
      </c>
      <c r="T81" t="s">
        <v>109</v>
      </c>
    </row>
    <row r="82" spans="1:20">
      <c r="A82">
        <v>79</v>
      </c>
      <c r="B82" s="1">
        <v>43876</v>
      </c>
      <c r="C82">
        <v>50</v>
      </c>
      <c r="D82" t="s">
        <v>81</v>
      </c>
      <c r="E82" t="s">
        <v>54</v>
      </c>
      <c r="F82" s="8">
        <v>13</v>
      </c>
      <c r="G82" s="7">
        <v>112</v>
      </c>
      <c r="H82" s="7">
        <v>1456</v>
      </c>
      <c r="I82" s="4">
        <v>0.05</v>
      </c>
      <c r="J82" s="7">
        <v>1383.2</v>
      </c>
      <c r="K82" s="7">
        <f>Tabela1[[#This Row],[Valor Bruto]]-Tabela1[[#This Row],[Valor Venda]]</f>
        <v>72.799999999999955</v>
      </c>
      <c r="L82" s="1">
        <v>43892</v>
      </c>
      <c r="M82" s="1">
        <v>43892</v>
      </c>
      <c r="N82">
        <v>79</v>
      </c>
      <c r="O82">
        <v>2</v>
      </c>
      <c r="P82" t="s">
        <v>37</v>
      </c>
      <c r="Q82">
        <v>0.06</v>
      </c>
      <c r="R82" s="7">
        <v>82.992000000000004</v>
      </c>
      <c r="S82">
        <v>2</v>
      </c>
      <c r="T82" t="s">
        <v>109</v>
      </c>
    </row>
    <row r="83" spans="1:20">
      <c r="A83">
        <v>80</v>
      </c>
      <c r="B83" s="1">
        <v>43877</v>
      </c>
      <c r="C83">
        <v>75</v>
      </c>
      <c r="D83" t="s">
        <v>38</v>
      </c>
      <c r="E83" t="s">
        <v>59</v>
      </c>
      <c r="F83" s="8">
        <v>36</v>
      </c>
      <c r="G83" s="7">
        <v>105</v>
      </c>
      <c r="H83" s="7">
        <v>3780</v>
      </c>
      <c r="I83" s="4">
        <v>0.04</v>
      </c>
      <c r="J83" s="7">
        <v>3628.8</v>
      </c>
      <c r="K83" s="7">
        <f>Tabela1[[#This Row],[Valor Bruto]]-Tabela1[[#This Row],[Valor Venda]]</f>
        <v>151.19999999999982</v>
      </c>
      <c r="L83" s="1">
        <v>43901</v>
      </c>
      <c r="M83" s="1">
        <v>43901</v>
      </c>
      <c r="N83">
        <v>80</v>
      </c>
      <c r="O83">
        <v>1</v>
      </c>
      <c r="P83" t="s">
        <v>47</v>
      </c>
      <c r="Q83">
        <v>0.05</v>
      </c>
      <c r="R83" s="7">
        <v>181.44000000000003</v>
      </c>
      <c r="S83">
        <v>3</v>
      </c>
      <c r="T83" t="s">
        <v>109</v>
      </c>
    </row>
    <row r="84" spans="1:20">
      <c r="A84">
        <v>81</v>
      </c>
      <c r="B84" s="1">
        <v>43877</v>
      </c>
      <c r="C84">
        <v>40</v>
      </c>
      <c r="D84" t="s">
        <v>49</v>
      </c>
      <c r="E84" t="s">
        <v>55</v>
      </c>
      <c r="F84" s="8">
        <v>17</v>
      </c>
      <c r="G84" s="7">
        <v>95</v>
      </c>
      <c r="H84" s="7">
        <v>1615</v>
      </c>
      <c r="I84" s="4">
        <v>0.1</v>
      </c>
      <c r="J84" s="7">
        <v>1453.5</v>
      </c>
      <c r="K84" s="7">
        <f>Tabela1[[#This Row],[Valor Bruto]]-Tabela1[[#This Row],[Valor Venda]]</f>
        <v>161.5</v>
      </c>
      <c r="L84" s="1">
        <v>43884</v>
      </c>
      <c r="M84" s="1">
        <v>43884</v>
      </c>
      <c r="N84">
        <v>81</v>
      </c>
      <c r="O84">
        <v>1</v>
      </c>
      <c r="P84" t="s">
        <v>47</v>
      </c>
      <c r="Q84">
        <v>0.08</v>
      </c>
      <c r="R84" s="7">
        <v>116.28</v>
      </c>
      <c r="S84">
        <v>4</v>
      </c>
      <c r="T84" t="s">
        <v>109</v>
      </c>
    </row>
    <row r="85" spans="1:20">
      <c r="A85">
        <v>82</v>
      </c>
      <c r="B85" s="1">
        <v>43877</v>
      </c>
      <c r="C85">
        <v>60</v>
      </c>
      <c r="D85" t="s">
        <v>82</v>
      </c>
      <c r="E85" t="s">
        <v>21</v>
      </c>
      <c r="F85" s="8">
        <v>44</v>
      </c>
      <c r="G85" s="7">
        <v>97</v>
      </c>
      <c r="H85" s="7">
        <v>4268</v>
      </c>
      <c r="I85" s="4">
        <v>0.08</v>
      </c>
      <c r="J85" s="7">
        <v>3926.56</v>
      </c>
      <c r="K85" s="7">
        <f>Tabela1[[#This Row],[Valor Bruto]]-Tabela1[[#This Row],[Valor Venda]]</f>
        <v>341.44000000000005</v>
      </c>
      <c r="L85" s="1">
        <v>43907</v>
      </c>
      <c r="M85" s="1">
        <v>43907</v>
      </c>
      <c r="N85">
        <v>82</v>
      </c>
      <c r="O85">
        <v>1</v>
      </c>
      <c r="P85" t="s">
        <v>37</v>
      </c>
      <c r="Q85">
        <v>0.1</v>
      </c>
      <c r="R85" s="7">
        <v>392.65600000000001</v>
      </c>
      <c r="S85">
        <v>5</v>
      </c>
      <c r="T85" t="s">
        <v>109</v>
      </c>
    </row>
    <row r="86" spans="1:20">
      <c r="A86">
        <v>83</v>
      </c>
      <c r="B86" s="1">
        <v>43879</v>
      </c>
      <c r="C86">
        <v>95</v>
      </c>
      <c r="D86" t="s">
        <v>38</v>
      </c>
      <c r="E86" t="s">
        <v>41</v>
      </c>
      <c r="F86" s="8">
        <v>35</v>
      </c>
      <c r="G86" s="7">
        <v>99</v>
      </c>
      <c r="H86" s="7">
        <v>3465</v>
      </c>
      <c r="I86" s="4">
        <v>0.15</v>
      </c>
      <c r="J86" s="7">
        <v>2945.25</v>
      </c>
      <c r="K86" s="7">
        <f>Tabela1[[#This Row],[Valor Bruto]]-Tabela1[[#This Row],[Valor Venda]]</f>
        <v>519.75</v>
      </c>
      <c r="L86" s="1">
        <v>43909</v>
      </c>
      <c r="M86" s="1">
        <v>43909</v>
      </c>
      <c r="N86">
        <v>83</v>
      </c>
      <c r="O86">
        <v>6</v>
      </c>
      <c r="P86" t="s">
        <v>52</v>
      </c>
      <c r="Q86">
        <v>0.08</v>
      </c>
      <c r="R86" s="7">
        <v>235.62</v>
      </c>
      <c r="S86">
        <v>6</v>
      </c>
      <c r="T86" t="s">
        <v>109</v>
      </c>
    </row>
    <row r="87" spans="1:20">
      <c r="A87">
        <v>84</v>
      </c>
      <c r="B87" s="1">
        <v>43879</v>
      </c>
      <c r="C87">
        <v>79</v>
      </c>
      <c r="D87" t="s">
        <v>33</v>
      </c>
      <c r="E87" t="s">
        <v>24</v>
      </c>
      <c r="F87" s="8">
        <v>11</v>
      </c>
      <c r="G87" s="7">
        <v>102</v>
      </c>
      <c r="H87" s="7">
        <v>1122</v>
      </c>
      <c r="I87" s="4">
        <v>0.13</v>
      </c>
      <c r="J87" s="7">
        <v>976.14</v>
      </c>
      <c r="K87" s="7">
        <f>Tabela1[[#This Row],[Valor Bruto]]-Tabela1[[#This Row],[Valor Venda]]</f>
        <v>145.86000000000001</v>
      </c>
      <c r="L87" s="1">
        <v>43907</v>
      </c>
      <c r="M87" s="1">
        <v>43907</v>
      </c>
      <c r="N87">
        <v>84</v>
      </c>
      <c r="O87">
        <v>5</v>
      </c>
      <c r="P87" t="s">
        <v>32</v>
      </c>
      <c r="Q87">
        <v>0.1</v>
      </c>
      <c r="R87" s="7">
        <v>97.614000000000004</v>
      </c>
      <c r="S87">
        <v>7</v>
      </c>
      <c r="T87" t="s">
        <v>109</v>
      </c>
    </row>
    <row r="88" spans="1:20">
      <c r="A88">
        <v>85</v>
      </c>
      <c r="B88" s="1">
        <v>43879</v>
      </c>
      <c r="C88">
        <v>60</v>
      </c>
      <c r="D88" t="s">
        <v>82</v>
      </c>
      <c r="E88" t="s">
        <v>31</v>
      </c>
      <c r="F88" s="8">
        <v>27</v>
      </c>
      <c r="G88" s="7">
        <v>103</v>
      </c>
      <c r="H88" s="7">
        <v>2781</v>
      </c>
      <c r="I88" s="4">
        <v>0.08</v>
      </c>
      <c r="J88" s="7">
        <v>2558.52</v>
      </c>
      <c r="K88" s="7">
        <f>Tabela1[[#This Row],[Valor Bruto]]-Tabela1[[#This Row],[Valor Venda]]</f>
        <v>222.48000000000002</v>
      </c>
      <c r="L88" s="1">
        <v>43885</v>
      </c>
      <c r="M88" s="1">
        <v>43885</v>
      </c>
      <c r="N88">
        <v>85</v>
      </c>
      <c r="O88">
        <v>4</v>
      </c>
      <c r="P88" t="s">
        <v>34</v>
      </c>
      <c r="Q88">
        <v>0.09</v>
      </c>
      <c r="R88" s="7">
        <v>230.26679999999999</v>
      </c>
      <c r="S88">
        <v>1</v>
      </c>
      <c r="T88" t="s">
        <v>109</v>
      </c>
    </row>
    <row r="89" spans="1:20">
      <c r="A89">
        <v>86</v>
      </c>
      <c r="B89" s="1">
        <v>43879</v>
      </c>
      <c r="C89">
        <v>47</v>
      </c>
      <c r="D89" t="s">
        <v>40</v>
      </c>
      <c r="E89" t="s">
        <v>59</v>
      </c>
      <c r="F89" s="8">
        <v>14</v>
      </c>
      <c r="G89" s="7">
        <v>94</v>
      </c>
      <c r="H89" s="7">
        <v>1316</v>
      </c>
      <c r="I89" s="4">
        <v>0.08</v>
      </c>
      <c r="J89" s="7">
        <v>1210.72</v>
      </c>
      <c r="K89" s="7">
        <f>Tabela1[[#This Row],[Valor Bruto]]-Tabela1[[#This Row],[Valor Venda]]</f>
        <v>105.27999999999997</v>
      </c>
      <c r="L89" s="1">
        <v>43905</v>
      </c>
      <c r="M89" s="1">
        <v>43905</v>
      </c>
      <c r="N89">
        <v>86</v>
      </c>
      <c r="O89">
        <v>3</v>
      </c>
      <c r="P89" t="s">
        <v>25</v>
      </c>
      <c r="Q89">
        <v>0.1</v>
      </c>
      <c r="R89" s="7">
        <v>121.072</v>
      </c>
      <c r="S89">
        <v>2</v>
      </c>
      <c r="T89" t="s">
        <v>109</v>
      </c>
    </row>
    <row r="90" spans="1:20">
      <c r="A90">
        <v>87</v>
      </c>
      <c r="B90" s="1">
        <v>43880</v>
      </c>
      <c r="C90">
        <v>38</v>
      </c>
      <c r="D90" t="s">
        <v>73</v>
      </c>
      <c r="E90" t="s">
        <v>59</v>
      </c>
      <c r="F90" s="8">
        <v>44</v>
      </c>
      <c r="G90" s="7">
        <v>118</v>
      </c>
      <c r="H90" s="7">
        <v>5192</v>
      </c>
      <c r="I90" s="4">
        <v>0.15</v>
      </c>
      <c r="J90" s="7">
        <v>4413.2</v>
      </c>
      <c r="K90" s="7">
        <f>Tabela1[[#This Row],[Valor Bruto]]-Tabela1[[#This Row],[Valor Venda]]</f>
        <v>778.80000000000018</v>
      </c>
      <c r="L90" s="1">
        <v>43910</v>
      </c>
      <c r="M90" s="1">
        <v>43910</v>
      </c>
      <c r="N90">
        <v>87</v>
      </c>
      <c r="O90">
        <v>2</v>
      </c>
      <c r="P90" t="s">
        <v>29</v>
      </c>
      <c r="Q90">
        <v>0.06</v>
      </c>
      <c r="R90" s="7">
        <v>264.79199999999997</v>
      </c>
      <c r="S90">
        <v>3</v>
      </c>
      <c r="T90" t="s">
        <v>109</v>
      </c>
    </row>
    <row r="91" spans="1:20">
      <c r="A91">
        <v>88</v>
      </c>
      <c r="B91" s="1">
        <v>43880</v>
      </c>
      <c r="C91">
        <v>47</v>
      </c>
      <c r="D91" t="s">
        <v>40</v>
      </c>
      <c r="E91" t="s">
        <v>50</v>
      </c>
      <c r="F91" s="8">
        <v>44</v>
      </c>
      <c r="G91" s="7">
        <v>111</v>
      </c>
      <c r="H91" s="7">
        <v>4884</v>
      </c>
      <c r="I91" s="4">
        <v>0.03</v>
      </c>
      <c r="J91" s="7">
        <v>4737.4799999999996</v>
      </c>
      <c r="K91" s="7">
        <f>Tabela1[[#This Row],[Valor Bruto]]-Tabela1[[#This Row],[Valor Venda]]</f>
        <v>146.52000000000044</v>
      </c>
      <c r="L91" s="1">
        <v>43908</v>
      </c>
      <c r="M91" s="1">
        <v>43908</v>
      </c>
      <c r="N91">
        <v>88</v>
      </c>
      <c r="O91">
        <v>6</v>
      </c>
      <c r="P91" t="s">
        <v>52</v>
      </c>
      <c r="Q91">
        <v>0.06</v>
      </c>
      <c r="R91" s="7">
        <v>284.24879999999996</v>
      </c>
      <c r="S91">
        <v>4</v>
      </c>
      <c r="T91" t="s">
        <v>109</v>
      </c>
    </row>
    <row r="92" spans="1:20">
      <c r="A92">
        <v>89</v>
      </c>
      <c r="B92" s="1">
        <v>43880</v>
      </c>
      <c r="C92">
        <v>18</v>
      </c>
      <c r="D92" t="s">
        <v>83</v>
      </c>
      <c r="E92" t="s">
        <v>46</v>
      </c>
      <c r="F92" s="8">
        <v>24</v>
      </c>
      <c r="G92" s="7">
        <v>116</v>
      </c>
      <c r="H92" s="7">
        <v>2784</v>
      </c>
      <c r="I92" s="4">
        <v>0.13</v>
      </c>
      <c r="J92" s="7">
        <v>2422.08</v>
      </c>
      <c r="K92" s="7">
        <f>Tabela1[[#This Row],[Valor Bruto]]-Tabela1[[#This Row],[Valor Venda]]</f>
        <v>361.92000000000007</v>
      </c>
      <c r="L92" s="1">
        <v>43899</v>
      </c>
      <c r="M92" s="1">
        <v>43899</v>
      </c>
      <c r="N92">
        <v>89</v>
      </c>
      <c r="O92">
        <v>4</v>
      </c>
      <c r="P92" t="s">
        <v>34</v>
      </c>
      <c r="Q92">
        <v>0.06</v>
      </c>
      <c r="R92" s="7">
        <v>145.32479999999998</v>
      </c>
      <c r="S92">
        <v>5</v>
      </c>
      <c r="T92" t="s">
        <v>109</v>
      </c>
    </row>
    <row r="93" spans="1:20">
      <c r="A93">
        <v>90</v>
      </c>
      <c r="B93" s="1">
        <v>43880</v>
      </c>
      <c r="C93">
        <v>99</v>
      </c>
      <c r="D93" t="s">
        <v>84</v>
      </c>
      <c r="E93" t="s">
        <v>41</v>
      </c>
      <c r="F93" s="8">
        <v>47</v>
      </c>
      <c r="G93" s="7">
        <v>105</v>
      </c>
      <c r="H93" s="7">
        <v>4935</v>
      </c>
      <c r="I93" s="4">
        <v>0.02</v>
      </c>
      <c r="J93" s="7">
        <v>4836.3</v>
      </c>
      <c r="K93" s="7">
        <f>Tabela1[[#This Row],[Valor Bruto]]-Tabela1[[#This Row],[Valor Venda]]</f>
        <v>98.699999999999818</v>
      </c>
      <c r="L93" s="1">
        <v>43880</v>
      </c>
      <c r="M93" s="1">
        <v>43880</v>
      </c>
      <c r="N93">
        <v>90</v>
      </c>
      <c r="O93">
        <v>1</v>
      </c>
      <c r="P93" t="s">
        <v>69</v>
      </c>
      <c r="Q93">
        <v>7.0000000000000007E-2</v>
      </c>
      <c r="R93" s="7">
        <v>338.54100000000005</v>
      </c>
      <c r="S93">
        <v>6</v>
      </c>
      <c r="T93" t="s">
        <v>109</v>
      </c>
    </row>
    <row r="94" spans="1:20">
      <c r="A94">
        <v>91</v>
      </c>
      <c r="B94" s="1">
        <v>43881</v>
      </c>
      <c r="C94">
        <v>31</v>
      </c>
      <c r="D94" t="s">
        <v>85</v>
      </c>
      <c r="E94" t="s">
        <v>24</v>
      </c>
      <c r="F94" s="8">
        <v>18</v>
      </c>
      <c r="G94" s="7">
        <v>100</v>
      </c>
      <c r="H94" s="7">
        <v>1800</v>
      </c>
      <c r="I94" s="4">
        <v>0.02</v>
      </c>
      <c r="J94" s="7">
        <v>1764</v>
      </c>
      <c r="K94" s="7">
        <f>Tabela1[[#This Row],[Valor Bruto]]-Tabela1[[#This Row],[Valor Venda]]</f>
        <v>36</v>
      </c>
      <c r="L94" s="1">
        <v>43884</v>
      </c>
      <c r="M94" s="1">
        <v>43884</v>
      </c>
      <c r="N94">
        <v>91</v>
      </c>
      <c r="O94">
        <v>2</v>
      </c>
      <c r="P94" t="s">
        <v>22</v>
      </c>
      <c r="Q94">
        <v>7.0000000000000007E-2</v>
      </c>
      <c r="R94" s="7">
        <v>123.48000000000002</v>
      </c>
      <c r="S94">
        <v>7</v>
      </c>
      <c r="T94" t="s">
        <v>109</v>
      </c>
    </row>
    <row r="95" spans="1:20">
      <c r="A95">
        <v>92</v>
      </c>
      <c r="B95" s="1">
        <v>43882</v>
      </c>
      <c r="C95">
        <v>61</v>
      </c>
      <c r="D95" t="s">
        <v>56</v>
      </c>
      <c r="E95" t="s">
        <v>59</v>
      </c>
      <c r="F95" s="8">
        <v>37</v>
      </c>
      <c r="G95" s="7">
        <v>96</v>
      </c>
      <c r="H95" s="7">
        <v>3552</v>
      </c>
      <c r="I95" s="4">
        <v>0.15</v>
      </c>
      <c r="J95" s="7">
        <v>3019.2</v>
      </c>
      <c r="K95" s="7">
        <f>Tabela1[[#This Row],[Valor Bruto]]-Tabela1[[#This Row],[Valor Venda]]</f>
        <v>532.80000000000018</v>
      </c>
      <c r="L95" s="1">
        <v>43882</v>
      </c>
      <c r="M95" s="1">
        <v>43882</v>
      </c>
      <c r="N95">
        <v>92</v>
      </c>
      <c r="O95">
        <v>4</v>
      </c>
      <c r="P95" t="s">
        <v>22</v>
      </c>
      <c r="Q95">
        <v>7.0000000000000007E-2</v>
      </c>
      <c r="R95" s="7">
        <v>211.34399999999999</v>
      </c>
      <c r="S95">
        <v>1</v>
      </c>
      <c r="T95" t="s">
        <v>109</v>
      </c>
    </row>
    <row r="96" spans="1:20">
      <c r="A96">
        <v>93</v>
      </c>
      <c r="B96" s="1">
        <v>43883</v>
      </c>
      <c r="C96">
        <v>52</v>
      </c>
      <c r="D96" t="s">
        <v>23</v>
      </c>
      <c r="E96" t="s">
        <v>31</v>
      </c>
      <c r="F96" s="8">
        <v>34</v>
      </c>
      <c r="G96" s="7">
        <v>112</v>
      </c>
      <c r="H96" s="7">
        <v>3808</v>
      </c>
      <c r="I96" s="4">
        <v>0.08</v>
      </c>
      <c r="J96" s="7">
        <v>3503.36</v>
      </c>
      <c r="K96" s="7">
        <f>Tabela1[[#This Row],[Valor Bruto]]-Tabela1[[#This Row],[Valor Venda]]</f>
        <v>304.63999999999987</v>
      </c>
      <c r="L96" s="1">
        <v>43904</v>
      </c>
      <c r="M96" s="1">
        <v>43904</v>
      </c>
      <c r="N96">
        <v>93</v>
      </c>
      <c r="O96">
        <v>3</v>
      </c>
      <c r="P96" t="s">
        <v>52</v>
      </c>
      <c r="Q96">
        <v>0.06</v>
      </c>
      <c r="R96" s="7">
        <v>210.20160000000001</v>
      </c>
      <c r="S96">
        <v>2</v>
      </c>
      <c r="T96" t="s">
        <v>109</v>
      </c>
    </row>
    <row r="97" spans="1:20">
      <c r="A97">
        <v>94</v>
      </c>
      <c r="B97" s="1">
        <v>43883</v>
      </c>
      <c r="C97">
        <v>41</v>
      </c>
      <c r="D97" t="s">
        <v>68</v>
      </c>
      <c r="E97" t="s">
        <v>21</v>
      </c>
      <c r="F97" s="8">
        <v>41</v>
      </c>
      <c r="G97" s="7">
        <v>107</v>
      </c>
      <c r="H97" s="7">
        <v>4387</v>
      </c>
      <c r="I97" s="4">
        <v>7.0000000000000007E-2</v>
      </c>
      <c r="J97" s="7">
        <v>4079.91</v>
      </c>
      <c r="K97" s="7">
        <f>Tabela1[[#This Row],[Valor Bruto]]-Tabela1[[#This Row],[Valor Venda]]</f>
        <v>307.09000000000015</v>
      </c>
      <c r="L97" s="1">
        <v>43890</v>
      </c>
      <c r="M97" s="1">
        <v>43890</v>
      </c>
      <c r="N97">
        <v>94</v>
      </c>
      <c r="O97">
        <v>5</v>
      </c>
      <c r="P97" t="s">
        <v>47</v>
      </c>
      <c r="Q97">
        <v>0.05</v>
      </c>
      <c r="R97" s="7">
        <v>203.99549999999999</v>
      </c>
      <c r="S97">
        <v>3</v>
      </c>
      <c r="T97" t="s">
        <v>109</v>
      </c>
    </row>
    <row r="98" spans="1:20">
      <c r="A98">
        <v>95</v>
      </c>
      <c r="B98" s="1">
        <v>43883</v>
      </c>
      <c r="C98">
        <v>35</v>
      </c>
      <c r="D98" t="s">
        <v>38</v>
      </c>
      <c r="E98" t="s">
        <v>31</v>
      </c>
      <c r="F98" s="8">
        <v>32</v>
      </c>
      <c r="G98" s="7">
        <v>118</v>
      </c>
      <c r="H98" s="7">
        <v>3776</v>
      </c>
      <c r="I98" s="4">
        <v>0.01</v>
      </c>
      <c r="J98" s="7">
        <v>3738.24</v>
      </c>
      <c r="K98" s="7">
        <f>Tabela1[[#This Row],[Valor Bruto]]-Tabela1[[#This Row],[Valor Venda]]</f>
        <v>37.760000000000218</v>
      </c>
      <c r="L98" s="1">
        <v>43895</v>
      </c>
      <c r="M98" s="1">
        <v>43895</v>
      </c>
      <c r="N98">
        <v>95</v>
      </c>
      <c r="O98">
        <v>6</v>
      </c>
      <c r="P98" t="s">
        <v>25</v>
      </c>
      <c r="Q98">
        <v>0.1</v>
      </c>
      <c r="R98" s="7">
        <v>373.82400000000001</v>
      </c>
      <c r="S98">
        <v>4</v>
      </c>
      <c r="T98" t="s">
        <v>109</v>
      </c>
    </row>
    <row r="99" spans="1:20">
      <c r="A99">
        <v>96</v>
      </c>
      <c r="B99" s="1">
        <v>43884</v>
      </c>
      <c r="C99">
        <v>89</v>
      </c>
      <c r="D99" t="s">
        <v>49</v>
      </c>
      <c r="E99" t="s">
        <v>31</v>
      </c>
      <c r="F99" s="8">
        <v>44</v>
      </c>
      <c r="G99" s="7">
        <v>96</v>
      </c>
      <c r="H99" s="7">
        <v>4224</v>
      </c>
      <c r="I99" s="4">
        <v>0.13</v>
      </c>
      <c r="J99" s="7">
        <v>3674.88</v>
      </c>
      <c r="K99" s="7">
        <f>Tabela1[[#This Row],[Valor Bruto]]-Tabela1[[#This Row],[Valor Venda]]</f>
        <v>549.11999999999989</v>
      </c>
      <c r="L99" s="1">
        <v>43885</v>
      </c>
      <c r="M99" s="1">
        <v>43885</v>
      </c>
      <c r="N99">
        <v>96</v>
      </c>
      <c r="O99">
        <v>6</v>
      </c>
      <c r="P99" t="s">
        <v>52</v>
      </c>
      <c r="Q99">
        <v>0.06</v>
      </c>
      <c r="R99" s="7">
        <v>220.49279999999999</v>
      </c>
      <c r="S99">
        <v>5</v>
      </c>
      <c r="T99" t="s">
        <v>109</v>
      </c>
    </row>
    <row r="100" spans="1:20">
      <c r="A100">
        <v>97</v>
      </c>
      <c r="B100" s="1">
        <v>43884</v>
      </c>
      <c r="C100">
        <v>8</v>
      </c>
      <c r="D100" t="s">
        <v>38</v>
      </c>
      <c r="E100" t="s">
        <v>28</v>
      </c>
      <c r="F100" s="8">
        <v>35</v>
      </c>
      <c r="G100" s="7">
        <v>90</v>
      </c>
      <c r="H100" s="7">
        <v>3150</v>
      </c>
      <c r="I100" s="4">
        <v>0.02</v>
      </c>
      <c r="J100" s="7">
        <v>3087</v>
      </c>
      <c r="K100" s="7">
        <f>Tabela1[[#This Row],[Valor Bruto]]-Tabela1[[#This Row],[Valor Venda]]</f>
        <v>63</v>
      </c>
      <c r="L100" s="1">
        <v>43914</v>
      </c>
      <c r="M100" s="1">
        <v>43914</v>
      </c>
      <c r="N100">
        <v>97</v>
      </c>
      <c r="O100">
        <v>6</v>
      </c>
      <c r="P100" t="s">
        <v>22</v>
      </c>
      <c r="Q100">
        <v>0.05</v>
      </c>
      <c r="R100" s="7">
        <v>154.35000000000002</v>
      </c>
      <c r="S100">
        <v>6</v>
      </c>
      <c r="T100" t="s">
        <v>109</v>
      </c>
    </row>
    <row r="101" spans="1:20">
      <c r="A101">
        <v>98</v>
      </c>
      <c r="B101" s="1">
        <v>43884</v>
      </c>
      <c r="C101">
        <v>28</v>
      </c>
      <c r="D101" t="s">
        <v>86</v>
      </c>
      <c r="E101" t="s">
        <v>31</v>
      </c>
      <c r="F101" s="8">
        <v>14</v>
      </c>
      <c r="G101" s="7">
        <v>112</v>
      </c>
      <c r="H101" s="7">
        <v>1568</v>
      </c>
      <c r="I101" s="4">
        <v>0.14000000000000001</v>
      </c>
      <c r="J101" s="7">
        <v>1348.48</v>
      </c>
      <c r="K101" s="7">
        <f>Tabela1[[#This Row],[Valor Bruto]]-Tabela1[[#This Row],[Valor Venda]]</f>
        <v>219.51999999999998</v>
      </c>
      <c r="L101" s="1">
        <v>43888</v>
      </c>
      <c r="M101" s="1">
        <v>43888</v>
      </c>
      <c r="N101">
        <v>98</v>
      </c>
      <c r="O101">
        <v>6</v>
      </c>
      <c r="P101" t="s">
        <v>47</v>
      </c>
      <c r="Q101">
        <v>0.05</v>
      </c>
      <c r="R101" s="7">
        <v>67.424000000000007</v>
      </c>
      <c r="S101">
        <v>7</v>
      </c>
      <c r="T101" t="s">
        <v>109</v>
      </c>
    </row>
    <row r="102" spans="1:20">
      <c r="A102">
        <v>99</v>
      </c>
      <c r="B102" s="1">
        <v>43884</v>
      </c>
      <c r="C102">
        <v>31</v>
      </c>
      <c r="D102" t="s">
        <v>85</v>
      </c>
      <c r="E102" t="s">
        <v>59</v>
      </c>
      <c r="F102" s="8">
        <v>13</v>
      </c>
      <c r="G102" s="7">
        <v>111</v>
      </c>
      <c r="H102" s="7">
        <v>1443</v>
      </c>
      <c r="I102" s="4">
        <v>0.02</v>
      </c>
      <c r="J102" s="7">
        <v>1414.14</v>
      </c>
      <c r="K102" s="7">
        <f>Tabela1[[#This Row],[Valor Bruto]]-Tabela1[[#This Row],[Valor Venda]]</f>
        <v>28.8599999999999</v>
      </c>
      <c r="L102" s="1">
        <v>43886</v>
      </c>
      <c r="M102" s="1">
        <v>43886</v>
      </c>
      <c r="N102">
        <v>99</v>
      </c>
      <c r="O102">
        <v>1</v>
      </c>
      <c r="P102" t="s">
        <v>43</v>
      </c>
      <c r="Q102">
        <v>0.06</v>
      </c>
      <c r="R102" s="7">
        <v>84.848399999999998</v>
      </c>
      <c r="S102">
        <v>1</v>
      </c>
      <c r="T102" t="s">
        <v>109</v>
      </c>
    </row>
    <row r="103" spans="1:20">
      <c r="A103">
        <v>100</v>
      </c>
      <c r="B103" s="1">
        <v>43885</v>
      </c>
      <c r="C103">
        <v>25</v>
      </c>
      <c r="D103" t="s">
        <v>63</v>
      </c>
      <c r="E103" t="s">
        <v>50</v>
      </c>
      <c r="F103" s="8">
        <v>20</v>
      </c>
      <c r="G103" s="7">
        <v>116</v>
      </c>
      <c r="H103" s="7">
        <v>2320</v>
      </c>
      <c r="I103" s="4">
        <v>0.1</v>
      </c>
      <c r="J103" s="7">
        <v>2088</v>
      </c>
      <c r="K103" s="7">
        <f>Tabela1[[#This Row],[Valor Bruto]]-Tabela1[[#This Row],[Valor Venda]]</f>
        <v>232</v>
      </c>
      <c r="L103" s="1">
        <v>43886</v>
      </c>
      <c r="M103" s="1">
        <v>43886</v>
      </c>
      <c r="N103">
        <v>100</v>
      </c>
      <c r="O103">
        <v>2</v>
      </c>
      <c r="P103" t="s">
        <v>52</v>
      </c>
      <c r="Q103">
        <v>0.1</v>
      </c>
      <c r="R103" s="7">
        <v>208.8</v>
      </c>
      <c r="S103">
        <v>2</v>
      </c>
      <c r="T103" t="s">
        <v>109</v>
      </c>
    </row>
    <row r="104" spans="1:20">
      <c r="A104">
        <v>101</v>
      </c>
      <c r="B104" s="1">
        <v>43886</v>
      </c>
      <c r="C104">
        <v>85</v>
      </c>
      <c r="D104" t="s">
        <v>57</v>
      </c>
      <c r="E104" t="s">
        <v>55</v>
      </c>
      <c r="F104" s="8">
        <v>27</v>
      </c>
      <c r="G104" s="7">
        <v>119</v>
      </c>
      <c r="H104" s="7">
        <v>3213</v>
      </c>
      <c r="I104" s="4">
        <v>0.1</v>
      </c>
      <c r="J104" s="7">
        <v>2891.7</v>
      </c>
      <c r="K104" s="7">
        <f>Tabela1[[#This Row],[Valor Bruto]]-Tabela1[[#This Row],[Valor Venda]]</f>
        <v>321.30000000000018</v>
      </c>
      <c r="L104" s="1">
        <v>43916</v>
      </c>
      <c r="M104" s="1">
        <v>43916</v>
      </c>
      <c r="N104">
        <v>101</v>
      </c>
      <c r="O104">
        <v>4</v>
      </c>
      <c r="P104" t="s">
        <v>25</v>
      </c>
      <c r="Q104">
        <v>0.06</v>
      </c>
      <c r="R104" s="7">
        <v>173.50199999999998</v>
      </c>
      <c r="S104">
        <v>3</v>
      </c>
      <c r="T104" t="s">
        <v>109</v>
      </c>
    </row>
    <row r="105" spans="1:20">
      <c r="A105">
        <v>102</v>
      </c>
      <c r="B105" s="1">
        <v>43886</v>
      </c>
      <c r="C105">
        <v>8</v>
      </c>
      <c r="D105" t="s">
        <v>38</v>
      </c>
      <c r="E105" t="s">
        <v>28</v>
      </c>
      <c r="F105" s="8">
        <v>10</v>
      </c>
      <c r="G105" s="7">
        <v>111</v>
      </c>
      <c r="H105" s="7">
        <v>1110</v>
      </c>
      <c r="I105" s="4">
        <v>0.11</v>
      </c>
      <c r="J105" s="7">
        <v>987.9</v>
      </c>
      <c r="K105" s="7">
        <f>Tabela1[[#This Row],[Valor Bruto]]-Tabela1[[#This Row],[Valor Venda]]</f>
        <v>122.10000000000002</v>
      </c>
      <c r="L105" s="1">
        <v>43906</v>
      </c>
      <c r="M105" s="1">
        <v>43906</v>
      </c>
      <c r="N105">
        <v>102</v>
      </c>
      <c r="O105">
        <v>1</v>
      </c>
      <c r="P105" t="s">
        <v>43</v>
      </c>
      <c r="Q105">
        <v>0.08</v>
      </c>
      <c r="R105" s="7">
        <v>79.031999999999996</v>
      </c>
      <c r="S105">
        <v>4</v>
      </c>
      <c r="T105" t="s">
        <v>109</v>
      </c>
    </row>
    <row r="106" spans="1:20">
      <c r="A106">
        <v>103</v>
      </c>
      <c r="B106" s="1">
        <v>43887</v>
      </c>
      <c r="C106">
        <v>21</v>
      </c>
      <c r="D106" t="s">
        <v>87</v>
      </c>
      <c r="E106" t="s">
        <v>50</v>
      </c>
      <c r="F106" s="8">
        <v>13</v>
      </c>
      <c r="G106" s="7">
        <v>112</v>
      </c>
      <c r="H106" s="7">
        <v>1456</v>
      </c>
      <c r="I106" s="4">
        <v>0.15</v>
      </c>
      <c r="J106" s="7">
        <v>1237.5999999999999</v>
      </c>
      <c r="K106" s="7">
        <f>Tabela1[[#This Row],[Valor Bruto]]-Tabela1[[#This Row],[Valor Venda]]</f>
        <v>218.40000000000009</v>
      </c>
      <c r="L106" s="1">
        <v>43906</v>
      </c>
      <c r="M106" s="1">
        <v>43906</v>
      </c>
      <c r="N106">
        <v>103</v>
      </c>
      <c r="O106">
        <v>3</v>
      </c>
      <c r="P106" t="s">
        <v>43</v>
      </c>
      <c r="Q106">
        <v>0.08</v>
      </c>
      <c r="R106" s="7">
        <v>99.007999999999996</v>
      </c>
      <c r="S106">
        <v>5</v>
      </c>
      <c r="T106" t="s">
        <v>109</v>
      </c>
    </row>
    <row r="107" spans="1:20">
      <c r="A107">
        <v>104</v>
      </c>
      <c r="B107" s="1">
        <v>43888</v>
      </c>
      <c r="C107">
        <v>34</v>
      </c>
      <c r="D107" t="s">
        <v>58</v>
      </c>
      <c r="E107" t="s">
        <v>46</v>
      </c>
      <c r="F107" s="8">
        <v>17</v>
      </c>
      <c r="G107" s="7">
        <v>96</v>
      </c>
      <c r="H107" s="7">
        <v>1632</v>
      </c>
      <c r="I107" s="4">
        <v>7.0000000000000007E-2</v>
      </c>
      <c r="J107" s="7">
        <v>1517.76</v>
      </c>
      <c r="K107" s="7">
        <f>Tabela1[[#This Row],[Valor Bruto]]-Tabela1[[#This Row],[Valor Venda]]</f>
        <v>114.24000000000001</v>
      </c>
      <c r="L107" s="1">
        <v>43891</v>
      </c>
      <c r="M107" s="1">
        <v>43891</v>
      </c>
      <c r="N107">
        <v>104</v>
      </c>
      <c r="O107">
        <v>4</v>
      </c>
      <c r="P107" t="s">
        <v>25</v>
      </c>
      <c r="Q107">
        <v>7.0000000000000007E-2</v>
      </c>
      <c r="R107" s="7">
        <v>106.24320000000002</v>
      </c>
      <c r="S107">
        <v>6</v>
      </c>
      <c r="T107" t="s">
        <v>109</v>
      </c>
    </row>
    <row r="108" spans="1:20">
      <c r="A108">
        <v>105</v>
      </c>
      <c r="B108" s="1">
        <v>43888</v>
      </c>
      <c r="C108">
        <v>53</v>
      </c>
      <c r="D108" t="s">
        <v>88</v>
      </c>
      <c r="E108" t="s">
        <v>41</v>
      </c>
      <c r="F108" s="8">
        <v>29</v>
      </c>
      <c r="G108" s="7">
        <v>102</v>
      </c>
      <c r="H108" s="7">
        <v>2958</v>
      </c>
      <c r="I108" s="4">
        <v>0.13</v>
      </c>
      <c r="J108" s="7">
        <v>2573.46</v>
      </c>
      <c r="K108" s="7">
        <f>Tabela1[[#This Row],[Valor Bruto]]-Tabela1[[#This Row],[Valor Venda]]</f>
        <v>384.53999999999996</v>
      </c>
      <c r="L108" s="1">
        <v>43911</v>
      </c>
      <c r="M108" s="1">
        <v>43911</v>
      </c>
      <c r="N108">
        <v>105</v>
      </c>
      <c r="O108">
        <v>7</v>
      </c>
      <c r="P108" t="s">
        <v>47</v>
      </c>
      <c r="Q108">
        <v>0.05</v>
      </c>
      <c r="R108" s="7">
        <v>128.673</v>
      </c>
      <c r="S108">
        <v>7</v>
      </c>
      <c r="T108" t="s">
        <v>109</v>
      </c>
    </row>
    <row r="109" spans="1:20">
      <c r="A109">
        <v>106</v>
      </c>
      <c r="B109" s="1">
        <v>43891</v>
      </c>
      <c r="C109">
        <v>10</v>
      </c>
      <c r="D109" t="s">
        <v>89</v>
      </c>
      <c r="E109" t="s">
        <v>55</v>
      </c>
      <c r="F109" s="8">
        <v>10</v>
      </c>
      <c r="G109" s="7">
        <v>98</v>
      </c>
      <c r="H109" s="7">
        <v>980</v>
      </c>
      <c r="I109" s="4">
        <v>7.0000000000000007E-2</v>
      </c>
      <c r="J109" s="7">
        <v>911.4</v>
      </c>
      <c r="K109" s="7">
        <f>Tabela1[[#This Row],[Valor Bruto]]-Tabela1[[#This Row],[Valor Venda]]</f>
        <v>68.600000000000023</v>
      </c>
      <c r="L109" s="1">
        <v>43899</v>
      </c>
      <c r="M109" s="1">
        <v>43899</v>
      </c>
      <c r="N109">
        <v>106</v>
      </c>
      <c r="O109">
        <v>1</v>
      </c>
      <c r="P109" t="s">
        <v>22</v>
      </c>
      <c r="Q109">
        <v>0.1</v>
      </c>
      <c r="R109" s="7">
        <v>91.14</v>
      </c>
      <c r="S109">
        <v>1</v>
      </c>
      <c r="T109" t="s">
        <v>110</v>
      </c>
    </row>
    <row r="110" spans="1:20">
      <c r="A110">
        <v>107</v>
      </c>
      <c r="B110" s="1">
        <v>43892</v>
      </c>
      <c r="C110">
        <v>70</v>
      </c>
      <c r="D110" t="s">
        <v>67</v>
      </c>
      <c r="E110" t="s">
        <v>28</v>
      </c>
      <c r="F110" s="8">
        <v>20</v>
      </c>
      <c r="G110" s="7">
        <v>119</v>
      </c>
      <c r="H110" s="7">
        <v>2380</v>
      </c>
      <c r="I110" s="4">
        <v>0.05</v>
      </c>
      <c r="J110" s="7">
        <v>2261</v>
      </c>
      <c r="K110" s="7">
        <f>Tabela1[[#This Row],[Valor Bruto]]-Tabela1[[#This Row],[Valor Venda]]</f>
        <v>119</v>
      </c>
      <c r="L110" s="1">
        <v>43914</v>
      </c>
      <c r="M110" s="1">
        <v>43914</v>
      </c>
      <c r="N110">
        <v>107</v>
      </c>
      <c r="O110">
        <v>3</v>
      </c>
      <c r="P110" t="s">
        <v>69</v>
      </c>
      <c r="Q110">
        <v>0.09</v>
      </c>
      <c r="R110" s="7">
        <v>203.48999999999998</v>
      </c>
      <c r="S110">
        <v>2</v>
      </c>
      <c r="T110" t="s">
        <v>110</v>
      </c>
    </row>
    <row r="111" spans="1:20">
      <c r="A111">
        <v>108</v>
      </c>
      <c r="B111" s="1">
        <v>43893</v>
      </c>
      <c r="C111">
        <v>95</v>
      </c>
      <c r="D111" t="s">
        <v>38</v>
      </c>
      <c r="E111" t="s">
        <v>21</v>
      </c>
      <c r="F111" s="8">
        <v>31</v>
      </c>
      <c r="G111" s="7">
        <v>115</v>
      </c>
      <c r="H111" s="7">
        <v>3565</v>
      </c>
      <c r="I111" s="4">
        <v>0.09</v>
      </c>
      <c r="J111" s="7">
        <v>3244.15</v>
      </c>
      <c r="K111" s="7">
        <f>Tabela1[[#This Row],[Valor Bruto]]-Tabela1[[#This Row],[Valor Venda]]</f>
        <v>320.84999999999991</v>
      </c>
      <c r="L111" s="1">
        <v>43909</v>
      </c>
      <c r="M111" s="1">
        <v>43909</v>
      </c>
      <c r="N111">
        <v>108</v>
      </c>
      <c r="O111">
        <v>4</v>
      </c>
      <c r="P111" t="s">
        <v>43</v>
      </c>
      <c r="Q111">
        <v>0.06</v>
      </c>
      <c r="R111" s="7">
        <v>194.649</v>
      </c>
      <c r="S111">
        <v>3</v>
      </c>
      <c r="T111" t="s">
        <v>110</v>
      </c>
    </row>
    <row r="112" spans="1:20">
      <c r="A112">
        <v>109</v>
      </c>
      <c r="B112" s="1">
        <v>43894</v>
      </c>
      <c r="C112">
        <v>69</v>
      </c>
      <c r="D112" t="s">
        <v>67</v>
      </c>
      <c r="E112" t="s">
        <v>21</v>
      </c>
      <c r="F112" s="8">
        <v>35</v>
      </c>
      <c r="G112" s="7">
        <v>116</v>
      </c>
      <c r="H112" s="7">
        <v>4060</v>
      </c>
      <c r="I112" s="4">
        <v>0.14000000000000001</v>
      </c>
      <c r="J112" s="7">
        <v>3491.6</v>
      </c>
      <c r="K112" s="7">
        <f>Tabela1[[#This Row],[Valor Bruto]]-Tabela1[[#This Row],[Valor Venda]]</f>
        <v>568.40000000000009</v>
      </c>
      <c r="L112" s="1">
        <v>43917</v>
      </c>
      <c r="M112" s="1">
        <v>43917</v>
      </c>
      <c r="N112">
        <v>109</v>
      </c>
      <c r="O112">
        <v>1</v>
      </c>
      <c r="P112" t="s">
        <v>25</v>
      </c>
      <c r="Q112">
        <v>0.06</v>
      </c>
      <c r="R112" s="7">
        <v>209.49599999999998</v>
      </c>
      <c r="S112">
        <v>4</v>
      </c>
      <c r="T112" t="s">
        <v>110</v>
      </c>
    </row>
    <row r="113" spans="1:20">
      <c r="A113">
        <v>110</v>
      </c>
      <c r="B113" s="1">
        <v>43894</v>
      </c>
      <c r="C113">
        <v>18</v>
      </c>
      <c r="D113" t="s">
        <v>83</v>
      </c>
      <c r="E113" t="s">
        <v>46</v>
      </c>
      <c r="F113" s="8">
        <v>33</v>
      </c>
      <c r="G113" s="7">
        <v>105</v>
      </c>
      <c r="H113" s="7">
        <v>3465</v>
      </c>
      <c r="I113" s="4">
        <v>0.03</v>
      </c>
      <c r="J113" s="7">
        <v>3361.05</v>
      </c>
      <c r="K113" s="7">
        <f>Tabela1[[#This Row],[Valor Bruto]]-Tabela1[[#This Row],[Valor Venda]]</f>
        <v>103.94999999999982</v>
      </c>
      <c r="L113" s="1">
        <v>43924</v>
      </c>
      <c r="M113" s="1">
        <v>43924</v>
      </c>
      <c r="N113">
        <v>110</v>
      </c>
      <c r="O113">
        <v>3</v>
      </c>
      <c r="P113" t="s">
        <v>43</v>
      </c>
      <c r="Q113">
        <v>0.09</v>
      </c>
      <c r="R113" s="7">
        <v>302.49450000000002</v>
      </c>
      <c r="S113">
        <v>5</v>
      </c>
      <c r="T113" t="s">
        <v>110</v>
      </c>
    </row>
    <row r="114" spans="1:20">
      <c r="A114">
        <v>111</v>
      </c>
      <c r="B114" s="1">
        <v>43894</v>
      </c>
      <c r="C114">
        <v>86</v>
      </c>
      <c r="D114" t="s">
        <v>90</v>
      </c>
      <c r="E114" t="s">
        <v>31</v>
      </c>
      <c r="F114" s="8">
        <v>50</v>
      </c>
      <c r="G114" s="7">
        <v>103</v>
      </c>
      <c r="H114" s="7">
        <v>5150</v>
      </c>
      <c r="I114" s="4">
        <v>0.11</v>
      </c>
      <c r="J114" s="7">
        <v>4583.5</v>
      </c>
      <c r="K114" s="7">
        <f>Tabela1[[#This Row],[Valor Bruto]]-Tabela1[[#This Row],[Valor Venda]]</f>
        <v>566.5</v>
      </c>
      <c r="L114" s="1">
        <v>43915</v>
      </c>
      <c r="M114" s="1">
        <v>43915</v>
      </c>
      <c r="N114">
        <v>111</v>
      </c>
      <c r="O114">
        <v>2</v>
      </c>
      <c r="P114" t="s">
        <v>47</v>
      </c>
      <c r="Q114">
        <v>0.1</v>
      </c>
      <c r="R114" s="7">
        <v>458.35</v>
      </c>
      <c r="S114">
        <v>6</v>
      </c>
      <c r="T114" t="s">
        <v>110</v>
      </c>
    </row>
    <row r="115" spans="1:20">
      <c r="A115">
        <v>112</v>
      </c>
      <c r="B115" s="1">
        <v>43895</v>
      </c>
      <c r="C115">
        <v>18</v>
      </c>
      <c r="D115" t="s">
        <v>83</v>
      </c>
      <c r="E115" t="s">
        <v>24</v>
      </c>
      <c r="F115" s="8">
        <v>42</v>
      </c>
      <c r="G115" s="7">
        <v>98</v>
      </c>
      <c r="H115" s="7">
        <v>4116</v>
      </c>
      <c r="I115" s="4">
        <v>0.11</v>
      </c>
      <c r="J115" s="7">
        <v>3663.24</v>
      </c>
      <c r="K115" s="7">
        <f>Tabela1[[#This Row],[Valor Bruto]]-Tabela1[[#This Row],[Valor Venda]]</f>
        <v>452.76000000000022</v>
      </c>
      <c r="L115" s="1">
        <v>43900</v>
      </c>
      <c r="M115" s="1">
        <v>43900</v>
      </c>
      <c r="N115">
        <v>112</v>
      </c>
      <c r="O115">
        <v>5</v>
      </c>
      <c r="P115" t="s">
        <v>25</v>
      </c>
      <c r="Q115">
        <v>0.09</v>
      </c>
      <c r="R115" s="7">
        <v>329.69159999999999</v>
      </c>
      <c r="S115">
        <v>7</v>
      </c>
      <c r="T115" t="s">
        <v>110</v>
      </c>
    </row>
    <row r="116" spans="1:20">
      <c r="A116">
        <v>113</v>
      </c>
      <c r="B116" s="1">
        <v>43895</v>
      </c>
      <c r="C116">
        <v>41</v>
      </c>
      <c r="D116" t="s">
        <v>68</v>
      </c>
      <c r="E116" t="s">
        <v>54</v>
      </c>
      <c r="F116" s="8">
        <v>49</v>
      </c>
      <c r="G116" s="7">
        <v>102</v>
      </c>
      <c r="H116" s="7">
        <v>4998</v>
      </c>
      <c r="I116" s="4">
        <v>0.09</v>
      </c>
      <c r="J116" s="7">
        <v>4548.18</v>
      </c>
      <c r="K116" s="7">
        <f>Tabela1[[#This Row],[Valor Bruto]]-Tabela1[[#This Row],[Valor Venda]]</f>
        <v>449.81999999999971</v>
      </c>
      <c r="L116" s="1">
        <v>43905</v>
      </c>
      <c r="M116" s="1">
        <v>43905</v>
      </c>
      <c r="N116">
        <v>113</v>
      </c>
      <c r="O116">
        <v>4</v>
      </c>
      <c r="P116" t="s">
        <v>37</v>
      </c>
      <c r="Q116">
        <v>0.06</v>
      </c>
      <c r="R116" s="7">
        <v>272.89080000000001</v>
      </c>
      <c r="S116">
        <v>1</v>
      </c>
      <c r="T116" t="s">
        <v>110</v>
      </c>
    </row>
    <row r="117" spans="1:20">
      <c r="A117">
        <v>114</v>
      </c>
      <c r="B117" s="1">
        <v>43895</v>
      </c>
      <c r="C117">
        <v>3</v>
      </c>
      <c r="D117" t="s">
        <v>91</v>
      </c>
      <c r="E117" t="s">
        <v>24</v>
      </c>
      <c r="F117" s="8">
        <v>11</v>
      </c>
      <c r="G117" s="7">
        <v>109</v>
      </c>
      <c r="H117" s="7">
        <v>1199</v>
      </c>
      <c r="I117" s="4">
        <v>0.02</v>
      </c>
      <c r="J117" s="7">
        <v>1175.02</v>
      </c>
      <c r="K117" s="7">
        <f>Tabela1[[#This Row],[Valor Bruto]]-Tabela1[[#This Row],[Valor Venda]]</f>
        <v>23.980000000000018</v>
      </c>
      <c r="L117" s="1">
        <v>43907</v>
      </c>
      <c r="M117" s="1">
        <v>43907</v>
      </c>
      <c r="N117">
        <v>114</v>
      </c>
      <c r="O117">
        <v>5</v>
      </c>
      <c r="P117" t="s">
        <v>29</v>
      </c>
      <c r="Q117">
        <v>7.0000000000000007E-2</v>
      </c>
      <c r="R117" s="7">
        <v>82.251400000000004</v>
      </c>
      <c r="S117">
        <v>2</v>
      </c>
      <c r="T117" t="s">
        <v>110</v>
      </c>
    </row>
    <row r="118" spans="1:20">
      <c r="A118">
        <v>115</v>
      </c>
      <c r="B118" s="1">
        <v>43896</v>
      </c>
      <c r="C118">
        <v>56</v>
      </c>
      <c r="D118" t="s">
        <v>67</v>
      </c>
      <c r="E118" t="s">
        <v>21</v>
      </c>
      <c r="F118" s="8">
        <v>50</v>
      </c>
      <c r="G118" s="7">
        <v>98</v>
      </c>
      <c r="H118" s="7">
        <v>4900</v>
      </c>
      <c r="I118" s="4">
        <v>0.04</v>
      </c>
      <c r="J118" s="7">
        <v>4704</v>
      </c>
      <c r="K118" s="7">
        <f>Tabela1[[#This Row],[Valor Bruto]]-Tabela1[[#This Row],[Valor Venda]]</f>
        <v>196</v>
      </c>
      <c r="L118" s="1">
        <v>43916</v>
      </c>
      <c r="M118" s="1">
        <v>43916</v>
      </c>
      <c r="N118">
        <v>115</v>
      </c>
      <c r="O118">
        <v>2</v>
      </c>
      <c r="P118" t="s">
        <v>43</v>
      </c>
      <c r="Q118">
        <v>0.08</v>
      </c>
      <c r="R118" s="7">
        <v>376.32</v>
      </c>
      <c r="S118">
        <v>3</v>
      </c>
      <c r="T118" t="s">
        <v>110</v>
      </c>
    </row>
    <row r="119" spans="1:20">
      <c r="A119">
        <v>116</v>
      </c>
      <c r="B119" s="1">
        <v>43896</v>
      </c>
      <c r="C119">
        <v>42</v>
      </c>
      <c r="D119" t="s">
        <v>92</v>
      </c>
      <c r="E119" t="s">
        <v>21</v>
      </c>
      <c r="F119" s="8">
        <v>50</v>
      </c>
      <c r="G119" s="7">
        <v>99</v>
      </c>
      <c r="H119" s="7">
        <v>4950</v>
      </c>
      <c r="I119" s="4">
        <v>0.08</v>
      </c>
      <c r="J119" s="7">
        <v>4554</v>
      </c>
      <c r="K119" s="7">
        <f>Tabela1[[#This Row],[Valor Bruto]]-Tabela1[[#This Row],[Valor Venda]]</f>
        <v>396</v>
      </c>
      <c r="L119" s="1">
        <v>43918</v>
      </c>
      <c r="M119" s="1">
        <v>43918</v>
      </c>
      <c r="N119">
        <v>116</v>
      </c>
      <c r="O119">
        <v>4</v>
      </c>
      <c r="P119" t="s">
        <v>25</v>
      </c>
      <c r="Q119">
        <v>0.09</v>
      </c>
      <c r="R119" s="7">
        <v>409.85999999999996</v>
      </c>
      <c r="S119">
        <v>4</v>
      </c>
      <c r="T119" t="s">
        <v>110</v>
      </c>
    </row>
    <row r="120" spans="1:20">
      <c r="A120">
        <v>117</v>
      </c>
      <c r="B120" s="1">
        <v>43897</v>
      </c>
      <c r="C120">
        <v>32</v>
      </c>
      <c r="D120" t="s">
        <v>77</v>
      </c>
      <c r="E120" t="s">
        <v>31</v>
      </c>
      <c r="F120" s="8">
        <v>31</v>
      </c>
      <c r="G120" s="7">
        <v>117</v>
      </c>
      <c r="H120" s="7">
        <v>3627</v>
      </c>
      <c r="I120" s="4">
        <v>0.14000000000000001</v>
      </c>
      <c r="J120" s="7">
        <v>3119.22</v>
      </c>
      <c r="K120" s="7">
        <f>Tabela1[[#This Row],[Valor Bruto]]-Tabela1[[#This Row],[Valor Venda]]</f>
        <v>507.7800000000002</v>
      </c>
      <c r="L120" s="1">
        <v>43905</v>
      </c>
      <c r="M120" s="1">
        <v>43905</v>
      </c>
      <c r="N120">
        <v>117</v>
      </c>
      <c r="O120">
        <v>4</v>
      </c>
      <c r="P120" t="s">
        <v>25</v>
      </c>
      <c r="Q120">
        <v>0.05</v>
      </c>
      <c r="R120" s="7">
        <v>155.96100000000001</v>
      </c>
      <c r="S120">
        <v>5</v>
      </c>
      <c r="T120" t="s">
        <v>110</v>
      </c>
    </row>
    <row r="121" spans="1:20">
      <c r="A121">
        <v>118</v>
      </c>
      <c r="B121" s="1">
        <v>43897</v>
      </c>
      <c r="C121">
        <v>36</v>
      </c>
      <c r="D121" t="s">
        <v>70</v>
      </c>
      <c r="E121" t="s">
        <v>24</v>
      </c>
      <c r="F121" s="8">
        <v>30</v>
      </c>
      <c r="G121" s="7">
        <v>99</v>
      </c>
      <c r="H121" s="7">
        <v>2970</v>
      </c>
      <c r="I121" s="4">
        <v>7.0000000000000007E-2</v>
      </c>
      <c r="J121" s="7">
        <v>2762.1</v>
      </c>
      <c r="K121" s="7">
        <f>Tabela1[[#This Row],[Valor Bruto]]-Tabela1[[#This Row],[Valor Venda]]</f>
        <v>207.90000000000009</v>
      </c>
      <c r="L121" s="1">
        <v>43898</v>
      </c>
      <c r="M121" s="1">
        <v>43898</v>
      </c>
      <c r="N121">
        <v>118</v>
      </c>
      <c r="O121">
        <v>5</v>
      </c>
      <c r="P121" t="s">
        <v>37</v>
      </c>
      <c r="Q121">
        <v>0.05</v>
      </c>
      <c r="R121" s="7">
        <v>138.10499999999999</v>
      </c>
      <c r="S121">
        <v>6</v>
      </c>
      <c r="T121" t="s">
        <v>110</v>
      </c>
    </row>
    <row r="122" spans="1:20">
      <c r="A122">
        <v>119</v>
      </c>
      <c r="B122" s="1">
        <v>43897</v>
      </c>
      <c r="C122">
        <v>78</v>
      </c>
      <c r="D122" t="s">
        <v>36</v>
      </c>
      <c r="E122" t="s">
        <v>28</v>
      </c>
      <c r="F122" s="8">
        <v>23</v>
      </c>
      <c r="G122" s="7">
        <v>92</v>
      </c>
      <c r="H122" s="7">
        <v>2116</v>
      </c>
      <c r="I122" s="4">
        <v>0.02</v>
      </c>
      <c r="J122" s="7">
        <v>2073.6799999999998</v>
      </c>
      <c r="K122" s="7">
        <f>Tabela1[[#This Row],[Valor Bruto]]-Tabela1[[#This Row],[Valor Venda]]</f>
        <v>42.320000000000164</v>
      </c>
      <c r="L122" s="1">
        <v>43926</v>
      </c>
      <c r="M122" s="1">
        <v>43926</v>
      </c>
      <c r="N122">
        <v>119</v>
      </c>
      <c r="O122">
        <v>3</v>
      </c>
      <c r="P122" t="s">
        <v>34</v>
      </c>
      <c r="Q122">
        <v>0.08</v>
      </c>
      <c r="R122" s="7">
        <v>165.89439999999999</v>
      </c>
      <c r="S122">
        <v>7</v>
      </c>
      <c r="T122" t="s">
        <v>110</v>
      </c>
    </row>
    <row r="123" spans="1:20">
      <c r="A123">
        <v>120</v>
      </c>
      <c r="B123" s="1">
        <v>43897</v>
      </c>
      <c r="C123">
        <v>13</v>
      </c>
      <c r="D123" t="s">
        <v>75</v>
      </c>
      <c r="E123" t="s">
        <v>46</v>
      </c>
      <c r="F123" s="8">
        <v>32</v>
      </c>
      <c r="G123" s="7">
        <v>99</v>
      </c>
      <c r="H123" s="7">
        <v>3168</v>
      </c>
      <c r="I123" s="4">
        <v>0.11</v>
      </c>
      <c r="J123" s="7">
        <v>2819.52</v>
      </c>
      <c r="K123" s="7">
        <f>Tabela1[[#This Row],[Valor Bruto]]-Tabela1[[#This Row],[Valor Venda]]</f>
        <v>348.48</v>
      </c>
      <c r="L123" s="1">
        <v>43902</v>
      </c>
      <c r="M123" s="1">
        <v>43902</v>
      </c>
      <c r="N123">
        <v>120</v>
      </c>
      <c r="O123">
        <v>6</v>
      </c>
      <c r="P123" t="s">
        <v>47</v>
      </c>
      <c r="Q123">
        <v>0.09</v>
      </c>
      <c r="R123" s="7">
        <v>253.7568</v>
      </c>
      <c r="S123">
        <v>1</v>
      </c>
      <c r="T123" t="s">
        <v>110</v>
      </c>
    </row>
    <row r="124" spans="1:20">
      <c r="A124">
        <v>121</v>
      </c>
      <c r="B124" s="1">
        <v>43898</v>
      </c>
      <c r="C124">
        <v>49</v>
      </c>
      <c r="D124" t="s">
        <v>38</v>
      </c>
      <c r="E124" t="s">
        <v>50</v>
      </c>
      <c r="F124" s="8">
        <v>31</v>
      </c>
      <c r="G124" s="7">
        <v>103</v>
      </c>
      <c r="H124" s="7">
        <v>3193</v>
      </c>
      <c r="I124" s="4">
        <v>0.09</v>
      </c>
      <c r="J124" s="7">
        <v>2905.63</v>
      </c>
      <c r="K124" s="7">
        <f>Tabela1[[#This Row],[Valor Bruto]]-Tabela1[[#This Row],[Valor Venda]]</f>
        <v>287.36999999999989</v>
      </c>
      <c r="L124" s="1">
        <v>43902</v>
      </c>
      <c r="M124" s="1">
        <v>43902</v>
      </c>
      <c r="N124">
        <v>121</v>
      </c>
      <c r="O124">
        <v>5</v>
      </c>
      <c r="P124" t="s">
        <v>37</v>
      </c>
      <c r="Q124">
        <v>0.05</v>
      </c>
      <c r="R124" s="7">
        <v>145.28150000000002</v>
      </c>
      <c r="S124">
        <v>2</v>
      </c>
      <c r="T124" t="s">
        <v>110</v>
      </c>
    </row>
    <row r="125" spans="1:20">
      <c r="A125">
        <v>122</v>
      </c>
      <c r="B125" s="1">
        <v>43898</v>
      </c>
      <c r="C125">
        <v>1</v>
      </c>
      <c r="D125" t="s">
        <v>93</v>
      </c>
      <c r="E125" t="s">
        <v>46</v>
      </c>
      <c r="F125" s="8">
        <v>26</v>
      </c>
      <c r="G125" s="7">
        <v>97</v>
      </c>
      <c r="H125" s="7">
        <v>2522</v>
      </c>
      <c r="I125" s="4">
        <v>0.14000000000000001</v>
      </c>
      <c r="J125" s="7">
        <v>2168.92</v>
      </c>
      <c r="K125" s="7">
        <f>Tabela1[[#This Row],[Valor Bruto]]-Tabela1[[#This Row],[Valor Venda]]</f>
        <v>353.07999999999993</v>
      </c>
      <c r="L125" s="1">
        <v>43899</v>
      </c>
      <c r="M125" s="1">
        <v>43899</v>
      </c>
      <c r="N125">
        <v>122</v>
      </c>
      <c r="O125">
        <v>2</v>
      </c>
      <c r="P125" t="s">
        <v>47</v>
      </c>
      <c r="Q125">
        <v>0.1</v>
      </c>
      <c r="R125" s="7">
        <v>216.89200000000002</v>
      </c>
      <c r="S125">
        <v>3</v>
      </c>
      <c r="T125" t="s">
        <v>110</v>
      </c>
    </row>
    <row r="126" spans="1:20">
      <c r="A126">
        <v>123</v>
      </c>
      <c r="B126" s="1">
        <v>43898</v>
      </c>
      <c r="C126">
        <v>33</v>
      </c>
      <c r="D126" t="s">
        <v>76</v>
      </c>
      <c r="E126" t="s">
        <v>24</v>
      </c>
      <c r="F126" s="8">
        <v>13</v>
      </c>
      <c r="G126" s="7">
        <v>111</v>
      </c>
      <c r="H126" s="7">
        <v>1443</v>
      </c>
      <c r="I126" s="4">
        <v>0.01</v>
      </c>
      <c r="J126" s="7">
        <v>1428.57</v>
      </c>
      <c r="K126" s="7">
        <f>Tabela1[[#This Row],[Valor Bruto]]-Tabela1[[#This Row],[Valor Venda]]</f>
        <v>14.430000000000064</v>
      </c>
      <c r="L126" s="1">
        <v>43901</v>
      </c>
      <c r="M126" s="1">
        <v>43901</v>
      </c>
      <c r="N126">
        <v>123</v>
      </c>
      <c r="O126">
        <v>4</v>
      </c>
      <c r="P126" t="s">
        <v>32</v>
      </c>
      <c r="Q126">
        <v>0.05</v>
      </c>
      <c r="R126" s="7">
        <v>71.4285</v>
      </c>
      <c r="S126">
        <v>4</v>
      </c>
      <c r="T126" t="s">
        <v>110</v>
      </c>
    </row>
    <row r="127" spans="1:20">
      <c r="A127">
        <v>124</v>
      </c>
      <c r="B127" s="1">
        <v>43898</v>
      </c>
      <c r="C127">
        <v>50</v>
      </c>
      <c r="D127" t="s">
        <v>81</v>
      </c>
      <c r="E127" t="s">
        <v>28</v>
      </c>
      <c r="F127" s="8">
        <v>35</v>
      </c>
      <c r="G127" s="7">
        <v>102</v>
      </c>
      <c r="H127" s="7">
        <v>3570</v>
      </c>
      <c r="I127" s="4">
        <v>0.09</v>
      </c>
      <c r="J127" s="7">
        <v>3248.7</v>
      </c>
      <c r="K127" s="7">
        <f>Tabela1[[#This Row],[Valor Bruto]]-Tabela1[[#This Row],[Valor Venda]]</f>
        <v>321.30000000000018</v>
      </c>
      <c r="L127" s="1">
        <v>43913</v>
      </c>
      <c r="N127">
        <v>124</v>
      </c>
      <c r="O127">
        <v>7</v>
      </c>
      <c r="P127" t="s">
        <v>25</v>
      </c>
      <c r="Q127">
        <v>0.09</v>
      </c>
      <c r="R127" s="7">
        <v>292.38299999999998</v>
      </c>
      <c r="S127">
        <v>5</v>
      </c>
      <c r="T127" t="s">
        <v>110</v>
      </c>
    </row>
    <row r="128" spans="1:20">
      <c r="A128">
        <v>125</v>
      </c>
      <c r="B128" s="1">
        <v>43899</v>
      </c>
      <c r="C128">
        <v>46</v>
      </c>
      <c r="D128" t="s">
        <v>94</v>
      </c>
      <c r="E128" t="s">
        <v>54</v>
      </c>
      <c r="F128" s="8">
        <v>19</v>
      </c>
      <c r="G128" s="7">
        <v>104</v>
      </c>
      <c r="H128" s="7">
        <v>1976</v>
      </c>
      <c r="I128" s="4">
        <v>0.09</v>
      </c>
      <c r="J128" s="7">
        <v>1798.16</v>
      </c>
      <c r="K128" s="7">
        <f>Tabela1[[#This Row],[Valor Bruto]]-Tabela1[[#This Row],[Valor Venda]]</f>
        <v>177.83999999999992</v>
      </c>
      <c r="L128" s="1">
        <v>43928</v>
      </c>
      <c r="M128" s="1">
        <v>43928</v>
      </c>
      <c r="N128">
        <v>125</v>
      </c>
      <c r="O128">
        <v>5</v>
      </c>
      <c r="P128" t="s">
        <v>52</v>
      </c>
      <c r="Q128">
        <v>0.09</v>
      </c>
      <c r="R128" s="7">
        <v>161.83439999999999</v>
      </c>
      <c r="S128">
        <v>6</v>
      </c>
      <c r="T128" t="s">
        <v>110</v>
      </c>
    </row>
    <row r="129" spans="1:20">
      <c r="A129">
        <v>126</v>
      </c>
      <c r="B129" s="1">
        <v>43899</v>
      </c>
      <c r="C129">
        <v>26</v>
      </c>
      <c r="D129" t="s">
        <v>95</v>
      </c>
      <c r="E129" t="s">
        <v>28</v>
      </c>
      <c r="F129" s="8">
        <v>15</v>
      </c>
      <c r="G129" s="7">
        <v>119</v>
      </c>
      <c r="H129" s="7">
        <v>1785</v>
      </c>
      <c r="I129" s="4">
        <v>0.15</v>
      </c>
      <c r="J129" s="7">
        <v>1517.25</v>
      </c>
      <c r="K129" s="7">
        <f>Tabela1[[#This Row],[Valor Bruto]]-Tabela1[[#This Row],[Valor Venda]]</f>
        <v>267.75</v>
      </c>
      <c r="L129" s="1">
        <v>43912</v>
      </c>
      <c r="M129" s="1">
        <v>43912</v>
      </c>
      <c r="N129">
        <v>126</v>
      </c>
      <c r="O129">
        <v>7</v>
      </c>
      <c r="P129" t="s">
        <v>37</v>
      </c>
      <c r="Q129">
        <v>0.05</v>
      </c>
      <c r="R129" s="7">
        <v>75.862499999999997</v>
      </c>
      <c r="S129">
        <v>7</v>
      </c>
      <c r="T129" t="s">
        <v>110</v>
      </c>
    </row>
    <row r="130" spans="1:20">
      <c r="A130">
        <v>127</v>
      </c>
      <c r="B130" s="1">
        <v>43901</v>
      </c>
      <c r="C130">
        <v>48</v>
      </c>
      <c r="D130" t="s">
        <v>61</v>
      </c>
      <c r="E130" t="s">
        <v>31</v>
      </c>
      <c r="F130" s="8">
        <v>13</v>
      </c>
      <c r="G130" s="7">
        <v>99</v>
      </c>
      <c r="H130" s="7">
        <v>1287</v>
      </c>
      <c r="I130" s="4">
        <v>0.15</v>
      </c>
      <c r="J130" s="7">
        <v>1093.95</v>
      </c>
      <c r="K130" s="7">
        <f>Tabela1[[#This Row],[Valor Bruto]]-Tabela1[[#This Row],[Valor Venda]]</f>
        <v>193.04999999999995</v>
      </c>
      <c r="L130" s="1">
        <v>43929</v>
      </c>
      <c r="M130" s="1">
        <v>43929</v>
      </c>
      <c r="N130">
        <v>127</v>
      </c>
      <c r="O130">
        <v>6</v>
      </c>
      <c r="P130" t="s">
        <v>37</v>
      </c>
      <c r="Q130">
        <v>0.08</v>
      </c>
      <c r="R130" s="7">
        <v>87.516000000000005</v>
      </c>
      <c r="S130">
        <v>1</v>
      </c>
      <c r="T130" t="s">
        <v>110</v>
      </c>
    </row>
    <row r="131" spans="1:20">
      <c r="A131">
        <v>128</v>
      </c>
      <c r="B131" s="1">
        <v>43901</v>
      </c>
      <c r="C131">
        <v>22</v>
      </c>
      <c r="D131" t="s">
        <v>51</v>
      </c>
      <c r="E131" t="s">
        <v>31</v>
      </c>
      <c r="F131" s="8">
        <v>31</v>
      </c>
      <c r="G131" s="7">
        <v>104</v>
      </c>
      <c r="H131" s="7">
        <v>3224</v>
      </c>
      <c r="I131" s="4">
        <v>0.13</v>
      </c>
      <c r="J131" s="7">
        <v>2804.88</v>
      </c>
      <c r="K131" s="7">
        <f>Tabela1[[#This Row],[Valor Bruto]]-Tabela1[[#This Row],[Valor Venda]]</f>
        <v>419.11999999999989</v>
      </c>
      <c r="L131" s="1">
        <v>43919</v>
      </c>
      <c r="M131" s="1">
        <v>43919</v>
      </c>
      <c r="N131">
        <v>128</v>
      </c>
      <c r="O131">
        <v>6</v>
      </c>
      <c r="P131" t="s">
        <v>69</v>
      </c>
      <c r="Q131">
        <v>0.06</v>
      </c>
      <c r="R131" s="7">
        <v>168.2928</v>
      </c>
      <c r="S131">
        <v>2</v>
      </c>
      <c r="T131" t="s">
        <v>110</v>
      </c>
    </row>
    <row r="132" spans="1:20">
      <c r="A132">
        <v>129</v>
      </c>
      <c r="B132" s="1">
        <v>43902</v>
      </c>
      <c r="C132">
        <v>30</v>
      </c>
      <c r="D132" t="s">
        <v>96</v>
      </c>
      <c r="E132" t="s">
        <v>46</v>
      </c>
      <c r="F132" s="8">
        <v>36</v>
      </c>
      <c r="G132" s="7">
        <v>109</v>
      </c>
      <c r="H132" s="7">
        <v>3924</v>
      </c>
      <c r="I132" s="4">
        <v>7.0000000000000007E-2</v>
      </c>
      <c r="J132" s="7">
        <v>3649.32</v>
      </c>
      <c r="K132" s="7">
        <f>Tabela1[[#This Row],[Valor Bruto]]-Tabela1[[#This Row],[Valor Venda]]</f>
        <v>274.67999999999984</v>
      </c>
      <c r="L132" s="1">
        <v>43904</v>
      </c>
      <c r="M132" s="1">
        <v>43904</v>
      </c>
      <c r="N132">
        <v>129</v>
      </c>
      <c r="O132">
        <v>3</v>
      </c>
      <c r="P132" t="s">
        <v>34</v>
      </c>
      <c r="Q132">
        <v>0.08</v>
      </c>
      <c r="R132" s="7">
        <v>291.94560000000001</v>
      </c>
      <c r="S132">
        <v>3</v>
      </c>
      <c r="T132" t="s">
        <v>110</v>
      </c>
    </row>
    <row r="133" spans="1:20">
      <c r="A133">
        <v>130</v>
      </c>
      <c r="B133" s="1">
        <v>43902</v>
      </c>
      <c r="C133">
        <v>97</v>
      </c>
      <c r="D133" t="s">
        <v>66</v>
      </c>
      <c r="E133" t="s">
        <v>59</v>
      </c>
      <c r="F133" s="8">
        <v>24</v>
      </c>
      <c r="G133" s="7">
        <v>105</v>
      </c>
      <c r="H133" s="7">
        <v>2520</v>
      </c>
      <c r="I133" s="4">
        <v>0.03</v>
      </c>
      <c r="J133" s="7">
        <v>2444.4</v>
      </c>
      <c r="K133" s="7">
        <f>Tabela1[[#This Row],[Valor Bruto]]-Tabela1[[#This Row],[Valor Venda]]</f>
        <v>75.599999999999909</v>
      </c>
      <c r="L133" s="1">
        <v>43906</v>
      </c>
      <c r="M133" s="1">
        <v>43906</v>
      </c>
      <c r="N133">
        <v>130</v>
      </c>
      <c r="O133">
        <v>1</v>
      </c>
      <c r="P133" t="s">
        <v>43</v>
      </c>
      <c r="Q133">
        <v>0.09</v>
      </c>
      <c r="R133" s="7">
        <v>219.99600000000001</v>
      </c>
      <c r="S133">
        <v>4</v>
      </c>
      <c r="T133" t="s">
        <v>110</v>
      </c>
    </row>
    <row r="134" spans="1:20">
      <c r="A134">
        <v>131</v>
      </c>
      <c r="B134" s="1">
        <v>43902</v>
      </c>
      <c r="C134">
        <v>64</v>
      </c>
      <c r="D134" t="s">
        <v>78</v>
      </c>
      <c r="E134" t="s">
        <v>28</v>
      </c>
      <c r="F134" s="8">
        <v>24</v>
      </c>
      <c r="G134" s="7">
        <v>118</v>
      </c>
      <c r="H134" s="7">
        <v>2832</v>
      </c>
      <c r="I134" s="4">
        <v>0.13</v>
      </c>
      <c r="J134" s="7">
        <v>2463.84</v>
      </c>
      <c r="K134" s="7">
        <f>Tabela1[[#This Row],[Valor Bruto]]-Tabela1[[#This Row],[Valor Venda]]</f>
        <v>368.15999999999985</v>
      </c>
      <c r="L134" s="1">
        <v>43930</v>
      </c>
      <c r="M134" s="1">
        <v>43930</v>
      </c>
      <c r="N134">
        <v>131</v>
      </c>
      <c r="O134">
        <v>5</v>
      </c>
      <c r="P134" t="s">
        <v>52</v>
      </c>
      <c r="Q134">
        <v>7.0000000000000007E-2</v>
      </c>
      <c r="R134" s="7">
        <v>172.46880000000002</v>
      </c>
      <c r="S134">
        <v>5</v>
      </c>
      <c r="T134" t="s">
        <v>110</v>
      </c>
    </row>
    <row r="135" spans="1:20">
      <c r="A135">
        <v>132</v>
      </c>
      <c r="B135" s="1">
        <v>43903</v>
      </c>
      <c r="C135">
        <v>98</v>
      </c>
      <c r="D135" t="s">
        <v>26</v>
      </c>
      <c r="E135" t="s">
        <v>28</v>
      </c>
      <c r="F135" s="8">
        <v>48</v>
      </c>
      <c r="G135" s="7">
        <v>119</v>
      </c>
      <c r="H135" s="7">
        <v>5712</v>
      </c>
      <c r="I135" s="4">
        <v>0</v>
      </c>
      <c r="J135" s="7">
        <v>5712</v>
      </c>
      <c r="K135" s="7">
        <f>Tabela1[[#This Row],[Valor Bruto]]-Tabela1[[#This Row],[Valor Venda]]</f>
        <v>0</v>
      </c>
      <c r="L135" s="1">
        <v>43931</v>
      </c>
      <c r="M135" s="1">
        <v>43931</v>
      </c>
      <c r="N135">
        <v>132</v>
      </c>
      <c r="O135">
        <v>1</v>
      </c>
      <c r="P135" t="s">
        <v>47</v>
      </c>
      <c r="Q135">
        <v>0.08</v>
      </c>
      <c r="R135" s="7">
        <v>456.96000000000004</v>
      </c>
      <c r="S135">
        <v>6</v>
      </c>
      <c r="T135" t="s">
        <v>110</v>
      </c>
    </row>
    <row r="136" spans="1:20">
      <c r="A136">
        <v>133</v>
      </c>
      <c r="B136" s="1">
        <v>43903</v>
      </c>
      <c r="C136">
        <v>37</v>
      </c>
      <c r="D136" t="s">
        <v>48</v>
      </c>
      <c r="E136" t="s">
        <v>28</v>
      </c>
      <c r="F136" s="8">
        <v>13</v>
      </c>
      <c r="G136" s="7">
        <v>120</v>
      </c>
      <c r="H136" s="7">
        <v>1560</v>
      </c>
      <c r="I136" s="4">
        <v>0.14000000000000001</v>
      </c>
      <c r="J136" s="7">
        <v>1341.6</v>
      </c>
      <c r="K136" s="7">
        <f>Tabela1[[#This Row],[Valor Bruto]]-Tabela1[[#This Row],[Valor Venda]]</f>
        <v>218.40000000000009</v>
      </c>
      <c r="L136" s="1">
        <v>43927</v>
      </c>
      <c r="M136" s="1">
        <v>43927</v>
      </c>
      <c r="N136">
        <v>133</v>
      </c>
      <c r="O136">
        <v>4</v>
      </c>
      <c r="P136" t="s">
        <v>22</v>
      </c>
      <c r="Q136">
        <v>0.06</v>
      </c>
      <c r="R136" s="7">
        <v>80.495999999999995</v>
      </c>
      <c r="S136">
        <v>7</v>
      </c>
      <c r="T136" t="s">
        <v>110</v>
      </c>
    </row>
    <row r="137" spans="1:20">
      <c r="A137">
        <v>134</v>
      </c>
      <c r="B137" s="1">
        <v>43903</v>
      </c>
      <c r="C137">
        <v>15</v>
      </c>
      <c r="D137" t="s">
        <v>77</v>
      </c>
      <c r="E137" t="s">
        <v>28</v>
      </c>
      <c r="F137" s="8">
        <v>11</v>
      </c>
      <c r="G137" s="7">
        <v>113</v>
      </c>
      <c r="H137" s="7">
        <v>1243</v>
      </c>
      <c r="I137" s="4">
        <v>0.12</v>
      </c>
      <c r="J137" s="7">
        <v>1093.8399999999999</v>
      </c>
      <c r="K137" s="7">
        <f>Tabela1[[#This Row],[Valor Bruto]]-Tabela1[[#This Row],[Valor Venda]]</f>
        <v>149.16000000000008</v>
      </c>
      <c r="L137" s="1">
        <v>43924</v>
      </c>
      <c r="M137" s="1">
        <v>43924</v>
      </c>
      <c r="N137">
        <v>134</v>
      </c>
      <c r="O137">
        <v>7</v>
      </c>
      <c r="P137" t="s">
        <v>43</v>
      </c>
      <c r="Q137">
        <v>0.1</v>
      </c>
      <c r="R137" s="7">
        <v>109.384</v>
      </c>
      <c r="S137">
        <v>1</v>
      </c>
      <c r="T137" t="s">
        <v>110</v>
      </c>
    </row>
    <row r="138" spans="1:20">
      <c r="A138">
        <v>135</v>
      </c>
      <c r="B138" s="1">
        <v>43905</v>
      </c>
      <c r="C138">
        <v>6</v>
      </c>
      <c r="D138" t="s">
        <v>88</v>
      </c>
      <c r="E138" t="s">
        <v>46</v>
      </c>
      <c r="F138" s="8">
        <v>18</v>
      </c>
      <c r="G138" s="7">
        <v>104</v>
      </c>
      <c r="H138" s="7">
        <v>1872</v>
      </c>
      <c r="I138" s="4">
        <v>0.01</v>
      </c>
      <c r="J138" s="7">
        <v>1853.28</v>
      </c>
      <c r="K138" s="7">
        <f>Tabela1[[#This Row],[Valor Bruto]]-Tabela1[[#This Row],[Valor Venda]]</f>
        <v>18.720000000000027</v>
      </c>
      <c r="L138" s="1">
        <v>43928</v>
      </c>
      <c r="M138" s="1">
        <v>43928</v>
      </c>
      <c r="N138">
        <v>135</v>
      </c>
      <c r="O138">
        <v>1</v>
      </c>
      <c r="P138" t="s">
        <v>47</v>
      </c>
      <c r="Q138">
        <v>0.1</v>
      </c>
      <c r="R138" s="7">
        <v>185.328</v>
      </c>
      <c r="S138">
        <v>2</v>
      </c>
      <c r="T138" t="s">
        <v>110</v>
      </c>
    </row>
    <row r="139" spans="1:20">
      <c r="A139">
        <v>136</v>
      </c>
      <c r="B139" s="1">
        <v>43906</v>
      </c>
      <c r="C139">
        <v>94</v>
      </c>
      <c r="D139" t="s">
        <v>49</v>
      </c>
      <c r="E139" t="s">
        <v>21</v>
      </c>
      <c r="F139" s="8">
        <v>25</v>
      </c>
      <c r="G139" s="7">
        <v>115</v>
      </c>
      <c r="H139" s="7">
        <v>2875</v>
      </c>
      <c r="I139" s="4">
        <v>7.0000000000000007E-2</v>
      </c>
      <c r="J139" s="7">
        <v>2673.75</v>
      </c>
      <c r="K139" s="7">
        <f>Tabela1[[#This Row],[Valor Bruto]]-Tabela1[[#This Row],[Valor Venda]]</f>
        <v>201.25</v>
      </c>
      <c r="L139" s="1">
        <v>43930</v>
      </c>
      <c r="M139" s="1">
        <v>43930</v>
      </c>
      <c r="N139">
        <v>136</v>
      </c>
      <c r="O139">
        <v>1</v>
      </c>
      <c r="P139" t="s">
        <v>43</v>
      </c>
      <c r="Q139">
        <v>7.0000000000000007E-2</v>
      </c>
      <c r="R139" s="7">
        <v>187.16250000000002</v>
      </c>
      <c r="S139">
        <v>3</v>
      </c>
      <c r="T139" t="s">
        <v>110</v>
      </c>
    </row>
    <row r="140" spans="1:20">
      <c r="A140">
        <v>137</v>
      </c>
      <c r="B140" s="1">
        <v>43907</v>
      </c>
      <c r="C140">
        <v>80</v>
      </c>
      <c r="D140" t="s">
        <v>38</v>
      </c>
      <c r="E140" t="s">
        <v>46</v>
      </c>
      <c r="F140" s="8">
        <v>49</v>
      </c>
      <c r="G140" s="7">
        <v>107</v>
      </c>
      <c r="H140" s="7">
        <v>5243</v>
      </c>
      <c r="I140" s="4">
        <v>0.04</v>
      </c>
      <c r="J140" s="7">
        <v>5033.28</v>
      </c>
      <c r="K140" s="7">
        <f>Tabela1[[#This Row],[Valor Bruto]]-Tabela1[[#This Row],[Valor Venda]]</f>
        <v>209.72000000000025</v>
      </c>
      <c r="L140" s="1">
        <v>43930</v>
      </c>
      <c r="M140" s="1">
        <v>43930</v>
      </c>
      <c r="N140">
        <v>137</v>
      </c>
      <c r="O140">
        <v>3</v>
      </c>
      <c r="P140" t="s">
        <v>32</v>
      </c>
      <c r="Q140">
        <v>0.06</v>
      </c>
      <c r="R140" s="7">
        <v>301.99679999999995</v>
      </c>
      <c r="S140">
        <v>4</v>
      </c>
      <c r="T140" t="s">
        <v>110</v>
      </c>
    </row>
    <row r="141" spans="1:20">
      <c r="A141">
        <v>138</v>
      </c>
      <c r="B141" s="1">
        <v>43907</v>
      </c>
      <c r="C141">
        <v>94</v>
      </c>
      <c r="D141" t="s">
        <v>49</v>
      </c>
      <c r="E141" t="s">
        <v>50</v>
      </c>
      <c r="F141" s="8">
        <v>16</v>
      </c>
      <c r="G141" s="7">
        <v>106</v>
      </c>
      <c r="H141" s="7">
        <v>1696</v>
      </c>
      <c r="I141" s="4">
        <v>0.11</v>
      </c>
      <c r="J141" s="7">
        <v>1509.44</v>
      </c>
      <c r="K141" s="7">
        <f>Tabela1[[#This Row],[Valor Bruto]]-Tabela1[[#This Row],[Valor Venda]]</f>
        <v>186.55999999999995</v>
      </c>
      <c r="L141" s="1">
        <v>43924</v>
      </c>
      <c r="M141" s="1">
        <v>43924</v>
      </c>
      <c r="N141">
        <v>138</v>
      </c>
      <c r="O141">
        <v>7</v>
      </c>
      <c r="P141" t="s">
        <v>69</v>
      </c>
      <c r="Q141">
        <v>0.05</v>
      </c>
      <c r="R141" s="7">
        <v>75.472000000000008</v>
      </c>
      <c r="S141">
        <v>5</v>
      </c>
      <c r="T141" t="s">
        <v>110</v>
      </c>
    </row>
    <row r="142" spans="1:20">
      <c r="A142">
        <v>139</v>
      </c>
      <c r="B142" s="1">
        <v>43908</v>
      </c>
      <c r="C142">
        <v>80</v>
      </c>
      <c r="D142" t="s">
        <v>38</v>
      </c>
      <c r="E142" t="s">
        <v>59</v>
      </c>
      <c r="F142" s="8">
        <v>50</v>
      </c>
      <c r="G142" s="7">
        <v>119</v>
      </c>
      <c r="H142" s="7">
        <v>5950</v>
      </c>
      <c r="I142" s="4">
        <v>0.1</v>
      </c>
      <c r="J142" s="7">
        <v>5355</v>
      </c>
      <c r="K142" s="7">
        <f>Tabela1[[#This Row],[Valor Bruto]]-Tabela1[[#This Row],[Valor Venda]]</f>
        <v>595</v>
      </c>
      <c r="L142" s="1">
        <v>43911</v>
      </c>
      <c r="M142" s="1">
        <v>43911</v>
      </c>
      <c r="N142">
        <v>139</v>
      </c>
      <c r="O142">
        <v>3</v>
      </c>
      <c r="P142" t="s">
        <v>37</v>
      </c>
      <c r="Q142">
        <v>0.1</v>
      </c>
      <c r="R142" s="7">
        <v>535.5</v>
      </c>
      <c r="S142">
        <v>6</v>
      </c>
      <c r="T142" t="s">
        <v>110</v>
      </c>
    </row>
    <row r="143" spans="1:20">
      <c r="A143">
        <v>140</v>
      </c>
      <c r="B143" s="1">
        <v>43909</v>
      </c>
      <c r="C143">
        <v>73</v>
      </c>
      <c r="D143" t="s">
        <v>38</v>
      </c>
      <c r="E143" t="s">
        <v>41</v>
      </c>
      <c r="F143" s="8">
        <v>36</v>
      </c>
      <c r="G143" s="7">
        <v>111</v>
      </c>
      <c r="H143" s="7">
        <v>3996</v>
      </c>
      <c r="I143" s="4">
        <v>0.08</v>
      </c>
      <c r="J143" s="7">
        <v>3676.32</v>
      </c>
      <c r="K143" s="7">
        <f>Tabela1[[#This Row],[Valor Bruto]]-Tabela1[[#This Row],[Valor Venda]]</f>
        <v>319.67999999999984</v>
      </c>
      <c r="L143" s="1">
        <v>43931</v>
      </c>
      <c r="M143" s="1">
        <v>43931</v>
      </c>
      <c r="N143">
        <v>140</v>
      </c>
      <c r="O143">
        <v>1</v>
      </c>
      <c r="P143" t="s">
        <v>37</v>
      </c>
      <c r="Q143">
        <v>0.1</v>
      </c>
      <c r="R143" s="7">
        <v>367.63200000000006</v>
      </c>
      <c r="S143">
        <v>7</v>
      </c>
      <c r="T143" t="s">
        <v>110</v>
      </c>
    </row>
    <row r="144" spans="1:20">
      <c r="A144">
        <v>141</v>
      </c>
      <c r="B144" s="1">
        <v>43909</v>
      </c>
      <c r="C144">
        <v>17</v>
      </c>
      <c r="D144" t="s">
        <v>67</v>
      </c>
      <c r="E144" t="s">
        <v>59</v>
      </c>
      <c r="F144" s="8">
        <v>10</v>
      </c>
      <c r="G144" s="7">
        <v>96</v>
      </c>
      <c r="H144" s="7">
        <v>960</v>
      </c>
      <c r="I144" s="4">
        <v>0.1</v>
      </c>
      <c r="J144" s="7">
        <v>864</v>
      </c>
      <c r="K144" s="7">
        <f>Tabela1[[#This Row],[Valor Bruto]]-Tabela1[[#This Row],[Valor Venda]]</f>
        <v>96</v>
      </c>
      <c r="L144" s="1">
        <v>43922</v>
      </c>
      <c r="M144" s="1">
        <v>43922</v>
      </c>
      <c r="N144">
        <v>141</v>
      </c>
      <c r="O144">
        <v>2</v>
      </c>
      <c r="P144" t="s">
        <v>32</v>
      </c>
      <c r="Q144">
        <v>0.05</v>
      </c>
      <c r="R144" s="7">
        <v>43.2</v>
      </c>
      <c r="S144">
        <v>1</v>
      </c>
      <c r="T144" t="s">
        <v>110</v>
      </c>
    </row>
    <row r="145" spans="1:20">
      <c r="A145">
        <v>142</v>
      </c>
      <c r="B145" s="1">
        <v>43911</v>
      </c>
      <c r="C145">
        <v>14</v>
      </c>
      <c r="D145" t="s">
        <v>27</v>
      </c>
      <c r="E145" t="s">
        <v>50</v>
      </c>
      <c r="F145" s="8">
        <v>20</v>
      </c>
      <c r="G145" s="7">
        <v>113</v>
      </c>
      <c r="H145" s="7">
        <v>2260</v>
      </c>
      <c r="I145" s="4">
        <v>0.09</v>
      </c>
      <c r="J145" s="7">
        <v>2056.6</v>
      </c>
      <c r="K145" s="7">
        <f>Tabela1[[#This Row],[Valor Bruto]]-Tabela1[[#This Row],[Valor Venda]]</f>
        <v>203.40000000000009</v>
      </c>
      <c r="L145" s="1">
        <v>43913</v>
      </c>
      <c r="M145" s="1">
        <v>43913</v>
      </c>
      <c r="N145">
        <v>142</v>
      </c>
      <c r="O145">
        <v>6</v>
      </c>
      <c r="P145" t="s">
        <v>25</v>
      </c>
      <c r="Q145">
        <v>7.0000000000000007E-2</v>
      </c>
      <c r="R145" s="7">
        <v>143.96200000000002</v>
      </c>
      <c r="S145">
        <v>2</v>
      </c>
      <c r="T145" t="s">
        <v>110</v>
      </c>
    </row>
    <row r="146" spans="1:20">
      <c r="A146">
        <v>143</v>
      </c>
      <c r="B146" s="1">
        <v>43911</v>
      </c>
      <c r="C146">
        <v>16</v>
      </c>
      <c r="D146" t="s">
        <v>27</v>
      </c>
      <c r="E146" t="s">
        <v>46</v>
      </c>
      <c r="F146" s="8">
        <v>46</v>
      </c>
      <c r="G146" s="7">
        <v>98</v>
      </c>
      <c r="H146" s="7">
        <v>4508</v>
      </c>
      <c r="I146" s="4">
        <v>0</v>
      </c>
      <c r="J146" s="7">
        <v>4508</v>
      </c>
      <c r="K146" s="7">
        <f>Tabela1[[#This Row],[Valor Bruto]]-Tabela1[[#This Row],[Valor Venda]]</f>
        <v>0</v>
      </c>
      <c r="L146" s="1">
        <v>43932</v>
      </c>
      <c r="M146" s="1">
        <v>43932</v>
      </c>
      <c r="N146">
        <v>143</v>
      </c>
      <c r="O146">
        <v>1</v>
      </c>
      <c r="P146" t="s">
        <v>34</v>
      </c>
      <c r="Q146">
        <v>0.06</v>
      </c>
      <c r="R146" s="7">
        <v>270.48</v>
      </c>
      <c r="S146">
        <v>3</v>
      </c>
      <c r="T146" t="s">
        <v>110</v>
      </c>
    </row>
    <row r="147" spans="1:20">
      <c r="A147">
        <v>144</v>
      </c>
      <c r="B147" s="1">
        <v>43911</v>
      </c>
      <c r="C147">
        <v>41</v>
      </c>
      <c r="D147" t="s">
        <v>68</v>
      </c>
      <c r="E147" t="s">
        <v>41</v>
      </c>
      <c r="F147" s="8">
        <v>14</v>
      </c>
      <c r="G147" s="7">
        <v>92</v>
      </c>
      <c r="H147" s="7">
        <v>1288</v>
      </c>
      <c r="I147" s="4">
        <v>7.0000000000000007E-2</v>
      </c>
      <c r="J147" s="7">
        <v>1197.8399999999999</v>
      </c>
      <c r="K147" s="7">
        <f>Tabela1[[#This Row],[Valor Bruto]]-Tabela1[[#This Row],[Valor Venda]]</f>
        <v>90.160000000000082</v>
      </c>
      <c r="L147" s="1">
        <v>43927</v>
      </c>
      <c r="M147" s="1">
        <v>43927</v>
      </c>
      <c r="N147">
        <v>144</v>
      </c>
      <c r="O147">
        <v>7</v>
      </c>
      <c r="P147" t="s">
        <v>34</v>
      </c>
      <c r="Q147">
        <v>7.0000000000000007E-2</v>
      </c>
      <c r="R147" s="7">
        <v>83.848799999999997</v>
      </c>
      <c r="S147">
        <v>4</v>
      </c>
      <c r="T147" t="s">
        <v>110</v>
      </c>
    </row>
    <row r="148" spans="1:20">
      <c r="A148">
        <v>145</v>
      </c>
      <c r="B148" s="1">
        <v>43912</v>
      </c>
      <c r="C148">
        <v>34</v>
      </c>
      <c r="D148" t="s">
        <v>58</v>
      </c>
      <c r="E148" t="s">
        <v>50</v>
      </c>
      <c r="F148" s="8">
        <v>42</v>
      </c>
      <c r="G148" s="7">
        <v>91</v>
      </c>
      <c r="H148" s="7">
        <v>3822</v>
      </c>
      <c r="I148" s="4">
        <v>0.14000000000000001</v>
      </c>
      <c r="J148" s="7">
        <v>3286.92</v>
      </c>
      <c r="K148" s="7">
        <f>Tabela1[[#This Row],[Valor Bruto]]-Tabela1[[#This Row],[Valor Venda]]</f>
        <v>535.07999999999993</v>
      </c>
      <c r="L148" s="1">
        <v>43921</v>
      </c>
      <c r="M148" s="1">
        <v>43921</v>
      </c>
      <c r="N148">
        <v>145</v>
      </c>
      <c r="O148">
        <v>1</v>
      </c>
      <c r="P148" t="s">
        <v>47</v>
      </c>
      <c r="Q148">
        <v>0.06</v>
      </c>
      <c r="R148" s="7">
        <v>197.21520000000001</v>
      </c>
      <c r="S148">
        <v>5</v>
      </c>
      <c r="T148" t="s">
        <v>110</v>
      </c>
    </row>
    <row r="149" spans="1:20">
      <c r="A149">
        <v>146</v>
      </c>
      <c r="B149" s="1">
        <v>43912</v>
      </c>
      <c r="C149">
        <v>88</v>
      </c>
      <c r="D149" t="s">
        <v>38</v>
      </c>
      <c r="E149" t="s">
        <v>31</v>
      </c>
      <c r="F149" s="8">
        <v>49</v>
      </c>
      <c r="G149" s="7">
        <v>113</v>
      </c>
      <c r="H149" s="7">
        <v>5537</v>
      </c>
      <c r="I149" s="4">
        <v>0.02</v>
      </c>
      <c r="J149" s="7">
        <v>5426.26</v>
      </c>
      <c r="K149" s="7">
        <f>Tabela1[[#This Row],[Valor Bruto]]-Tabela1[[#This Row],[Valor Venda]]</f>
        <v>110.73999999999978</v>
      </c>
      <c r="L149" s="1">
        <v>43931</v>
      </c>
      <c r="M149" s="1">
        <v>43931</v>
      </c>
      <c r="N149">
        <v>146</v>
      </c>
      <c r="O149">
        <v>7</v>
      </c>
      <c r="P149" t="s">
        <v>52</v>
      </c>
      <c r="Q149">
        <v>0.08</v>
      </c>
      <c r="R149" s="7">
        <v>434.10080000000005</v>
      </c>
      <c r="S149">
        <v>6</v>
      </c>
      <c r="T149" t="s">
        <v>110</v>
      </c>
    </row>
    <row r="150" spans="1:20">
      <c r="A150">
        <v>147</v>
      </c>
      <c r="B150" s="1">
        <v>43912</v>
      </c>
      <c r="C150">
        <v>59</v>
      </c>
      <c r="D150" t="s">
        <v>97</v>
      </c>
      <c r="E150" t="s">
        <v>50</v>
      </c>
      <c r="F150" s="8">
        <v>50</v>
      </c>
      <c r="G150" s="7">
        <v>103</v>
      </c>
      <c r="H150" s="7">
        <v>5150</v>
      </c>
      <c r="I150" s="4">
        <v>0.02</v>
      </c>
      <c r="J150" s="7">
        <v>5047</v>
      </c>
      <c r="K150" s="7">
        <f>Tabela1[[#This Row],[Valor Bruto]]-Tabela1[[#This Row],[Valor Venda]]</f>
        <v>103</v>
      </c>
      <c r="L150" s="1">
        <v>43914</v>
      </c>
      <c r="M150" s="1">
        <v>43914</v>
      </c>
      <c r="N150">
        <v>147</v>
      </c>
      <c r="O150">
        <v>3</v>
      </c>
      <c r="P150" t="s">
        <v>37</v>
      </c>
      <c r="Q150">
        <v>0.06</v>
      </c>
      <c r="R150" s="7">
        <v>302.82</v>
      </c>
      <c r="S150">
        <v>7</v>
      </c>
      <c r="T150" t="s">
        <v>110</v>
      </c>
    </row>
    <row r="151" spans="1:20">
      <c r="A151">
        <v>148</v>
      </c>
      <c r="B151" s="1">
        <v>43912</v>
      </c>
      <c r="C151">
        <v>91</v>
      </c>
      <c r="D151" t="s">
        <v>62</v>
      </c>
      <c r="E151" t="s">
        <v>28</v>
      </c>
      <c r="F151" s="8">
        <v>34</v>
      </c>
      <c r="G151" s="7">
        <v>117</v>
      </c>
      <c r="H151" s="7">
        <v>3978</v>
      </c>
      <c r="I151" s="4">
        <v>0.14000000000000001</v>
      </c>
      <c r="J151" s="7">
        <v>3421.08</v>
      </c>
      <c r="K151" s="7">
        <f>Tabela1[[#This Row],[Valor Bruto]]-Tabela1[[#This Row],[Valor Venda]]</f>
        <v>556.92000000000007</v>
      </c>
      <c r="L151" s="1">
        <v>43913</v>
      </c>
      <c r="M151" s="1">
        <v>43913</v>
      </c>
      <c r="N151">
        <v>148</v>
      </c>
      <c r="O151">
        <v>6</v>
      </c>
      <c r="P151" t="s">
        <v>69</v>
      </c>
      <c r="Q151">
        <v>0.06</v>
      </c>
      <c r="R151" s="7">
        <v>205.26479999999998</v>
      </c>
      <c r="S151">
        <v>1</v>
      </c>
      <c r="T151" t="s">
        <v>110</v>
      </c>
    </row>
    <row r="152" spans="1:20">
      <c r="A152">
        <v>149</v>
      </c>
      <c r="B152" s="1">
        <v>43912</v>
      </c>
      <c r="C152">
        <v>54</v>
      </c>
      <c r="D152" t="s">
        <v>79</v>
      </c>
      <c r="E152" t="s">
        <v>28</v>
      </c>
      <c r="F152" s="8">
        <v>35</v>
      </c>
      <c r="G152" s="7">
        <v>93</v>
      </c>
      <c r="H152" s="7">
        <v>3255</v>
      </c>
      <c r="I152" s="4">
        <v>0.02</v>
      </c>
      <c r="J152" s="7">
        <v>3189.9</v>
      </c>
      <c r="K152" s="7">
        <f>Tabela1[[#This Row],[Valor Bruto]]-Tabela1[[#This Row],[Valor Venda]]</f>
        <v>65.099999999999909</v>
      </c>
      <c r="L152" s="1">
        <v>43934</v>
      </c>
      <c r="M152" s="1">
        <v>43934</v>
      </c>
      <c r="N152">
        <v>149</v>
      </c>
      <c r="O152">
        <v>6</v>
      </c>
      <c r="P152" t="s">
        <v>22</v>
      </c>
      <c r="Q152">
        <v>0.05</v>
      </c>
      <c r="R152" s="7">
        <v>159.495</v>
      </c>
      <c r="S152">
        <v>2</v>
      </c>
      <c r="T152" t="s">
        <v>110</v>
      </c>
    </row>
    <row r="153" spans="1:20">
      <c r="A153">
        <v>150</v>
      </c>
      <c r="B153" s="1">
        <v>43913</v>
      </c>
      <c r="C153">
        <v>71</v>
      </c>
      <c r="D153" t="s">
        <v>20</v>
      </c>
      <c r="E153" t="s">
        <v>28</v>
      </c>
      <c r="F153" s="8">
        <v>40</v>
      </c>
      <c r="G153" s="7">
        <v>113</v>
      </c>
      <c r="H153" s="7">
        <v>4520</v>
      </c>
      <c r="I153" s="4">
        <v>0</v>
      </c>
      <c r="J153" s="7">
        <v>4520</v>
      </c>
      <c r="K153" s="7">
        <f>Tabela1[[#This Row],[Valor Bruto]]-Tabela1[[#This Row],[Valor Venda]]</f>
        <v>0</v>
      </c>
      <c r="L153" s="1">
        <v>43942</v>
      </c>
      <c r="M153" s="1">
        <v>43942</v>
      </c>
      <c r="N153">
        <v>150</v>
      </c>
      <c r="O153">
        <v>6</v>
      </c>
      <c r="P153" t="s">
        <v>69</v>
      </c>
      <c r="Q153">
        <v>0.08</v>
      </c>
      <c r="R153" s="7">
        <v>361.6</v>
      </c>
      <c r="S153">
        <v>3</v>
      </c>
      <c r="T153" t="s">
        <v>110</v>
      </c>
    </row>
    <row r="154" spans="1:20">
      <c r="A154">
        <v>151</v>
      </c>
      <c r="B154" s="1">
        <v>43915</v>
      </c>
      <c r="C154">
        <v>29</v>
      </c>
      <c r="D154" t="s">
        <v>98</v>
      </c>
      <c r="E154" t="s">
        <v>54</v>
      </c>
      <c r="F154" s="8">
        <v>14</v>
      </c>
      <c r="G154" s="7">
        <v>119</v>
      </c>
      <c r="H154" s="7">
        <v>1666</v>
      </c>
      <c r="I154" s="4">
        <v>7.0000000000000007E-2</v>
      </c>
      <c r="J154" s="7">
        <v>1549.38</v>
      </c>
      <c r="K154" s="7">
        <f>Tabela1[[#This Row],[Valor Bruto]]-Tabela1[[#This Row],[Valor Venda]]</f>
        <v>116.61999999999989</v>
      </c>
      <c r="L154" s="1">
        <v>43933</v>
      </c>
      <c r="M154" s="1">
        <v>43933</v>
      </c>
      <c r="N154">
        <v>151</v>
      </c>
      <c r="O154">
        <v>3</v>
      </c>
      <c r="P154" t="s">
        <v>29</v>
      </c>
      <c r="Q154">
        <v>0.05</v>
      </c>
      <c r="R154" s="7">
        <v>77.469000000000008</v>
      </c>
      <c r="S154">
        <v>4</v>
      </c>
      <c r="T154" t="s">
        <v>110</v>
      </c>
    </row>
    <row r="155" spans="1:20">
      <c r="A155">
        <v>152</v>
      </c>
      <c r="B155" s="1">
        <v>43915</v>
      </c>
      <c r="C155">
        <v>91</v>
      </c>
      <c r="D155" t="s">
        <v>62</v>
      </c>
      <c r="E155" t="s">
        <v>59</v>
      </c>
      <c r="F155" s="8">
        <v>11</v>
      </c>
      <c r="G155" s="7">
        <v>109</v>
      </c>
      <c r="H155" s="7">
        <v>1199</v>
      </c>
      <c r="I155" s="4">
        <v>0.06</v>
      </c>
      <c r="J155" s="7">
        <v>1127.06</v>
      </c>
      <c r="K155" s="7">
        <f>Tabela1[[#This Row],[Valor Bruto]]-Tabela1[[#This Row],[Valor Venda]]</f>
        <v>71.940000000000055</v>
      </c>
      <c r="L155" s="1">
        <v>43922</v>
      </c>
      <c r="M155" s="1">
        <v>43922</v>
      </c>
      <c r="N155">
        <v>152</v>
      </c>
      <c r="O155">
        <v>1</v>
      </c>
      <c r="P155" t="s">
        <v>47</v>
      </c>
      <c r="Q155">
        <v>0.08</v>
      </c>
      <c r="R155" s="7">
        <v>90.1648</v>
      </c>
      <c r="S155">
        <v>5</v>
      </c>
      <c r="T155" t="s">
        <v>110</v>
      </c>
    </row>
    <row r="156" spans="1:20">
      <c r="A156">
        <v>153</v>
      </c>
      <c r="B156" s="1">
        <v>43915</v>
      </c>
      <c r="C156">
        <v>36</v>
      </c>
      <c r="D156" t="s">
        <v>70</v>
      </c>
      <c r="E156" t="s">
        <v>46</v>
      </c>
      <c r="F156" s="8">
        <v>34</v>
      </c>
      <c r="G156" s="7">
        <v>112</v>
      </c>
      <c r="H156" s="7">
        <v>3808</v>
      </c>
      <c r="I156" s="4">
        <v>0.12</v>
      </c>
      <c r="J156" s="7">
        <v>3351.04</v>
      </c>
      <c r="K156" s="7">
        <f>Tabela1[[#This Row],[Valor Bruto]]-Tabela1[[#This Row],[Valor Venda]]</f>
        <v>456.96000000000004</v>
      </c>
      <c r="L156" s="1">
        <v>43929</v>
      </c>
      <c r="M156" s="1">
        <v>43929</v>
      </c>
      <c r="N156">
        <v>153</v>
      </c>
      <c r="O156">
        <v>1</v>
      </c>
      <c r="P156" t="s">
        <v>34</v>
      </c>
      <c r="Q156">
        <v>0.05</v>
      </c>
      <c r="R156" s="7">
        <v>167.55200000000002</v>
      </c>
      <c r="S156">
        <v>6</v>
      </c>
      <c r="T156" t="s">
        <v>110</v>
      </c>
    </row>
    <row r="157" spans="1:20">
      <c r="A157">
        <v>154</v>
      </c>
      <c r="B157" s="1">
        <v>43915</v>
      </c>
      <c r="C157">
        <v>71</v>
      </c>
      <c r="D157" t="s">
        <v>20</v>
      </c>
      <c r="E157" t="s">
        <v>50</v>
      </c>
      <c r="F157" s="8">
        <v>23</v>
      </c>
      <c r="G157" s="7">
        <v>117</v>
      </c>
      <c r="H157" s="7">
        <v>2691</v>
      </c>
      <c r="I157" s="4">
        <v>0.03</v>
      </c>
      <c r="J157" s="7">
        <v>2610.27</v>
      </c>
      <c r="K157" s="7">
        <f>Tabela1[[#This Row],[Valor Bruto]]-Tabela1[[#This Row],[Valor Venda]]</f>
        <v>80.730000000000018</v>
      </c>
      <c r="L157" s="1">
        <v>43945</v>
      </c>
      <c r="M157" s="1">
        <v>43945</v>
      </c>
      <c r="N157">
        <v>154</v>
      </c>
      <c r="O157">
        <v>4</v>
      </c>
      <c r="P157" t="s">
        <v>29</v>
      </c>
      <c r="Q157">
        <v>0.08</v>
      </c>
      <c r="R157" s="7">
        <v>208.82159999999999</v>
      </c>
      <c r="S157">
        <v>7</v>
      </c>
      <c r="T157" t="s">
        <v>110</v>
      </c>
    </row>
    <row r="158" spans="1:20">
      <c r="A158">
        <v>155</v>
      </c>
      <c r="B158" s="1">
        <v>43915</v>
      </c>
      <c r="C158">
        <v>4</v>
      </c>
      <c r="D158" t="s">
        <v>86</v>
      </c>
      <c r="E158" t="s">
        <v>41</v>
      </c>
      <c r="F158" s="8">
        <v>31</v>
      </c>
      <c r="G158" s="7">
        <v>94</v>
      </c>
      <c r="H158" s="7">
        <v>2914</v>
      </c>
      <c r="I158" s="4">
        <v>0.11</v>
      </c>
      <c r="J158" s="7">
        <v>2593.46</v>
      </c>
      <c r="K158" s="7">
        <f>Tabela1[[#This Row],[Valor Bruto]]-Tabela1[[#This Row],[Valor Venda]]</f>
        <v>320.53999999999996</v>
      </c>
      <c r="L158" s="1">
        <v>43926</v>
      </c>
      <c r="M158" s="1">
        <v>43926</v>
      </c>
      <c r="N158">
        <v>155</v>
      </c>
      <c r="O158">
        <v>3</v>
      </c>
      <c r="P158" t="s">
        <v>22</v>
      </c>
      <c r="Q158">
        <v>0.1</v>
      </c>
      <c r="R158" s="7">
        <v>259.346</v>
      </c>
      <c r="S158">
        <v>1</v>
      </c>
      <c r="T158" t="s">
        <v>110</v>
      </c>
    </row>
    <row r="159" spans="1:20">
      <c r="A159">
        <v>156</v>
      </c>
      <c r="B159" s="1">
        <v>43915</v>
      </c>
      <c r="C159">
        <v>75</v>
      </c>
      <c r="D159" t="s">
        <v>38</v>
      </c>
      <c r="E159" t="s">
        <v>59</v>
      </c>
      <c r="F159" s="8">
        <v>42</v>
      </c>
      <c r="G159" s="7">
        <v>98</v>
      </c>
      <c r="H159" s="7">
        <v>4116</v>
      </c>
      <c r="I159" s="4">
        <v>0.15</v>
      </c>
      <c r="J159" s="7">
        <v>3498.6</v>
      </c>
      <c r="K159" s="7">
        <f>Tabela1[[#This Row],[Valor Bruto]]-Tabela1[[#This Row],[Valor Venda]]</f>
        <v>617.40000000000009</v>
      </c>
      <c r="L159" s="1">
        <v>43917</v>
      </c>
      <c r="M159" s="1">
        <v>43917</v>
      </c>
      <c r="N159">
        <v>156</v>
      </c>
      <c r="O159">
        <v>6</v>
      </c>
      <c r="P159" t="s">
        <v>34</v>
      </c>
      <c r="Q159">
        <v>0.08</v>
      </c>
      <c r="R159" s="7">
        <v>279.88799999999998</v>
      </c>
      <c r="S159">
        <v>2</v>
      </c>
      <c r="T159" t="s">
        <v>110</v>
      </c>
    </row>
    <row r="160" spans="1:20">
      <c r="A160">
        <v>157</v>
      </c>
      <c r="B160" s="1">
        <v>43917</v>
      </c>
      <c r="C160">
        <v>12</v>
      </c>
      <c r="D160" t="s">
        <v>45</v>
      </c>
      <c r="E160" t="s">
        <v>46</v>
      </c>
      <c r="F160" s="8">
        <v>48</v>
      </c>
      <c r="G160" s="7">
        <v>109</v>
      </c>
      <c r="H160" s="7">
        <v>5232</v>
      </c>
      <c r="I160" s="4">
        <v>0.04</v>
      </c>
      <c r="J160" s="7">
        <v>5022.72</v>
      </c>
      <c r="K160" s="7">
        <f>Tabela1[[#This Row],[Valor Bruto]]-Tabela1[[#This Row],[Valor Venda]]</f>
        <v>209.27999999999975</v>
      </c>
      <c r="L160" s="1">
        <v>43945</v>
      </c>
      <c r="M160" s="1">
        <v>43945</v>
      </c>
      <c r="N160">
        <v>157</v>
      </c>
      <c r="O160">
        <v>1</v>
      </c>
      <c r="P160" t="s">
        <v>22</v>
      </c>
      <c r="Q160">
        <v>0.08</v>
      </c>
      <c r="R160" s="7">
        <v>401.81760000000003</v>
      </c>
      <c r="S160">
        <v>3</v>
      </c>
      <c r="T160" t="s">
        <v>110</v>
      </c>
    </row>
    <row r="161" spans="1:20">
      <c r="A161">
        <v>158</v>
      </c>
      <c r="B161" s="1">
        <v>43918</v>
      </c>
      <c r="C161">
        <v>97</v>
      </c>
      <c r="D161" t="s">
        <v>66</v>
      </c>
      <c r="E161" t="s">
        <v>28</v>
      </c>
      <c r="F161" s="8">
        <v>16</v>
      </c>
      <c r="G161" s="7">
        <v>97</v>
      </c>
      <c r="H161" s="7">
        <v>1552</v>
      </c>
      <c r="I161" s="4">
        <v>0.09</v>
      </c>
      <c r="J161" s="7">
        <v>1412.32</v>
      </c>
      <c r="K161" s="7">
        <f>Tabela1[[#This Row],[Valor Bruto]]-Tabela1[[#This Row],[Valor Venda]]</f>
        <v>139.68000000000006</v>
      </c>
      <c r="L161" s="1">
        <v>43942</v>
      </c>
      <c r="M161" s="1">
        <v>43942</v>
      </c>
      <c r="N161">
        <v>158</v>
      </c>
      <c r="O161">
        <v>6</v>
      </c>
      <c r="P161" t="s">
        <v>22</v>
      </c>
      <c r="Q161">
        <v>0.06</v>
      </c>
      <c r="R161" s="7">
        <v>84.739199999999997</v>
      </c>
      <c r="S161">
        <v>4</v>
      </c>
      <c r="T161" t="s">
        <v>110</v>
      </c>
    </row>
    <row r="162" spans="1:20">
      <c r="A162">
        <v>159</v>
      </c>
      <c r="B162" s="1">
        <v>43918</v>
      </c>
      <c r="C162">
        <v>38</v>
      </c>
      <c r="D162" t="s">
        <v>73</v>
      </c>
      <c r="E162" t="s">
        <v>50</v>
      </c>
      <c r="F162" s="8">
        <v>50</v>
      </c>
      <c r="G162" s="7">
        <v>111</v>
      </c>
      <c r="H162" s="7">
        <v>5550</v>
      </c>
      <c r="I162" s="4">
        <v>0.1</v>
      </c>
      <c r="J162" s="7">
        <v>4995</v>
      </c>
      <c r="K162" s="7">
        <f>Tabela1[[#This Row],[Valor Bruto]]-Tabela1[[#This Row],[Valor Venda]]</f>
        <v>555</v>
      </c>
      <c r="L162" s="1">
        <v>43946</v>
      </c>
      <c r="M162" s="1">
        <v>43946</v>
      </c>
      <c r="N162">
        <v>159</v>
      </c>
      <c r="O162">
        <v>1</v>
      </c>
      <c r="P162" t="s">
        <v>25</v>
      </c>
      <c r="Q162">
        <v>0.05</v>
      </c>
      <c r="R162" s="7">
        <v>249.75</v>
      </c>
      <c r="S162">
        <v>5</v>
      </c>
      <c r="T162" t="s">
        <v>110</v>
      </c>
    </row>
    <row r="163" spans="1:20">
      <c r="A163">
        <v>160</v>
      </c>
      <c r="B163" s="1">
        <v>43918</v>
      </c>
      <c r="C163">
        <v>16</v>
      </c>
      <c r="D163" t="s">
        <v>27</v>
      </c>
      <c r="E163" t="s">
        <v>50</v>
      </c>
      <c r="F163" s="8">
        <v>45</v>
      </c>
      <c r="G163" s="7">
        <v>90</v>
      </c>
      <c r="H163" s="7">
        <v>4050</v>
      </c>
      <c r="I163" s="4">
        <v>0.04</v>
      </c>
      <c r="J163" s="7">
        <v>3888</v>
      </c>
      <c r="K163" s="7">
        <f>Tabela1[[#This Row],[Valor Bruto]]-Tabela1[[#This Row],[Valor Venda]]</f>
        <v>162</v>
      </c>
      <c r="L163" s="1">
        <v>43927</v>
      </c>
      <c r="M163" s="1">
        <v>43927</v>
      </c>
      <c r="N163">
        <v>160</v>
      </c>
      <c r="O163">
        <v>6</v>
      </c>
      <c r="P163" t="s">
        <v>32</v>
      </c>
      <c r="Q163">
        <v>7.0000000000000007E-2</v>
      </c>
      <c r="R163" s="7">
        <v>272.16000000000003</v>
      </c>
      <c r="S163">
        <v>6</v>
      </c>
      <c r="T163" t="s">
        <v>110</v>
      </c>
    </row>
    <row r="164" spans="1:20">
      <c r="A164">
        <v>161</v>
      </c>
      <c r="B164" s="1">
        <v>43918</v>
      </c>
      <c r="C164">
        <v>90</v>
      </c>
      <c r="D164" t="s">
        <v>60</v>
      </c>
      <c r="E164" t="s">
        <v>50</v>
      </c>
      <c r="F164" s="8">
        <v>28</v>
      </c>
      <c r="G164" s="7">
        <v>91</v>
      </c>
      <c r="H164" s="7">
        <v>2548</v>
      </c>
      <c r="I164" s="4">
        <v>0.13</v>
      </c>
      <c r="J164" s="7">
        <v>2216.7600000000002</v>
      </c>
      <c r="K164" s="7">
        <f>Tabela1[[#This Row],[Valor Bruto]]-Tabela1[[#This Row],[Valor Venda]]</f>
        <v>331.23999999999978</v>
      </c>
      <c r="L164" s="1">
        <v>43924</v>
      </c>
      <c r="M164" s="1">
        <v>43924</v>
      </c>
      <c r="N164">
        <v>161</v>
      </c>
      <c r="O164">
        <v>7</v>
      </c>
      <c r="P164" t="s">
        <v>25</v>
      </c>
      <c r="Q164">
        <v>7.0000000000000007E-2</v>
      </c>
      <c r="R164" s="7">
        <v>155.17320000000004</v>
      </c>
      <c r="S164">
        <v>7</v>
      </c>
      <c r="T164" t="s">
        <v>110</v>
      </c>
    </row>
    <row r="165" spans="1:20">
      <c r="A165">
        <v>162</v>
      </c>
      <c r="B165" s="1">
        <v>43919</v>
      </c>
      <c r="C165">
        <v>73</v>
      </c>
      <c r="D165" t="s">
        <v>38</v>
      </c>
      <c r="E165" t="s">
        <v>24</v>
      </c>
      <c r="F165" s="8">
        <v>25</v>
      </c>
      <c r="G165" s="7">
        <v>115</v>
      </c>
      <c r="H165" s="7">
        <v>2875</v>
      </c>
      <c r="I165" s="4">
        <v>0.13</v>
      </c>
      <c r="J165" s="7">
        <v>2501.25</v>
      </c>
      <c r="K165" s="7">
        <f>Tabela1[[#This Row],[Valor Bruto]]-Tabela1[[#This Row],[Valor Venda]]</f>
        <v>373.75</v>
      </c>
      <c r="L165" s="1">
        <v>43940</v>
      </c>
      <c r="M165" s="1">
        <v>43940</v>
      </c>
      <c r="N165">
        <v>162</v>
      </c>
      <c r="O165">
        <v>4</v>
      </c>
      <c r="P165" t="s">
        <v>32</v>
      </c>
      <c r="Q165">
        <v>0.09</v>
      </c>
      <c r="R165" s="7">
        <v>225.11249999999998</v>
      </c>
      <c r="S165">
        <v>1</v>
      </c>
      <c r="T165" t="s">
        <v>110</v>
      </c>
    </row>
    <row r="166" spans="1:20">
      <c r="A166">
        <v>163</v>
      </c>
      <c r="B166" s="1">
        <v>43920</v>
      </c>
      <c r="C166">
        <v>34</v>
      </c>
      <c r="D166" t="s">
        <v>58</v>
      </c>
      <c r="E166" t="s">
        <v>31</v>
      </c>
      <c r="F166" s="8">
        <v>39</v>
      </c>
      <c r="G166" s="7">
        <v>106</v>
      </c>
      <c r="H166" s="7">
        <v>4134</v>
      </c>
      <c r="I166" s="4">
        <v>0.05</v>
      </c>
      <c r="J166" s="7">
        <v>3927.3</v>
      </c>
      <c r="K166" s="7">
        <f>Tabela1[[#This Row],[Valor Bruto]]-Tabela1[[#This Row],[Valor Venda]]</f>
        <v>206.69999999999982</v>
      </c>
      <c r="L166" s="1">
        <v>43944</v>
      </c>
      <c r="M166" s="1">
        <v>43944</v>
      </c>
      <c r="N166">
        <v>163</v>
      </c>
      <c r="O166">
        <v>3</v>
      </c>
      <c r="P166" t="s">
        <v>52</v>
      </c>
      <c r="Q166">
        <v>0.1</v>
      </c>
      <c r="R166" s="7">
        <v>392.73</v>
      </c>
      <c r="S166">
        <v>2</v>
      </c>
      <c r="T166" t="s">
        <v>110</v>
      </c>
    </row>
    <row r="167" spans="1:20">
      <c r="A167">
        <v>164</v>
      </c>
      <c r="B167" s="1">
        <v>43920</v>
      </c>
      <c r="C167">
        <v>79</v>
      </c>
      <c r="D167" t="s">
        <v>33</v>
      </c>
      <c r="E167" t="s">
        <v>59</v>
      </c>
      <c r="F167" s="8">
        <v>15</v>
      </c>
      <c r="G167" s="7">
        <v>100</v>
      </c>
      <c r="H167" s="7">
        <v>1500</v>
      </c>
      <c r="I167" s="4">
        <v>7.0000000000000007E-2</v>
      </c>
      <c r="J167" s="7">
        <v>1395</v>
      </c>
      <c r="K167" s="7">
        <f>Tabela1[[#This Row],[Valor Bruto]]-Tabela1[[#This Row],[Valor Venda]]</f>
        <v>105</v>
      </c>
      <c r="L167" s="1">
        <v>43946</v>
      </c>
      <c r="M167" s="1">
        <v>43946</v>
      </c>
      <c r="N167">
        <v>164</v>
      </c>
      <c r="O167">
        <v>4</v>
      </c>
      <c r="P167" t="s">
        <v>47</v>
      </c>
      <c r="Q167">
        <v>0.09</v>
      </c>
      <c r="R167" s="7">
        <v>125.55</v>
      </c>
      <c r="S167">
        <v>3</v>
      </c>
      <c r="T167" t="s">
        <v>110</v>
      </c>
    </row>
    <row r="168" spans="1:20">
      <c r="A168">
        <v>165</v>
      </c>
      <c r="B168" s="1">
        <v>43921</v>
      </c>
      <c r="C168">
        <v>78</v>
      </c>
      <c r="D168" t="s">
        <v>36</v>
      </c>
      <c r="E168" t="s">
        <v>28</v>
      </c>
      <c r="F168" s="8">
        <v>21</v>
      </c>
      <c r="G168" s="7">
        <v>119</v>
      </c>
      <c r="H168" s="7">
        <v>2499</v>
      </c>
      <c r="I168" s="4">
        <v>0.02</v>
      </c>
      <c r="J168" s="7">
        <v>2449.02</v>
      </c>
      <c r="K168" s="7">
        <f>Tabela1[[#This Row],[Valor Bruto]]-Tabela1[[#This Row],[Valor Venda]]</f>
        <v>49.980000000000018</v>
      </c>
      <c r="L168" s="1">
        <v>43942</v>
      </c>
      <c r="M168" s="1">
        <v>43942</v>
      </c>
      <c r="N168">
        <v>165</v>
      </c>
      <c r="O168">
        <v>4</v>
      </c>
      <c r="P168" t="s">
        <v>69</v>
      </c>
      <c r="Q168">
        <v>0.06</v>
      </c>
      <c r="R168" s="7">
        <v>146.94119999999998</v>
      </c>
      <c r="S168">
        <v>4</v>
      </c>
      <c r="T168" t="s">
        <v>110</v>
      </c>
    </row>
    <row r="169" spans="1:20">
      <c r="A169">
        <v>166</v>
      </c>
      <c r="B169" s="1">
        <v>43921</v>
      </c>
      <c r="C169">
        <v>19</v>
      </c>
      <c r="D169" t="s">
        <v>38</v>
      </c>
      <c r="E169" t="s">
        <v>31</v>
      </c>
      <c r="F169" s="8">
        <v>14</v>
      </c>
      <c r="G169" s="7">
        <v>116</v>
      </c>
      <c r="H169" s="7">
        <v>1624</v>
      </c>
      <c r="I169" s="4">
        <v>7.0000000000000007E-2</v>
      </c>
      <c r="J169" s="7">
        <v>1510.32</v>
      </c>
      <c r="K169" s="7">
        <f>Tabela1[[#This Row],[Valor Bruto]]-Tabela1[[#This Row],[Valor Venda]]</f>
        <v>113.68000000000006</v>
      </c>
      <c r="L169" s="1">
        <v>43929</v>
      </c>
      <c r="M169" s="1">
        <v>43929</v>
      </c>
      <c r="N169">
        <v>166</v>
      </c>
      <c r="O169">
        <v>3</v>
      </c>
      <c r="P169" t="s">
        <v>47</v>
      </c>
      <c r="Q169">
        <v>7.0000000000000007E-2</v>
      </c>
      <c r="R169" s="7">
        <v>105.72240000000001</v>
      </c>
      <c r="S169">
        <v>5</v>
      </c>
      <c r="T169" t="s">
        <v>110</v>
      </c>
    </row>
    <row r="170" spans="1:20">
      <c r="A170">
        <v>167</v>
      </c>
      <c r="B170" s="1">
        <v>43921</v>
      </c>
      <c r="C170">
        <v>72</v>
      </c>
      <c r="D170" t="s">
        <v>38</v>
      </c>
      <c r="E170" t="s">
        <v>41</v>
      </c>
      <c r="F170" s="8">
        <v>24</v>
      </c>
      <c r="G170" s="7">
        <v>98</v>
      </c>
      <c r="H170" s="7">
        <v>2352</v>
      </c>
      <c r="I170" s="4">
        <v>0.1</v>
      </c>
      <c r="J170" s="7">
        <v>2116.8000000000002</v>
      </c>
      <c r="K170" s="7">
        <f>Tabela1[[#This Row],[Valor Bruto]]-Tabela1[[#This Row],[Valor Venda]]</f>
        <v>235.19999999999982</v>
      </c>
      <c r="L170" s="1">
        <v>43931</v>
      </c>
      <c r="M170" s="1">
        <v>43931</v>
      </c>
      <c r="N170">
        <v>167</v>
      </c>
      <c r="O170">
        <v>6</v>
      </c>
      <c r="P170" t="s">
        <v>32</v>
      </c>
      <c r="Q170">
        <v>0.09</v>
      </c>
      <c r="R170" s="7">
        <v>190.512</v>
      </c>
      <c r="S170">
        <v>6</v>
      </c>
      <c r="T170" t="s">
        <v>110</v>
      </c>
    </row>
    <row r="171" spans="1:20">
      <c r="A171">
        <v>168</v>
      </c>
      <c r="B171" s="1">
        <v>43921</v>
      </c>
      <c r="C171">
        <v>63</v>
      </c>
      <c r="D171" t="s">
        <v>80</v>
      </c>
      <c r="E171" t="s">
        <v>31</v>
      </c>
      <c r="F171" s="8">
        <v>27</v>
      </c>
      <c r="G171" s="7">
        <v>116</v>
      </c>
      <c r="H171" s="7">
        <v>3132</v>
      </c>
      <c r="I171" s="4">
        <v>0</v>
      </c>
      <c r="J171" s="7">
        <v>3132</v>
      </c>
      <c r="K171" s="7">
        <f>Tabela1[[#This Row],[Valor Bruto]]-Tabela1[[#This Row],[Valor Venda]]</f>
        <v>0</v>
      </c>
      <c r="L171" s="1">
        <v>43937</v>
      </c>
      <c r="M171" s="1">
        <v>43937</v>
      </c>
      <c r="N171">
        <v>168</v>
      </c>
      <c r="O171">
        <v>6</v>
      </c>
      <c r="P171" t="s">
        <v>22</v>
      </c>
      <c r="Q171">
        <v>0.05</v>
      </c>
      <c r="R171" s="7">
        <v>156.60000000000002</v>
      </c>
      <c r="S171">
        <v>7</v>
      </c>
      <c r="T171" t="s">
        <v>110</v>
      </c>
    </row>
    <row r="172" spans="1:20">
      <c r="A172">
        <v>169</v>
      </c>
      <c r="B172" s="1">
        <v>43922</v>
      </c>
      <c r="C172">
        <v>90</v>
      </c>
      <c r="D172" t="s">
        <v>60</v>
      </c>
      <c r="E172" t="s">
        <v>28</v>
      </c>
      <c r="F172" s="8">
        <v>31</v>
      </c>
      <c r="G172" s="7">
        <v>103</v>
      </c>
      <c r="H172" s="7">
        <v>3193</v>
      </c>
      <c r="I172" s="4">
        <v>0.11</v>
      </c>
      <c r="J172" s="7">
        <v>2841.77</v>
      </c>
      <c r="K172" s="7">
        <f>Tabela1[[#This Row],[Valor Bruto]]-Tabela1[[#This Row],[Valor Venda]]</f>
        <v>351.23</v>
      </c>
      <c r="L172" s="1">
        <v>43922</v>
      </c>
      <c r="M172" s="1">
        <v>43922</v>
      </c>
      <c r="N172">
        <v>169</v>
      </c>
      <c r="O172">
        <v>5</v>
      </c>
      <c r="P172" t="s">
        <v>29</v>
      </c>
      <c r="Q172">
        <v>0.1</v>
      </c>
      <c r="R172" s="7">
        <v>284.17700000000002</v>
      </c>
      <c r="S172">
        <v>1</v>
      </c>
      <c r="T172" t="s">
        <v>111</v>
      </c>
    </row>
    <row r="173" spans="1:20">
      <c r="A173">
        <v>170</v>
      </c>
      <c r="B173" s="1">
        <v>43922</v>
      </c>
      <c r="C173">
        <v>26</v>
      </c>
      <c r="D173" t="s">
        <v>95</v>
      </c>
      <c r="E173" t="s">
        <v>50</v>
      </c>
      <c r="F173" s="8">
        <v>44</v>
      </c>
      <c r="G173" s="7">
        <v>114</v>
      </c>
      <c r="H173" s="7">
        <v>5016</v>
      </c>
      <c r="I173" s="4">
        <v>0.01</v>
      </c>
      <c r="J173" s="7">
        <v>4965.84</v>
      </c>
      <c r="K173" s="7">
        <f>Tabela1[[#This Row],[Valor Bruto]]-Tabela1[[#This Row],[Valor Venda]]</f>
        <v>50.159999999999854</v>
      </c>
      <c r="L173" s="1">
        <v>43944</v>
      </c>
      <c r="M173" s="1">
        <v>43944</v>
      </c>
      <c r="N173">
        <v>170</v>
      </c>
      <c r="O173">
        <v>4</v>
      </c>
      <c r="P173" t="s">
        <v>37</v>
      </c>
      <c r="Q173">
        <v>0.05</v>
      </c>
      <c r="R173" s="7">
        <v>248.29200000000003</v>
      </c>
      <c r="S173">
        <v>2</v>
      </c>
      <c r="T173" t="s">
        <v>111</v>
      </c>
    </row>
    <row r="174" spans="1:20">
      <c r="A174">
        <v>171</v>
      </c>
      <c r="B174" s="1">
        <v>43922</v>
      </c>
      <c r="C174">
        <v>86</v>
      </c>
      <c r="D174" t="s">
        <v>90</v>
      </c>
      <c r="E174" t="s">
        <v>55</v>
      </c>
      <c r="F174" s="8">
        <v>10</v>
      </c>
      <c r="G174" s="7">
        <v>93</v>
      </c>
      <c r="H174" s="7">
        <v>930</v>
      </c>
      <c r="I174" s="4">
        <v>0.1</v>
      </c>
      <c r="J174" s="7">
        <v>837</v>
      </c>
      <c r="K174" s="7">
        <f>Tabela1[[#This Row],[Valor Bruto]]-Tabela1[[#This Row],[Valor Venda]]</f>
        <v>93</v>
      </c>
      <c r="L174" s="1">
        <v>43927</v>
      </c>
      <c r="M174" s="1">
        <v>43927</v>
      </c>
      <c r="N174">
        <v>171</v>
      </c>
      <c r="O174">
        <v>7</v>
      </c>
      <c r="P174" t="s">
        <v>29</v>
      </c>
      <c r="Q174">
        <v>7.0000000000000007E-2</v>
      </c>
      <c r="R174" s="7">
        <v>58.59</v>
      </c>
      <c r="S174">
        <v>3</v>
      </c>
      <c r="T174" t="s">
        <v>111</v>
      </c>
    </row>
    <row r="175" spans="1:20">
      <c r="A175">
        <v>172</v>
      </c>
      <c r="B175" s="1">
        <v>43922</v>
      </c>
      <c r="C175">
        <v>4</v>
      </c>
      <c r="D175" t="s">
        <v>86</v>
      </c>
      <c r="E175" t="s">
        <v>55</v>
      </c>
      <c r="F175" s="8">
        <v>22</v>
      </c>
      <c r="G175" s="7">
        <v>116</v>
      </c>
      <c r="H175" s="7">
        <v>2552</v>
      </c>
      <c r="I175" s="4">
        <v>0.03</v>
      </c>
      <c r="J175" s="7">
        <v>2475.44</v>
      </c>
      <c r="K175" s="7">
        <f>Tabela1[[#This Row],[Valor Bruto]]-Tabela1[[#This Row],[Valor Venda]]</f>
        <v>76.559999999999945</v>
      </c>
      <c r="L175" s="1">
        <v>43938</v>
      </c>
      <c r="M175" s="1">
        <v>43938</v>
      </c>
      <c r="N175">
        <v>172</v>
      </c>
      <c r="O175">
        <v>3</v>
      </c>
      <c r="P175" t="s">
        <v>32</v>
      </c>
      <c r="Q175">
        <v>0.06</v>
      </c>
      <c r="R175" s="7">
        <v>148.5264</v>
      </c>
      <c r="S175">
        <v>4</v>
      </c>
      <c r="T175" t="s">
        <v>111</v>
      </c>
    </row>
    <row r="176" spans="1:20">
      <c r="A176">
        <v>173</v>
      </c>
      <c r="B176" s="1">
        <v>43922</v>
      </c>
      <c r="C176">
        <v>88</v>
      </c>
      <c r="D176" t="s">
        <v>38</v>
      </c>
      <c r="E176" t="s">
        <v>28</v>
      </c>
      <c r="F176" s="8">
        <v>49</v>
      </c>
      <c r="G176" s="7">
        <v>109</v>
      </c>
      <c r="H176" s="7">
        <v>5341</v>
      </c>
      <c r="I176" s="4">
        <v>0.01</v>
      </c>
      <c r="J176" s="7">
        <v>5287.59</v>
      </c>
      <c r="K176" s="7">
        <f>Tabela1[[#This Row],[Valor Bruto]]-Tabela1[[#This Row],[Valor Venda]]</f>
        <v>53.409999999999854</v>
      </c>
      <c r="L176" s="1">
        <v>43922</v>
      </c>
      <c r="M176" s="1">
        <v>43922</v>
      </c>
      <c r="N176">
        <v>173</v>
      </c>
      <c r="O176">
        <v>3</v>
      </c>
      <c r="P176" t="s">
        <v>25</v>
      </c>
      <c r="Q176">
        <v>0.09</v>
      </c>
      <c r="R176" s="7">
        <v>475.88310000000001</v>
      </c>
      <c r="S176">
        <v>5</v>
      </c>
      <c r="T176" t="s">
        <v>111</v>
      </c>
    </row>
    <row r="177" spans="1:20">
      <c r="A177">
        <v>174</v>
      </c>
      <c r="B177" s="1">
        <v>43923</v>
      </c>
      <c r="C177">
        <v>64</v>
      </c>
      <c r="D177" t="s">
        <v>78</v>
      </c>
      <c r="E177" t="s">
        <v>54</v>
      </c>
      <c r="F177" s="8">
        <v>47</v>
      </c>
      <c r="G177" s="7">
        <v>107</v>
      </c>
      <c r="H177" s="7">
        <v>5029</v>
      </c>
      <c r="I177" s="4">
        <v>0.09</v>
      </c>
      <c r="J177" s="7">
        <v>4576.3900000000003</v>
      </c>
      <c r="K177" s="7">
        <f>Tabela1[[#This Row],[Valor Bruto]]-Tabela1[[#This Row],[Valor Venda]]</f>
        <v>452.60999999999967</v>
      </c>
      <c r="L177" s="1">
        <v>43951</v>
      </c>
      <c r="M177" s="1">
        <v>43951</v>
      </c>
      <c r="N177">
        <v>174</v>
      </c>
      <c r="O177">
        <v>6</v>
      </c>
      <c r="P177" t="s">
        <v>47</v>
      </c>
      <c r="Q177">
        <v>0.06</v>
      </c>
      <c r="R177" s="7">
        <v>274.58339999999998</v>
      </c>
      <c r="S177">
        <v>6</v>
      </c>
      <c r="T177" t="s">
        <v>111</v>
      </c>
    </row>
    <row r="178" spans="1:20">
      <c r="A178">
        <v>175</v>
      </c>
      <c r="B178" s="1">
        <v>43924</v>
      </c>
      <c r="C178">
        <v>52</v>
      </c>
      <c r="D178" t="s">
        <v>23</v>
      </c>
      <c r="E178" t="s">
        <v>46</v>
      </c>
      <c r="F178" s="8">
        <v>44</v>
      </c>
      <c r="G178" s="7">
        <v>104</v>
      </c>
      <c r="H178" s="7">
        <v>4576</v>
      </c>
      <c r="I178" s="4">
        <v>0</v>
      </c>
      <c r="J178" s="7">
        <v>4576</v>
      </c>
      <c r="K178" s="7">
        <f>Tabela1[[#This Row],[Valor Bruto]]-Tabela1[[#This Row],[Valor Venda]]</f>
        <v>0</v>
      </c>
      <c r="L178" s="1">
        <v>43942</v>
      </c>
      <c r="M178" s="1">
        <v>43942</v>
      </c>
      <c r="N178">
        <v>175</v>
      </c>
      <c r="O178">
        <v>5</v>
      </c>
      <c r="P178" t="s">
        <v>34</v>
      </c>
      <c r="Q178">
        <v>0.06</v>
      </c>
      <c r="R178" s="7">
        <v>274.56</v>
      </c>
      <c r="S178">
        <v>7</v>
      </c>
      <c r="T178" t="s">
        <v>111</v>
      </c>
    </row>
    <row r="179" spans="1:20">
      <c r="A179">
        <v>176</v>
      </c>
      <c r="B179" s="1">
        <v>43926</v>
      </c>
      <c r="C179">
        <v>70</v>
      </c>
      <c r="D179" t="s">
        <v>67</v>
      </c>
      <c r="E179" t="s">
        <v>46</v>
      </c>
      <c r="F179" s="8">
        <v>15</v>
      </c>
      <c r="G179" s="7">
        <v>101</v>
      </c>
      <c r="H179" s="7">
        <v>1515</v>
      </c>
      <c r="I179" s="4">
        <v>0.1</v>
      </c>
      <c r="J179" s="7">
        <v>1363.5</v>
      </c>
      <c r="K179" s="7">
        <f>Tabela1[[#This Row],[Valor Bruto]]-Tabela1[[#This Row],[Valor Venda]]</f>
        <v>151.5</v>
      </c>
      <c r="L179" s="1">
        <v>43937</v>
      </c>
      <c r="M179" s="1">
        <v>43937</v>
      </c>
      <c r="N179">
        <v>176</v>
      </c>
      <c r="O179">
        <v>6</v>
      </c>
      <c r="P179" t="s">
        <v>52</v>
      </c>
      <c r="Q179">
        <v>7.0000000000000007E-2</v>
      </c>
      <c r="R179" s="7">
        <v>95.445000000000007</v>
      </c>
      <c r="S179">
        <v>1</v>
      </c>
      <c r="T179" t="s">
        <v>111</v>
      </c>
    </row>
    <row r="180" spans="1:20">
      <c r="A180">
        <v>177</v>
      </c>
      <c r="B180" s="1">
        <v>43927</v>
      </c>
      <c r="C180">
        <v>74</v>
      </c>
      <c r="D180" t="s">
        <v>38</v>
      </c>
      <c r="E180" t="s">
        <v>28</v>
      </c>
      <c r="F180" s="8">
        <v>28</v>
      </c>
      <c r="G180" s="7">
        <v>98</v>
      </c>
      <c r="H180" s="7">
        <v>2744</v>
      </c>
      <c r="I180" s="4">
        <v>0.08</v>
      </c>
      <c r="J180" s="7">
        <v>2524.48</v>
      </c>
      <c r="K180" s="7">
        <f>Tabela1[[#This Row],[Valor Bruto]]-Tabela1[[#This Row],[Valor Venda]]</f>
        <v>219.51999999999998</v>
      </c>
      <c r="L180" s="1">
        <v>43942</v>
      </c>
      <c r="M180" s="1">
        <v>43942</v>
      </c>
      <c r="N180">
        <v>177</v>
      </c>
      <c r="O180">
        <v>4</v>
      </c>
      <c r="P180" t="s">
        <v>37</v>
      </c>
      <c r="Q180">
        <v>0.1</v>
      </c>
      <c r="R180" s="7">
        <v>252.44800000000001</v>
      </c>
      <c r="S180">
        <v>2</v>
      </c>
      <c r="T180" t="s">
        <v>111</v>
      </c>
    </row>
    <row r="181" spans="1:20">
      <c r="A181">
        <v>178</v>
      </c>
      <c r="B181" s="1">
        <v>43928</v>
      </c>
      <c r="C181">
        <v>1</v>
      </c>
      <c r="D181" t="s">
        <v>93</v>
      </c>
      <c r="E181" t="s">
        <v>41</v>
      </c>
      <c r="F181" s="8">
        <v>34</v>
      </c>
      <c r="G181" s="7">
        <v>92</v>
      </c>
      <c r="H181" s="7">
        <v>3128</v>
      </c>
      <c r="I181" s="4">
        <v>0.03</v>
      </c>
      <c r="J181" s="7">
        <v>3034.16</v>
      </c>
      <c r="K181" s="7">
        <f>Tabela1[[#This Row],[Valor Bruto]]-Tabela1[[#This Row],[Valor Venda]]</f>
        <v>93.840000000000146</v>
      </c>
      <c r="L181" s="1">
        <v>43943</v>
      </c>
      <c r="M181" s="1">
        <v>43943</v>
      </c>
      <c r="N181">
        <v>178</v>
      </c>
      <c r="O181">
        <v>1</v>
      </c>
      <c r="P181" t="s">
        <v>32</v>
      </c>
      <c r="Q181">
        <v>0.06</v>
      </c>
      <c r="R181" s="7">
        <v>182.0496</v>
      </c>
      <c r="S181">
        <v>3</v>
      </c>
      <c r="T181" t="s">
        <v>111</v>
      </c>
    </row>
    <row r="182" spans="1:20">
      <c r="A182">
        <v>179</v>
      </c>
      <c r="B182" s="1">
        <v>43930</v>
      </c>
      <c r="C182">
        <v>87</v>
      </c>
      <c r="D182" t="s">
        <v>40</v>
      </c>
      <c r="E182" t="s">
        <v>24</v>
      </c>
      <c r="F182" s="8">
        <v>44</v>
      </c>
      <c r="G182" s="7">
        <v>97</v>
      </c>
      <c r="H182" s="7">
        <v>4268</v>
      </c>
      <c r="I182" s="4">
        <v>0.06</v>
      </c>
      <c r="J182" s="7">
        <v>4011.92</v>
      </c>
      <c r="K182" s="7">
        <f>Tabela1[[#This Row],[Valor Bruto]]-Tabela1[[#This Row],[Valor Venda]]</f>
        <v>256.07999999999993</v>
      </c>
      <c r="L182" s="1">
        <v>43943</v>
      </c>
      <c r="M182" s="1">
        <v>43943</v>
      </c>
      <c r="N182">
        <v>179</v>
      </c>
      <c r="O182">
        <v>5</v>
      </c>
      <c r="P182" t="s">
        <v>52</v>
      </c>
      <c r="Q182">
        <v>0.09</v>
      </c>
      <c r="R182" s="7">
        <v>361.07279999999997</v>
      </c>
      <c r="S182">
        <v>4</v>
      </c>
      <c r="T182" t="s">
        <v>111</v>
      </c>
    </row>
    <row r="183" spans="1:20">
      <c r="A183">
        <v>180</v>
      </c>
      <c r="B183" s="1">
        <v>43930</v>
      </c>
      <c r="C183">
        <v>2</v>
      </c>
      <c r="D183" t="s">
        <v>35</v>
      </c>
      <c r="E183" t="s">
        <v>59</v>
      </c>
      <c r="F183" s="8">
        <v>30</v>
      </c>
      <c r="G183" s="7">
        <v>96</v>
      </c>
      <c r="H183" s="7">
        <v>2880</v>
      </c>
      <c r="I183" s="4">
        <v>0.15</v>
      </c>
      <c r="J183" s="7">
        <v>2448</v>
      </c>
      <c r="K183" s="7">
        <f>Tabela1[[#This Row],[Valor Bruto]]-Tabela1[[#This Row],[Valor Venda]]</f>
        <v>432</v>
      </c>
      <c r="L183" s="1">
        <v>43947</v>
      </c>
      <c r="M183" s="1">
        <v>43947</v>
      </c>
      <c r="N183">
        <v>180</v>
      </c>
      <c r="O183">
        <v>3</v>
      </c>
      <c r="P183" t="s">
        <v>37</v>
      </c>
      <c r="Q183">
        <v>0.06</v>
      </c>
      <c r="R183" s="7">
        <v>146.88</v>
      </c>
      <c r="S183">
        <v>5</v>
      </c>
      <c r="T183" t="s">
        <v>111</v>
      </c>
    </row>
    <row r="184" spans="1:20">
      <c r="A184">
        <v>181</v>
      </c>
      <c r="B184" s="1">
        <v>43931</v>
      </c>
      <c r="C184">
        <v>11</v>
      </c>
      <c r="D184" t="s">
        <v>60</v>
      </c>
      <c r="E184" t="s">
        <v>55</v>
      </c>
      <c r="F184" s="8">
        <v>35</v>
      </c>
      <c r="G184" s="7">
        <v>93</v>
      </c>
      <c r="H184" s="7">
        <v>3255</v>
      </c>
      <c r="I184" s="4">
        <v>0.06</v>
      </c>
      <c r="J184" s="7">
        <v>3059.7</v>
      </c>
      <c r="K184" s="7">
        <f>Tabela1[[#This Row],[Valor Bruto]]-Tabela1[[#This Row],[Valor Venda]]</f>
        <v>195.30000000000018</v>
      </c>
      <c r="L184" s="1">
        <v>43955</v>
      </c>
      <c r="M184" s="1">
        <v>43955</v>
      </c>
      <c r="N184">
        <v>181</v>
      </c>
      <c r="O184">
        <v>3</v>
      </c>
      <c r="P184" t="s">
        <v>69</v>
      </c>
      <c r="Q184">
        <v>7.0000000000000007E-2</v>
      </c>
      <c r="R184" s="7">
        <v>214.179</v>
      </c>
      <c r="S184">
        <v>6</v>
      </c>
      <c r="T184" t="s">
        <v>111</v>
      </c>
    </row>
    <row r="185" spans="1:20">
      <c r="A185">
        <v>182</v>
      </c>
      <c r="B185" s="1">
        <v>43931</v>
      </c>
      <c r="C185">
        <v>22</v>
      </c>
      <c r="D185" t="s">
        <v>51</v>
      </c>
      <c r="E185" t="s">
        <v>31</v>
      </c>
      <c r="F185" s="8">
        <v>12</v>
      </c>
      <c r="G185" s="7">
        <v>98</v>
      </c>
      <c r="H185" s="7">
        <v>1176</v>
      </c>
      <c r="I185" s="4">
        <v>0.02</v>
      </c>
      <c r="J185" s="7">
        <v>1152.48</v>
      </c>
      <c r="K185" s="7">
        <f>Tabela1[[#This Row],[Valor Bruto]]-Tabela1[[#This Row],[Valor Venda]]</f>
        <v>23.519999999999982</v>
      </c>
      <c r="L185" s="1">
        <v>43960</v>
      </c>
      <c r="M185" s="1">
        <v>43960</v>
      </c>
      <c r="N185">
        <v>182</v>
      </c>
      <c r="O185">
        <v>7</v>
      </c>
      <c r="P185" t="s">
        <v>52</v>
      </c>
      <c r="Q185">
        <v>0.09</v>
      </c>
      <c r="R185" s="7">
        <v>103.72319999999999</v>
      </c>
      <c r="S185">
        <v>7</v>
      </c>
      <c r="T185" t="s">
        <v>111</v>
      </c>
    </row>
    <row r="186" spans="1:20">
      <c r="A186">
        <v>183</v>
      </c>
      <c r="B186" s="1">
        <v>43931</v>
      </c>
      <c r="C186">
        <v>82</v>
      </c>
      <c r="D186" t="s">
        <v>67</v>
      </c>
      <c r="E186" t="s">
        <v>24</v>
      </c>
      <c r="F186" s="8">
        <v>27</v>
      </c>
      <c r="G186" s="7">
        <v>98</v>
      </c>
      <c r="H186" s="7">
        <v>2646</v>
      </c>
      <c r="I186" s="4">
        <v>0.04</v>
      </c>
      <c r="J186" s="7">
        <v>2540.16</v>
      </c>
      <c r="K186" s="7">
        <f>Tabela1[[#This Row],[Valor Bruto]]-Tabela1[[#This Row],[Valor Venda]]</f>
        <v>105.84000000000015</v>
      </c>
      <c r="L186" s="1">
        <v>43957</v>
      </c>
      <c r="M186" s="1">
        <v>43957</v>
      </c>
      <c r="N186">
        <v>183</v>
      </c>
      <c r="O186">
        <v>3</v>
      </c>
      <c r="P186" t="s">
        <v>32</v>
      </c>
      <c r="Q186">
        <v>0.06</v>
      </c>
      <c r="R186" s="7">
        <v>152.40959999999998</v>
      </c>
      <c r="S186">
        <v>1</v>
      </c>
      <c r="T186" t="s">
        <v>111</v>
      </c>
    </row>
    <row r="187" spans="1:20">
      <c r="A187">
        <v>184</v>
      </c>
      <c r="B187" s="1">
        <v>43932</v>
      </c>
      <c r="C187">
        <v>43</v>
      </c>
      <c r="D187" t="s">
        <v>99</v>
      </c>
      <c r="E187" t="s">
        <v>28</v>
      </c>
      <c r="F187" s="8">
        <v>26</v>
      </c>
      <c r="G187" s="7">
        <v>96</v>
      </c>
      <c r="H187" s="7">
        <v>2496</v>
      </c>
      <c r="I187" s="4">
        <v>0.05</v>
      </c>
      <c r="J187" s="7">
        <v>2371.1999999999998</v>
      </c>
      <c r="K187" s="7">
        <f>Tabela1[[#This Row],[Valor Bruto]]-Tabela1[[#This Row],[Valor Venda]]</f>
        <v>124.80000000000018</v>
      </c>
      <c r="L187" s="1">
        <v>43941</v>
      </c>
      <c r="M187" s="1">
        <v>43941</v>
      </c>
      <c r="N187">
        <v>184</v>
      </c>
      <c r="O187">
        <v>5</v>
      </c>
      <c r="P187" t="s">
        <v>52</v>
      </c>
      <c r="Q187">
        <v>0.09</v>
      </c>
      <c r="R187" s="7">
        <v>213.40799999999999</v>
      </c>
      <c r="S187">
        <v>2</v>
      </c>
      <c r="T187" t="s">
        <v>111</v>
      </c>
    </row>
    <row r="188" spans="1:20">
      <c r="A188">
        <v>185</v>
      </c>
      <c r="B188" s="1">
        <v>43932</v>
      </c>
      <c r="C188">
        <v>56</v>
      </c>
      <c r="D188" t="s">
        <v>67</v>
      </c>
      <c r="E188" t="s">
        <v>31</v>
      </c>
      <c r="F188" s="8">
        <v>21</v>
      </c>
      <c r="G188" s="7">
        <v>105</v>
      </c>
      <c r="H188" s="7">
        <v>2205</v>
      </c>
      <c r="I188" s="4">
        <v>0.04</v>
      </c>
      <c r="J188" s="7">
        <v>2116.8000000000002</v>
      </c>
      <c r="K188" s="7">
        <f>Tabela1[[#This Row],[Valor Bruto]]-Tabela1[[#This Row],[Valor Venda]]</f>
        <v>88.199999999999818</v>
      </c>
      <c r="L188" s="1">
        <v>43960</v>
      </c>
      <c r="M188" s="1">
        <v>43960</v>
      </c>
      <c r="N188">
        <v>185</v>
      </c>
      <c r="O188">
        <v>2</v>
      </c>
      <c r="P188" t="s">
        <v>34</v>
      </c>
      <c r="Q188">
        <v>0.09</v>
      </c>
      <c r="R188" s="7">
        <v>190.512</v>
      </c>
      <c r="S188">
        <v>3</v>
      </c>
      <c r="T188" t="s">
        <v>111</v>
      </c>
    </row>
    <row r="189" spans="1:20">
      <c r="A189">
        <v>186</v>
      </c>
      <c r="B189" s="1">
        <v>43933</v>
      </c>
      <c r="C189">
        <v>70</v>
      </c>
      <c r="D189" t="s">
        <v>67</v>
      </c>
      <c r="E189" t="s">
        <v>59</v>
      </c>
      <c r="F189" s="8">
        <v>28</v>
      </c>
      <c r="G189" s="7">
        <v>105</v>
      </c>
      <c r="H189" s="7">
        <v>2940</v>
      </c>
      <c r="I189" s="4">
        <v>0.05</v>
      </c>
      <c r="J189" s="7">
        <v>2793</v>
      </c>
      <c r="K189" s="7">
        <f>Tabela1[[#This Row],[Valor Bruto]]-Tabela1[[#This Row],[Valor Venda]]</f>
        <v>147</v>
      </c>
      <c r="L189" s="1">
        <v>43960</v>
      </c>
      <c r="M189" s="1">
        <v>43960</v>
      </c>
      <c r="N189">
        <v>186</v>
      </c>
      <c r="O189">
        <v>1</v>
      </c>
      <c r="P189" t="s">
        <v>52</v>
      </c>
      <c r="Q189">
        <v>7.0000000000000007E-2</v>
      </c>
      <c r="R189" s="7">
        <v>195.51000000000002</v>
      </c>
      <c r="S189">
        <v>4</v>
      </c>
      <c r="T189" t="s">
        <v>111</v>
      </c>
    </row>
    <row r="190" spans="1:20">
      <c r="A190">
        <v>187</v>
      </c>
      <c r="B190" s="1">
        <v>43934</v>
      </c>
      <c r="C190">
        <v>44</v>
      </c>
      <c r="D190" t="s">
        <v>71</v>
      </c>
      <c r="E190" t="s">
        <v>54</v>
      </c>
      <c r="F190" s="8">
        <v>29</v>
      </c>
      <c r="G190" s="7">
        <v>97</v>
      </c>
      <c r="H190" s="7">
        <v>2813</v>
      </c>
      <c r="I190" s="4">
        <v>0.02</v>
      </c>
      <c r="J190" s="7">
        <v>2756.74</v>
      </c>
      <c r="K190" s="7">
        <f>Tabela1[[#This Row],[Valor Bruto]]-Tabela1[[#This Row],[Valor Venda]]</f>
        <v>56.260000000000218</v>
      </c>
      <c r="L190" s="1">
        <v>43963</v>
      </c>
      <c r="M190" s="1">
        <v>43963</v>
      </c>
      <c r="N190">
        <v>187</v>
      </c>
      <c r="O190">
        <v>5</v>
      </c>
      <c r="P190" t="s">
        <v>52</v>
      </c>
      <c r="Q190">
        <v>0.09</v>
      </c>
      <c r="R190" s="7">
        <v>248.10659999999996</v>
      </c>
      <c r="S190">
        <v>5</v>
      </c>
      <c r="T190" t="s">
        <v>111</v>
      </c>
    </row>
    <row r="191" spans="1:20">
      <c r="A191">
        <v>188</v>
      </c>
      <c r="B191" s="1">
        <v>43934</v>
      </c>
      <c r="C191">
        <v>83</v>
      </c>
      <c r="D191" t="s">
        <v>100</v>
      </c>
      <c r="E191" t="s">
        <v>50</v>
      </c>
      <c r="F191" s="8">
        <v>16</v>
      </c>
      <c r="G191" s="7">
        <v>110</v>
      </c>
      <c r="H191" s="7">
        <v>1760</v>
      </c>
      <c r="I191" s="4">
        <v>0.05</v>
      </c>
      <c r="J191" s="7">
        <v>1672</v>
      </c>
      <c r="K191" s="7">
        <f>Tabela1[[#This Row],[Valor Bruto]]-Tabela1[[#This Row],[Valor Venda]]</f>
        <v>88</v>
      </c>
      <c r="L191" s="1">
        <v>43955</v>
      </c>
      <c r="M191" s="1">
        <v>43955</v>
      </c>
      <c r="N191">
        <v>188</v>
      </c>
      <c r="O191">
        <v>4</v>
      </c>
      <c r="P191" t="s">
        <v>43</v>
      </c>
      <c r="Q191">
        <v>0.06</v>
      </c>
      <c r="R191" s="7">
        <v>100.32</v>
      </c>
      <c r="S191">
        <v>6</v>
      </c>
      <c r="T191" t="s">
        <v>111</v>
      </c>
    </row>
    <row r="192" spans="1:20">
      <c r="A192">
        <v>189</v>
      </c>
      <c r="B192" s="1">
        <v>43935</v>
      </c>
      <c r="C192">
        <v>48</v>
      </c>
      <c r="D192" t="s">
        <v>61</v>
      </c>
      <c r="E192" t="s">
        <v>59</v>
      </c>
      <c r="F192" s="8">
        <v>47</v>
      </c>
      <c r="G192" s="7">
        <v>117</v>
      </c>
      <c r="H192" s="7">
        <v>5499</v>
      </c>
      <c r="I192" s="4">
        <v>0.11</v>
      </c>
      <c r="J192" s="7">
        <v>4894.1099999999997</v>
      </c>
      <c r="K192" s="7">
        <f>Tabela1[[#This Row],[Valor Bruto]]-Tabela1[[#This Row],[Valor Venda]]</f>
        <v>604.89000000000033</v>
      </c>
      <c r="L192" s="1">
        <v>43956</v>
      </c>
      <c r="M192" s="1">
        <v>43956</v>
      </c>
      <c r="N192">
        <v>189</v>
      </c>
      <c r="O192">
        <v>2</v>
      </c>
      <c r="P192" t="s">
        <v>32</v>
      </c>
      <c r="Q192">
        <v>0.09</v>
      </c>
      <c r="R192" s="7">
        <v>440.46989999999994</v>
      </c>
      <c r="S192">
        <v>7</v>
      </c>
      <c r="T192" t="s">
        <v>111</v>
      </c>
    </row>
    <row r="193" spans="1:20">
      <c r="A193">
        <v>190</v>
      </c>
      <c r="B193" s="1">
        <v>43935</v>
      </c>
      <c r="C193">
        <v>2</v>
      </c>
      <c r="D193" t="s">
        <v>35</v>
      </c>
      <c r="E193" t="s">
        <v>21</v>
      </c>
      <c r="F193" s="8">
        <v>40</v>
      </c>
      <c r="G193" s="7">
        <v>110</v>
      </c>
      <c r="H193" s="7">
        <v>4400</v>
      </c>
      <c r="I193" s="4">
        <v>0</v>
      </c>
      <c r="J193" s="7">
        <v>4400</v>
      </c>
      <c r="K193" s="7">
        <f>Tabela1[[#This Row],[Valor Bruto]]-Tabela1[[#This Row],[Valor Venda]]</f>
        <v>0</v>
      </c>
      <c r="L193" s="1">
        <v>43941</v>
      </c>
      <c r="M193" s="1">
        <v>43941</v>
      </c>
      <c r="N193">
        <v>190</v>
      </c>
      <c r="O193">
        <v>1</v>
      </c>
      <c r="P193" t="s">
        <v>43</v>
      </c>
      <c r="Q193">
        <v>0.09</v>
      </c>
      <c r="R193" s="7">
        <v>396</v>
      </c>
      <c r="S193">
        <v>1</v>
      </c>
      <c r="T193" t="s">
        <v>111</v>
      </c>
    </row>
    <row r="194" spans="1:20">
      <c r="A194">
        <v>191</v>
      </c>
      <c r="B194" s="1">
        <v>43935</v>
      </c>
      <c r="C194">
        <v>89</v>
      </c>
      <c r="D194" t="s">
        <v>49</v>
      </c>
      <c r="E194" t="s">
        <v>41</v>
      </c>
      <c r="F194" s="8">
        <v>37</v>
      </c>
      <c r="G194" s="7">
        <v>106</v>
      </c>
      <c r="H194" s="7">
        <v>3922</v>
      </c>
      <c r="I194" s="4">
        <v>0.04</v>
      </c>
      <c r="J194" s="7">
        <v>3765.12</v>
      </c>
      <c r="K194" s="7">
        <f>Tabela1[[#This Row],[Valor Bruto]]-Tabela1[[#This Row],[Valor Venda]]</f>
        <v>156.88000000000011</v>
      </c>
      <c r="L194" s="1">
        <v>43961</v>
      </c>
      <c r="M194" s="1">
        <v>43961</v>
      </c>
      <c r="N194">
        <v>191</v>
      </c>
      <c r="O194">
        <v>6</v>
      </c>
      <c r="P194" t="s">
        <v>29</v>
      </c>
      <c r="Q194">
        <v>0.06</v>
      </c>
      <c r="R194" s="7">
        <v>225.90719999999999</v>
      </c>
      <c r="S194">
        <v>2</v>
      </c>
      <c r="T194" t="s">
        <v>111</v>
      </c>
    </row>
    <row r="195" spans="1:20">
      <c r="A195">
        <v>192</v>
      </c>
      <c r="B195" s="1">
        <v>43936</v>
      </c>
      <c r="C195">
        <v>35</v>
      </c>
      <c r="D195" t="s">
        <v>38</v>
      </c>
      <c r="E195" t="s">
        <v>46</v>
      </c>
      <c r="F195" s="8">
        <v>44</v>
      </c>
      <c r="G195" s="7">
        <v>115</v>
      </c>
      <c r="H195" s="7">
        <v>5060</v>
      </c>
      <c r="I195" s="4">
        <v>0.13</v>
      </c>
      <c r="J195" s="7">
        <v>4402.2</v>
      </c>
      <c r="K195" s="7">
        <f>Tabela1[[#This Row],[Valor Bruto]]-Tabela1[[#This Row],[Valor Venda]]</f>
        <v>657.80000000000018</v>
      </c>
      <c r="L195" s="1">
        <v>43965</v>
      </c>
      <c r="M195" s="1">
        <v>43965</v>
      </c>
      <c r="N195">
        <v>192</v>
      </c>
      <c r="O195">
        <v>2</v>
      </c>
      <c r="P195" t="s">
        <v>43</v>
      </c>
      <c r="Q195">
        <v>0.1</v>
      </c>
      <c r="R195" s="7">
        <v>440.22</v>
      </c>
      <c r="S195">
        <v>3</v>
      </c>
      <c r="T195" t="s">
        <v>111</v>
      </c>
    </row>
    <row r="196" spans="1:20">
      <c r="A196">
        <v>193</v>
      </c>
      <c r="B196" s="1">
        <v>43938</v>
      </c>
      <c r="C196">
        <v>62</v>
      </c>
      <c r="D196" t="s">
        <v>38</v>
      </c>
      <c r="E196" t="s">
        <v>59</v>
      </c>
      <c r="F196" s="8">
        <v>26</v>
      </c>
      <c r="G196" s="7">
        <v>110</v>
      </c>
      <c r="H196" s="7">
        <v>2860</v>
      </c>
      <c r="I196" s="4">
        <v>0.15</v>
      </c>
      <c r="J196" s="7">
        <v>2431</v>
      </c>
      <c r="K196" s="7">
        <f>Tabela1[[#This Row],[Valor Bruto]]-Tabela1[[#This Row],[Valor Venda]]</f>
        <v>429</v>
      </c>
      <c r="L196" s="1">
        <v>43950</v>
      </c>
      <c r="M196" s="1">
        <v>43950</v>
      </c>
      <c r="N196">
        <v>193</v>
      </c>
      <c r="O196">
        <v>5</v>
      </c>
      <c r="P196" t="s">
        <v>47</v>
      </c>
      <c r="Q196">
        <v>0.1</v>
      </c>
      <c r="R196" s="7">
        <v>243.10000000000002</v>
      </c>
      <c r="S196">
        <v>4</v>
      </c>
      <c r="T196" t="s">
        <v>111</v>
      </c>
    </row>
    <row r="197" spans="1:20">
      <c r="A197">
        <v>194</v>
      </c>
      <c r="B197" s="1">
        <v>43939</v>
      </c>
      <c r="C197">
        <v>69</v>
      </c>
      <c r="D197" t="s">
        <v>67</v>
      </c>
      <c r="E197" t="s">
        <v>50</v>
      </c>
      <c r="F197" s="8">
        <v>28</v>
      </c>
      <c r="G197" s="7">
        <v>90</v>
      </c>
      <c r="H197" s="7">
        <v>2520</v>
      </c>
      <c r="I197" s="4">
        <v>0.01</v>
      </c>
      <c r="J197" s="7">
        <v>2494.8000000000002</v>
      </c>
      <c r="K197" s="7">
        <f>Tabela1[[#This Row],[Valor Bruto]]-Tabela1[[#This Row],[Valor Venda]]</f>
        <v>25.199999999999818</v>
      </c>
      <c r="L197" s="1">
        <v>43956</v>
      </c>
      <c r="M197" s="1">
        <v>43956</v>
      </c>
      <c r="N197">
        <v>194</v>
      </c>
      <c r="O197">
        <v>6</v>
      </c>
      <c r="P197" t="s">
        <v>52</v>
      </c>
      <c r="Q197">
        <v>0.08</v>
      </c>
      <c r="R197" s="7">
        <v>199.58400000000003</v>
      </c>
      <c r="S197">
        <v>5</v>
      </c>
      <c r="T197" t="s">
        <v>111</v>
      </c>
    </row>
    <row r="198" spans="1:20">
      <c r="A198">
        <v>195</v>
      </c>
      <c r="B198" s="1">
        <v>43939</v>
      </c>
      <c r="C198">
        <v>88</v>
      </c>
      <c r="D198" t="s">
        <v>38</v>
      </c>
      <c r="E198" t="s">
        <v>21</v>
      </c>
      <c r="F198" s="8">
        <v>15</v>
      </c>
      <c r="G198" s="7">
        <v>90</v>
      </c>
      <c r="H198" s="7">
        <v>1350</v>
      </c>
      <c r="I198" s="4">
        <v>0.14000000000000001</v>
      </c>
      <c r="J198" s="7">
        <v>1161</v>
      </c>
      <c r="K198" s="7">
        <f>Tabela1[[#This Row],[Valor Bruto]]-Tabela1[[#This Row],[Valor Venda]]</f>
        <v>189</v>
      </c>
      <c r="L198" s="1">
        <v>43968</v>
      </c>
      <c r="M198" s="1">
        <v>43968</v>
      </c>
      <c r="N198">
        <v>195</v>
      </c>
      <c r="O198">
        <v>6</v>
      </c>
      <c r="P198" t="s">
        <v>25</v>
      </c>
      <c r="Q198">
        <v>0.08</v>
      </c>
      <c r="R198" s="7">
        <v>92.88</v>
      </c>
      <c r="S198">
        <v>6</v>
      </c>
      <c r="T198" t="s">
        <v>111</v>
      </c>
    </row>
    <row r="199" spans="1:20">
      <c r="A199">
        <v>196</v>
      </c>
      <c r="B199" s="1">
        <v>43940</v>
      </c>
      <c r="C199">
        <v>10</v>
      </c>
      <c r="D199" t="s">
        <v>89</v>
      </c>
      <c r="E199" t="s">
        <v>24</v>
      </c>
      <c r="F199" s="8">
        <v>37</v>
      </c>
      <c r="G199" s="7">
        <v>118</v>
      </c>
      <c r="H199" s="7">
        <v>4366</v>
      </c>
      <c r="I199" s="4">
        <v>0.06</v>
      </c>
      <c r="J199" s="7">
        <v>4104.04</v>
      </c>
      <c r="K199" s="7">
        <f>Tabela1[[#This Row],[Valor Bruto]]-Tabela1[[#This Row],[Valor Venda]]</f>
        <v>261.96000000000004</v>
      </c>
      <c r="L199" s="1">
        <v>43962</v>
      </c>
      <c r="M199" s="1">
        <v>43962</v>
      </c>
      <c r="N199">
        <v>196</v>
      </c>
      <c r="O199">
        <v>3</v>
      </c>
      <c r="P199" t="s">
        <v>69</v>
      </c>
      <c r="Q199">
        <v>0.1</v>
      </c>
      <c r="R199" s="7">
        <v>410.404</v>
      </c>
      <c r="S199">
        <v>7</v>
      </c>
      <c r="T199" t="s">
        <v>111</v>
      </c>
    </row>
    <row r="200" spans="1:20">
      <c r="A200">
        <v>197</v>
      </c>
      <c r="B200" s="1">
        <v>43940</v>
      </c>
      <c r="C200">
        <v>48</v>
      </c>
      <c r="D200" t="s">
        <v>61</v>
      </c>
      <c r="E200" t="s">
        <v>28</v>
      </c>
      <c r="F200" s="8">
        <v>33</v>
      </c>
      <c r="G200" s="7">
        <v>108</v>
      </c>
      <c r="H200" s="7">
        <v>3564</v>
      </c>
      <c r="I200" s="4">
        <v>0.12</v>
      </c>
      <c r="J200" s="7">
        <v>3136.32</v>
      </c>
      <c r="K200" s="7">
        <f>Tabela1[[#This Row],[Valor Bruto]]-Tabela1[[#This Row],[Valor Venda]]</f>
        <v>427.67999999999984</v>
      </c>
      <c r="L200" s="1">
        <v>43952</v>
      </c>
      <c r="M200" s="1">
        <v>43952</v>
      </c>
      <c r="N200">
        <v>197</v>
      </c>
      <c r="O200">
        <v>7</v>
      </c>
      <c r="P200" t="s">
        <v>47</v>
      </c>
      <c r="Q200">
        <v>7.0000000000000007E-2</v>
      </c>
      <c r="R200" s="7">
        <v>219.54240000000004</v>
      </c>
      <c r="S200">
        <v>1</v>
      </c>
      <c r="T200" t="s">
        <v>111</v>
      </c>
    </row>
    <row r="201" spans="1:20">
      <c r="A201">
        <v>198</v>
      </c>
      <c r="B201" s="1">
        <v>43942</v>
      </c>
      <c r="C201">
        <v>48</v>
      </c>
      <c r="D201" t="s">
        <v>61</v>
      </c>
      <c r="E201" t="s">
        <v>24</v>
      </c>
      <c r="F201" s="8">
        <v>16</v>
      </c>
      <c r="G201" s="7">
        <v>114</v>
      </c>
      <c r="H201" s="7">
        <v>1824</v>
      </c>
      <c r="I201" s="4">
        <v>0.12</v>
      </c>
      <c r="J201" s="7">
        <v>1605.12</v>
      </c>
      <c r="K201" s="7">
        <f>Tabela1[[#This Row],[Valor Bruto]]-Tabela1[[#This Row],[Valor Venda]]</f>
        <v>218.88000000000011</v>
      </c>
      <c r="L201" s="1">
        <v>43963</v>
      </c>
      <c r="M201" s="1">
        <v>43963</v>
      </c>
      <c r="N201">
        <v>198</v>
      </c>
      <c r="O201">
        <v>6</v>
      </c>
      <c r="P201" t="s">
        <v>25</v>
      </c>
      <c r="Q201">
        <v>0.05</v>
      </c>
      <c r="R201" s="7">
        <v>80.256</v>
      </c>
      <c r="S201">
        <v>2</v>
      </c>
      <c r="T201" t="s">
        <v>111</v>
      </c>
    </row>
    <row r="202" spans="1:20">
      <c r="A202">
        <v>199</v>
      </c>
      <c r="B202" s="1">
        <v>43942</v>
      </c>
      <c r="C202">
        <v>91</v>
      </c>
      <c r="D202" t="s">
        <v>62</v>
      </c>
      <c r="E202" t="s">
        <v>21</v>
      </c>
      <c r="F202" s="8">
        <v>48</v>
      </c>
      <c r="G202" s="7">
        <v>109</v>
      </c>
      <c r="H202" s="7">
        <v>5232</v>
      </c>
      <c r="I202" s="4">
        <v>0.01</v>
      </c>
      <c r="J202" s="7">
        <v>5179.68</v>
      </c>
      <c r="K202" s="7">
        <f>Tabela1[[#This Row],[Valor Bruto]]-Tabela1[[#This Row],[Valor Venda]]</f>
        <v>52.319999999999709</v>
      </c>
      <c r="L202" s="1">
        <v>43955</v>
      </c>
      <c r="M202" s="1">
        <v>43955</v>
      </c>
      <c r="N202">
        <v>199</v>
      </c>
      <c r="O202">
        <v>6</v>
      </c>
      <c r="P202" t="s">
        <v>29</v>
      </c>
      <c r="Q202">
        <v>0.09</v>
      </c>
      <c r="R202" s="7">
        <v>466.1712</v>
      </c>
      <c r="S202">
        <v>3</v>
      </c>
      <c r="T202" t="s">
        <v>111</v>
      </c>
    </row>
    <row r="203" spans="1:20">
      <c r="A203">
        <v>200</v>
      </c>
      <c r="B203" s="1">
        <v>43942</v>
      </c>
      <c r="C203">
        <v>91</v>
      </c>
      <c r="D203" t="s">
        <v>62</v>
      </c>
      <c r="E203" t="s">
        <v>55</v>
      </c>
      <c r="F203" s="8">
        <v>41</v>
      </c>
      <c r="G203" s="7">
        <v>95</v>
      </c>
      <c r="H203" s="7">
        <v>3895</v>
      </c>
      <c r="I203" s="4">
        <v>0.15</v>
      </c>
      <c r="J203" s="7">
        <v>3310.75</v>
      </c>
      <c r="K203" s="7">
        <f>Tabela1[[#This Row],[Valor Bruto]]-Tabela1[[#This Row],[Valor Venda]]</f>
        <v>584.25</v>
      </c>
      <c r="L203" s="1">
        <v>43957</v>
      </c>
      <c r="M203" s="1">
        <v>43957</v>
      </c>
      <c r="N203">
        <v>200</v>
      </c>
      <c r="O203">
        <v>3</v>
      </c>
      <c r="P203" t="s">
        <v>22</v>
      </c>
      <c r="Q203">
        <v>0.08</v>
      </c>
      <c r="R203" s="7">
        <v>264.86</v>
      </c>
      <c r="S203">
        <v>4</v>
      </c>
      <c r="T203" t="s">
        <v>111</v>
      </c>
    </row>
    <row r="204" spans="1:20">
      <c r="A204">
        <v>201</v>
      </c>
      <c r="B204" s="1">
        <v>43943</v>
      </c>
      <c r="C204">
        <v>65</v>
      </c>
      <c r="D204" t="s">
        <v>64</v>
      </c>
      <c r="E204" t="s">
        <v>31</v>
      </c>
      <c r="F204" s="8">
        <v>13</v>
      </c>
      <c r="G204" s="7">
        <v>111</v>
      </c>
      <c r="H204" s="7">
        <v>1443</v>
      </c>
      <c r="I204" s="4">
        <v>0.06</v>
      </c>
      <c r="J204" s="7">
        <v>1356.42</v>
      </c>
      <c r="K204" s="7">
        <f>Tabela1[[#This Row],[Valor Bruto]]-Tabela1[[#This Row],[Valor Venda]]</f>
        <v>86.579999999999927</v>
      </c>
      <c r="L204" s="1">
        <v>43956</v>
      </c>
      <c r="M204" s="1">
        <v>43956</v>
      </c>
      <c r="N204">
        <v>201</v>
      </c>
      <c r="O204">
        <v>5</v>
      </c>
      <c r="P204" t="s">
        <v>25</v>
      </c>
      <c r="Q204">
        <v>7.0000000000000007E-2</v>
      </c>
      <c r="R204" s="7">
        <v>94.949400000000011</v>
      </c>
      <c r="S204">
        <v>5</v>
      </c>
      <c r="T204" t="s">
        <v>111</v>
      </c>
    </row>
    <row r="205" spans="1:20">
      <c r="A205">
        <v>202</v>
      </c>
      <c r="B205" s="1">
        <v>43943</v>
      </c>
      <c r="C205">
        <v>100</v>
      </c>
      <c r="D205" t="s">
        <v>38</v>
      </c>
      <c r="E205" t="s">
        <v>54</v>
      </c>
      <c r="F205" s="8">
        <v>35</v>
      </c>
      <c r="G205" s="7">
        <v>92</v>
      </c>
      <c r="H205" s="7">
        <v>3220</v>
      </c>
      <c r="I205" s="4">
        <v>0.02</v>
      </c>
      <c r="J205" s="7">
        <v>3155.6</v>
      </c>
      <c r="K205" s="7">
        <f>Tabela1[[#This Row],[Valor Bruto]]-Tabela1[[#This Row],[Valor Venda]]</f>
        <v>64.400000000000091</v>
      </c>
      <c r="L205" s="1">
        <v>43966</v>
      </c>
      <c r="M205" s="1">
        <v>43966</v>
      </c>
      <c r="N205">
        <v>202</v>
      </c>
      <c r="O205">
        <v>6</v>
      </c>
      <c r="P205" t="s">
        <v>52</v>
      </c>
      <c r="Q205">
        <v>7.0000000000000007E-2</v>
      </c>
      <c r="R205" s="7">
        <v>220.89200000000002</v>
      </c>
      <c r="S205">
        <v>6</v>
      </c>
      <c r="T205" t="s">
        <v>111</v>
      </c>
    </row>
    <row r="206" spans="1:20">
      <c r="A206">
        <v>203</v>
      </c>
      <c r="B206" s="1">
        <v>43945</v>
      </c>
      <c r="C206">
        <v>93</v>
      </c>
      <c r="D206" t="s">
        <v>33</v>
      </c>
      <c r="E206" t="s">
        <v>50</v>
      </c>
      <c r="F206" s="8">
        <v>20</v>
      </c>
      <c r="G206" s="7">
        <v>111</v>
      </c>
      <c r="H206" s="7">
        <v>2220</v>
      </c>
      <c r="I206" s="4">
        <v>0.14000000000000001</v>
      </c>
      <c r="J206" s="7">
        <v>1909.2</v>
      </c>
      <c r="K206" s="7">
        <f>Tabela1[[#This Row],[Valor Bruto]]-Tabela1[[#This Row],[Valor Venda]]</f>
        <v>310.79999999999995</v>
      </c>
      <c r="L206" s="1">
        <v>43975</v>
      </c>
      <c r="M206" s="1">
        <v>43975</v>
      </c>
      <c r="N206">
        <v>203</v>
      </c>
      <c r="O206">
        <v>3</v>
      </c>
      <c r="P206" t="s">
        <v>69</v>
      </c>
      <c r="Q206">
        <v>7.0000000000000007E-2</v>
      </c>
      <c r="R206" s="7">
        <v>133.64400000000001</v>
      </c>
      <c r="S206">
        <v>7</v>
      </c>
      <c r="T206" t="s">
        <v>111</v>
      </c>
    </row>
    <row r="207" spans="1:20">
      <c r="A207">
        <v>204</v>
      </c>
      <c r="B207" s="1">
        <v>43948</v>
      </c>
      <c r="C207">
        <v>37</v>
      </c>
      <c r="D207" t="s">
        <v>48</v>
      </c>
      <c r="E207" t="s">
        <v>55</v>
      </c>
      <c r="F207" s="8">
        <v>14</v>
      </c>
      <c r="G207" s="7">
        <v>114</v>
      </c>
      <c r="H207" s="7">
        <v>1596</v>
      </c>
      <c r="I207" s="4">
        <v>0.05</v>
      </c>
      <c r="J207" s="7">
        <v>1516.2</v>
      </c>
      <c r="K207" s="7">
        <f>Tabela1[[#This Row],[Valor Bruto]]-Tabela1[[#This Row],[Valor Venda]]</f>
        <v>79.799999999999955</v>
      </c>
      <c r="L207" s="1">
        <v>43958</v>
      </c>
      <c r="M207" s="1">
        <v>43958</v>
      </c>
      <c r="N207">
        <v>204</v>
      </c>
      <c r="O207">
        <v>6</v>
      </c>
      <c r="P207" t="s">
        <v>47</v>
      </c>
      <c r="Q207">
        <v>7.0000000000000007E-2</v>
      </c>
      <c r="R207" s="7">
        <v>106.13400000000001</v>
      </c>
      <c r="S207">
        <v>1</v>
      </c>
      <c r="T207" t="s">
        <v>111</v>
      </c>
    </row>
    <row r="208" spans="1:20">
      <c r="A208">
        <v>205</v>
      </c>
      <c r="B208" s="1">
        <v>43948</v>
      </c>
      <c r="C208">
        <v>72</v>
      </c>
      <c r="D208" t="s">
        <v>38</v>
      </c>
      <c r="E208" t="s">
        <v>46</v>
      </c>
      <c r="F208" s="8">
        <v>13</v>
      </c>
      <c r="G208" s="7">
        <v>91</v>
      </c>
      <c r="H208" s="7">
        <v>1183</v>
      </c>
      <c r="I208" s="4">
        <v>0.06</v>
      </c>
      <c r="J208" s="7">
        <v>1112.02</v>
      </c>
      <c r="K208" s="7">
        <f>Tabela1[[#This Row],[Valor Bruto]]-Tabela1[[#This Row],[Valor Venda]]</f>
        <v>70.980000000000018</v>
      </c>
      <c r="L208" s="1">
        <v>43977</v>
      </c>
      <c r="M208" s="1">
        <v>43977</v>
      </c>
      <c r="N208">
        <v>205</v>
      </c>
      <c r="O208">
        <v>1</v>
      </c>
      <c r="P208" t="s">
        <v>43</v>
      </c>
      <c r="Q208">
        <v>0.09</v>
      </c>
      <c r="R208" s="7">
        <v>100.0818</v>
      </c>
      <c r="S208">
        <v>2</v>
      </c>
      <c r="T208" t="s">
        <v>111</v>
      </c>
    </row>
    <row r="209" spans="1:20">
      <c r="A209">
        <v>206</v>
      </c>
      <c r="B209" s="1">
        <v>43949</v>
      </c>
      <c r="C209">
        <v>16</v>
      </c>
      <c r="D209" t="s">
        <v>27</v>
      </c>
      <c r="E209" t="s">
        <v>41</v>
      </c>
      <c r="F209" s="8">
        <v>34</v>
      </c>
      <c r="G209" s="7">
        <v>113</v>
      </c>
      <c r="H209" s="7">
        <v>3842</v>
      </c>
      <c r="I209" s="4">
        <v>0.09</v>
      </c>
      <c r="J209" s="7">
        <v>3496.2200000000003</v>
      </c>
      <c r="K209" s="7">
        <f>Tabela1[[#This Row],[Valor Bruto]]-Tabela1[[#This Row],[Valor Venda]]</f>
        <v>345.77999999999975</v>
      </c>
      <c r="L209" s="1">
        <v>43966</v>
      </c>
      <c r="M209" s="1">
        <v>43966</v>
      </c>
      <c r="N209">
        <v>206</v>
      </c>
      <c r="O209">
        <v>5</v>
      </c>
      <c r="P209" t="s">
        <v>52</v>
      </c>
      <c r="Q209">
        <v>0.08</v>
      </c>
      <c r="R209" s="7">
        <v>279.69760000000002</v>
      </c>
      <c r="S209">
        <v>3</v>
      </c>
      <c r="T209" t="s">
        <v>111</v>
      </c>
    </row>
    <row r="210" spans="1:20">
      <c r="A210">
        <v>207</v>
      </c>
      <c r="B210" s="1">
        <v>43949</v>
      </c>
      <c r="C210">
        <v>57</v>
      </c>
      <c r="D210" t="s">
        <v>89</v>
      </c>
      <c r="E210" t="s">
        <v>46</v>
      </c>
      <c r="F210" s="8">
        <v>26</v>
      </c>
      <c r="G210" s="7">
        <v>103</v>
      </c>
      <c r="H210" s="7">
        <v>2678</v>
      </c>
      <c r="I210" s="4">
        <v>0.05</v>
      </c>
      <c r="J210" s="7">
        <v>2544.1</v>
      </c>
      <c r="K210" s="7">
        <f>Tabela1[[#This Row],[Valor Bruto]]-Tabela1[[#This Row],[Valor Venda]]</f>
        <v>133.90000000000009</v>
      </c>
      <c r="L210" s="1">
        <v>43971</v>
      </c>
      <c r="M210" s="1">
        <v>43971</v>
      </c>
      <c r="N210">
        <v>207</v>
      </c>
      <c r="O210">
        <v>3</v>
      </c>
      <c r="P210" t="s">
        <v>69</v>
      </c>
      <c r="Q210">
        <v>0.06</v>
      </c>
      <c r="R210" s="7">
        <v>152.64599999999999</v>
      </c>
      <c r="S210">
        <v>4</v>
      </c>
      <c r="T210" t="s">
        <v>111</v>
      </c>
    </row>
    <row r="211" spans="1:20">
      <c r="A211">
        <v>208</v>
      </c>
      <c r="B211" s="1">
        <v>43950</v>
      </c>
      <c r="C211">
        <v>13</v>
      </c>
      <c r="D211" t="s">
        <v>75</v>
      </c>
      <c r="E211" t="s">
        <v>21</v>
      </c>
      <c r="F211" s="8">
        <v>26</v>
      </c>
      <c r="G211" s="7">
        <v>112</v>
      </c>
      <c r="H211" s="7">
        <v>2912</v>
      </c>
      <c r="I211" s="4">
        <v>0.08</v>
      </c>
      <c r="J211" s="7">
        <v>2679.04</v>
      </c>
      <c r="K211" s="7">
        <f>Tabela1[[#This Row],[Valor Bruto]]-Tabela1[[#This Row],[Valor Venda]]</f>
        <v>232.96000000000004</v>
      </c>
      <c r="L211" s="1">
        <v>43978</v>
      </c>
      <c r="M211" s="1">
        <v>43978</v>
      </c>
      <c r="N211">
        <v>208</v>
      </c>
      <c r="O211">
        <v>6</v>
      </c>
      <c r="P211" t="s">
        <v>29</v>
      </c>
      <c r="Q211">
        <v>7.0000000000000007E-2</v>
      </c>
      <c r="R211" s="7">
        <v>187.53280000000001</v>
      </c>
      <c r="S211">
        <v>5</v>
      </c>
      <c r="T211" t="s">
        <v>111</v>
      </c>
    </row>
    <row r="212" spans="1:20">
      <c r="A212">
        <v>209</v>
      </c>
      <c r="B212" s="1">
        <v>43950</v>
      </c>
      <c r="C212">
        <v>4</v>
      </c>
      <c r="D212" t="s">
        <v>86</v>
      </c>
      <c r="E212" t="s">
        <v>24</v>
      </c>
      <c r="F212" s="8">
        <v>13</v>
      </c>
      <c r="G212" s="7">
        <v>90</v>
      </c>
      <c r="H212" s="7">
        <v>1170</v>
      </c>
      <c r="I212" s="4">
        <v>7.0000000000000007E-2</v>
      </c>
      <c r="J212" s="7">
        <v>1088.0999999999999</v>
      </c>
      <c r="K212" s="7">
        <f>Tabela1[[#This Row],[Valor Bruto]]-Tabela1[[#This Row],[Valor Venda]]</f>
        <v>81.900000000000091</v>
      </c>
      <c r="L212" s="1">
        <v>43954</v>
      </c>
      <c r="M212" s="1">
        <v>43954</v>
      </c>
      <c r="N212">
        <v>209</v>
      </c>
      <c r="O212">
        <v>1</v>
      </c>
      <c r="P212" t="s">
        <v>43</v>
      </c>
      <c r="Q212">
        <v>7.0000000000000007E-2</v>
      </c>
      <c r="R212" s="7">
        <v>76.167000000000002</v>
      </c>
      <c r="S212">
        <v>6</v>
      </c>
      <c r="T212" t="s">
        <v>111</v>
      </c>
    </row>
    <row r="213" spans="1:20">
      <c r="A213">
        <v>210</v>
      </c>
      <c r="B213" s="1">
        <v>43951</v>
      </c>
      <c r="C213">
        <v>51</v>
      </c>
      <c r="D213" t="s">
        <v>53</v>
      </c>
      <c r="E213" t="s">
        <v>24</v>
      </c>
      <c r="F213" s="8">
        <v>44</v>
      </c>
      <c r="G213" s="7">
        <v>113</v>
      </c>
      <c r="H213" s="7">
        <v>4972</v>
      </c>
      <c r="I213" s="4">
        <v>0.15</v>
      </c>
      <c r="J213" s="7">
        <v>4226.2</v>
      </c>
      <c r="K213" s="7">
        <f>Tabela1[[#This Row],[Valor Bruto]]-Tabela1[[#This Row],[Valor Venda]]</f>
        <v>745.80000000000018</v>
      </c>
      <c r="L213" s="1">
        <v>43958</v>
      </c>
      <c r="M213" s="1">
        <v>43958</v>
      </c>
      <c r="N213">
        <v>210</v>
      </c>
      <c r="O213">
        <v>5</v>
      </c>
      <c r="P213" t="s">
        <v>69</v>
      </c>
      <c r="Q213">
        <v>7.0000000000000007E-2</v>
      </c>
      <c r="R213" s="7">
        <v>295.834</v>
      </c>
      <c r="S213">
        <v>7</v>
      </c>
      <c r="T213" t="s">
        <v>111</v>
      </c>
    </row>
    <row r="214" spans="1:20">
      <c r="A214">
        <v>211</v>
      </c>
      <c r="B214" s="1">
        <v>43952</v>
      </c>
      <c r="C214">
        <v>22</v>
      </c>
      <c r="D214" t="s">
        <v>51</v>
      </c>
      <c r="E214" t="s">
        <v>54</v>
      </c>
      <c r="F214" s="8">
        <v>21</v>
      </c>
      <c r="G214" s="7">
        <v>113</v>
      </c>
      <c r="H214" s="7">
        <v>2373</v>
      </c>
      <c r="I214" s="4">
        <v>0.06</v>
      </c>
      <c r="J214" s="7">
        <v>2230.62</v>
      </c>
      <c r="K214" s="7">
        <f>Tabela1[[#This Row],[Valor Bruto]]-Tabela1[[#This Row],[Valor Venda]]</f>
        <v>142.38000000000011</v>
      </c>
      <c r="L214" s="1">
        <v>43972</v>
      </c>
      <c r="M214" s="1">
        <v>43972</v>
      </c>
      <c r="N214">
        <v>211</v>
      </c>
      <c r="O214">
        <v>5</v>
      </c>
      <c r="P214" t="s">
        <v>37</v>
      </c>
      <c r="Q214">
        <v>0.09</v>
      </c>
      <c r="R214" s="7">
        <v>200.75579999999999</v>
      </c>
      <c r="S214">
        <v>1</v>
      </c>
      <c r="T214" t="s">
        <v>112</v>
      </c>
    </row>
    <row r="215" spans="1:20">
      <c r="A215">
        <v>212</v>
      </c>
      <c r="B215" s="1">
        <v>43952</v>
      </c>
      <c r="C215">
        <v>27</v>
      </c>
      <c r="D215" t="s">
        <v>101</v>
      </c>
      <c r="E215" t="s">
        <v>21</v>
      </c>
      <c r="F215" s="8">
        <v>17</v>
      </c>
      <c r="G215" s="7">
        <v>90</v>
      </c>
      <c r="H215" s="7">
        <v>1530</v>
      </c>
      <c r="I215" s="4">
        <v>0.09</v>
      </c>
      <c r="J215" s="7">
        <v>1392.3</v>
      </c>
      <c r="K215" s="7">
        <f>Tabela1[[#This Row],[Valor Bruto]]-Tabela1[[#This Row],[Valor Venda]]</f>
        <v>137.70000000000005</v>
      </c>
      <c r="L215" s="1">
        <v>43968</v>
      </c>
      <c r="M215" s="1">
        <v>43968</v>
      </c>
      <c r="N215">
        <v>212</v>
      </c>
      <c r="O215">
        <v>3</v>
      </c>
      <c r="P215" t="s">
        <v>22</v>
      </c>
      <c r="Q215">
        <v>0.1</v>
      </c>
      <c r="R215" s="7">
        <v>139.22999999999999</v>
      </c>
      <c r="S215">
        <v>2</v>
      </c>
      <c r="T215" t="s">
        <v>112</v>
      </c>
    </row>
    <row r="216" spans="1:20">
      <c r="A216">
        <v>213</v>
      </c>
      <c r="B216" s="1">
        <v>43952</v>
      </c>
      <c r="C216">
        <v>83</v>
      </c>
      <c r="D216" t="s">
        <v>100</v>
      </c>
      <c r="E216" t="s">
        <v>50</v>
      </c>
      <c r="F216" s="8">
        <v>18</v>
      </c>
      <c r="G216" s="7">
        <v>105</v>
      </c>
      <c r="H216" s="7">
        <v>1890</v>
      </c>
      <c r="I216" s="4">
        <v>0.13</v>
      </c>
      <c r="J216" s="7">
        <v>1644.3</v>
      </c>
      <c r="K216" s="7">
        <f>Tabela1[[#This Row],[Valor Bruto]]-Tabela1[[#This Row],[Valor Venda]]</f>
        <v>245.70000000000005</v>
      </c>
      <c r="L216" s="1">
        <v>43964</v>
      </c>
      <c r="M216" s="1">
        <v>43964</v>
      </c>
      <c r="N216">
        <v>213</v>
      </c>
      <c r="O216">
        <v>1</v>
      </c>
      <c r="P216" t="s">
        <v>32</v>
      </c>
      <c r="Q216">
        <v>0.05</v>
      </c>
      <c r="R216" s="7">
        <v>82.215000000000003</v>
      </c>
      <c r="S216">
        <v>3</v>
      </c>
      <c r="T216" t="s">
        <v>112</v>
      </c>
    </row>
    <row r="217" spans="1:20">
      <c r="A217">
        <v>214</v>
      </c>
      <c r="B217" s="1">
        <v>43953</v>
      </c>
      <c r="C217">
        <v>38</v>
      </c>
      <c r="D217" t="s">
        <v>73</v>
      </c>
      <c r="E217" t="s">
        <v>41</v>
      </c>
      <c r="F217" s="8">
        <v>40</v>
      </c>
      <c r="G217" s="7">
        <v>98</v>
      </c>
      <c r="H217" s="7">
        <v>3920</v>
      </c>
      <c r="I217" s="4">
        <v>0.1</v>
      </c>
      <c r="J217" s="7">
        <v>3528</v>
      </c>
      <c r="K217" s="7">
        <f>Tabela1[[#This Row],[Valor Bruto]]-Tabela1[[#This Row],[Valor Venda]]</f>
        <v>392</v>
      </c>
      <c r="L217" s="1">
        <v>43978</v>
      </c>
      <c r="M217" s="1">
        <v>43978</v>
      </c>
      <c r="N217">
        <v>214</v>
      </c>
      <c r="O217">
        <v>7</v>
      </c>
      <c r="P217" t="s">
        <v>47</v>
      </c>
      <c r="Q217">
        <v>7.0000000000000007E-2</v>
      </c>
      <c r="R217" s="7">
        <v>246.96000000000004</v>
      </c>
      <c r="S217">
        <v>4</v>
      </c>
      <c r="T217" t="s">
        <v>112</v>
      </c>
    </row>
    <row r="218" spans="1:20">
      <c r="A218">
        <v>215</v>
      </c>
      <c r="B218" s="1">
        <v>43955</v>
      </c>
      <c r="C218">
        <v>35</v>
      </c>
      <c r="D218" t="s">
        <v>38</v>
      </c>
      <c r="E218" t="s">
        <v>46</v>
      </c>
      <c r="F218" s="8">
        <v>13</v>
      </c>
      <c r="G218" s="7">
        <v>99</v>
      </c>
      <c r="H218" s="7">
        <v>1287</v>
      </c>
      <c r="I218" s="4">
        <v>0.04</v>
      </c>
      <c r="J218" s="7">
        <v>1235.52</v>
      </c>
      <c r="K218" s="7">
        <f>Tabela1[[#This Row],[Valor Bruto]]-Tabela1[[#This Row],[Valor Venda]]</f>
        <v>51.480000000000018</v>
      </c>
      <c r="L218" s="1">
        <v>43966</v>
      </c>
      <c r="M218" s="1">
        <v>43966</v>
      </c>
      <c r="N218">
        <v>215</v>
      </c>
      <c r="O218">
        <v>1</v>
      </c>
      <c r="P218" t="s">
        <v>37</v>
      </c>
      <c r="Q218">
        <v>0.1</v>
      </c>
      <c r="R218" s="7">
        <v>123.55200000000001</v>
      </c>
      <c r="S218">
        <v>5</v>
      </c>
      <c r="T218" t="s">
        <v>112</v>
      </c>
    </row>
    <row r="219" spans="1:20">
      <c r="A219">
        <v>216</v>
      </c>
      <c r="B219" s="1">
        <v>43955</v>
      </c>
      <c r="C219">
        <v>3</v>
      </c>
      <c r="D219" t="s">
        <v>91</v>
      </c>
      <c r="E219" t="s">
        <v>46</v>
      </c>
      <c r="F219" s="8">
        <v>31</v>
      </c>
      <c r="G219" s="7">
        <v>105</v>
      </c>
      <c r="H219" s="7">
        <v>3255</v>
      </c>
      <c r="I219" s="4">
        <v>0.08</v>
      </c>
      <c r="J219" s="7">
        <v>2994.6</v>
      </c>
      <c r="K219" s="7">
        <f>Tabela1[[#This Row],[Valor Bruto]]-Tabela1[[#This Row],[Valor Venda]]</f>
        <v>260.40000000000009</v>
      </c>
      <c r="L219" s="1">
        <v>43973</v>
      </c>
      <c r="M219" s="1">
        <v>43973</v>
      </c>
      <c r="N219">
        <v>216</v>
      </c>
      <c r="O219">
        <v>2</v>
      </c>
      <c r="P219" t="s">
        <v>32</v>
      </c>
      <c r="Q219">
        <v>0.09</v>
      </c>
      <c r="R219" s="7">
        <v>269.51400000000001</v>
      </c>
      <c r="S219">
        <v>6</v>
      </c>
      <c r="T219" t="s">
        <v>112</v>
      </c>
    </row>
    <row r="220" spans="1:20">
      <c r="A220">
        <v>217</v>
      </c>
      <c r="B220" s="1">
        <v>43956</v>
      </c>
      <c r="C220">
        <v>25</v>
      </c>
      <c r="D220" t="s">
        <v>63</v>
      </c>
      <c r="E220" t="s">
        <v>31</v>
      </c>
      <c r="F220" s="8">
        <v>48</v>
      </c>
      <c r="G220" s="7">
        <v>108</v>
      </c>
      <c r="H220" s="7">
        <v>5184</v>
      </c>
      <c r="I220" s="4">
        <v>0.13</v>
      </c>
      <c r="J220" s="7">
        <v>4510.08</v>
      </c>
      <c r="K220" s="7">
        <f>Tabela1[[#This Row],[Valor Bruto]]-Tabela1[[#This Row],[Valor Venda]]</f>
        <v>673.92000000000007</v>
      </c>
      <c r="L220" s="1">
        <v>43974</v>
      </c>
      <c r="M220" s="1">
        <v>43974</v>
      </c>
      <c r="N220">
        <v>217</v>
      </c>
      <c r="O220">
        <v>7</v>
      </c>
      <c r="P220" t="s">
        <v>32</v>
      </c>
      <c r="Q220">
        <v>0.1</v>
      </c>
      <c r="R220" s="7">
        <v>451.00800000000004</v>
      </c>
      <c r="S220">
        <v>7</v>
      </c>
      <c r="T220" t="s">
        <v>112</v>
      </c>
    </row>
    <row r="221" spans="1:20">
      <c r="A221">
        <v>218</v>
      </c>
      <c r="B221" s="1">
        <v>43956</v>
      </c>
      <c r="C221">
        <v>8</v>
      </c>
      <c r="D221" t="s">
        <v>38</v>
      </c>
      <c r="E221" t="s">
        <v>50</v>
      </c>
      <c r="F221" s="8">
        <v>18</v>
      </c>
      <c r="G221" s="7">
        <v>90</v>
      </c>
      <c r="H221" s="7">
        <v>1620</v>
      </c>
      <c r="I221" s="4">
        <v>0.15</v>
      </c>
      <c r="J221" s="7">
        <v>1377</v>
      </c>
      <c r="K221" s="7">
        <f>Tabela1[[#This Row],[Valor Bruto]]-Tabela1[[#This Row],[Valor Venda]]</f>
        <v>243</v>
      </c>
      <c r="L221" s="1">
        <v>43959</v>
      </c>
      <c r="M221" s="1">
        <v>43959</v>
      </c>
      <c r="N221">
        <v>218</v>
      </c>
      <c r="O221">
        <v>6</v>
      </c>
      <c r="P221" t="s">
        <v>69</v>
      </c>
      <c r="Q221">
        <v>0.08</v>
      </c>
      <c r="R221" s="7">
        <v>110.16</v>
      </c>
      <c r="S221">
        <v>1</v>
      </c>
      <c r="T221" t="s">
        <v>112</v>
      </c>
    </row>
    <row r="222" spans="1:20">
      <c r="A222">
        <v>219</v>
      </c>
      <c r="B222" s="1">
        <v>43957</v>
      </c>
      <c r="C222">
        <v>20</v>
      </c>
      <c r="D222" t="s">
        <v>39</v>
      </c>
      <c r="E222" t="s">
        <v>59</v>
      </c>
      <c r="F222" s="8">
        <v>48</v>
      </c>
      <c r="G222" s="7">
        <v>120</v>
      </c>
      <c r="H222" s="7">
        <v>5760</v>
      </c>
      <c r="I222" s="4">
        <v>0.05</v>
      </c>
      <c r="J222" s="7">
        <v>5472</v>
      </c>
      <c r="K222" s="7">
        <f>Tabela1[[#This Row],[Valor Bruto]]-Tabela1[[#This Row],[Valor Venda]]</f>
        <v>288</v>
      </c>
      <c r="L222" s="1">
        <v>43957</v>
      </c>
      <c r="M222" s="1">
        <v>43957</v>
      </c>
      <c r="N222">
        <v>219</v>
      </c>
      <c r="O222">
        <v>5</v>
      </c>
      <c r="P222" t="s">
        <v>43</v>
      </c>
      <c r="Q222">
        <v>7.0000000000000007E-2</v>
      </c>
      <c r="R222" s="7">
        <v>383.04</v>
      </c>
      <c r="S222">
        <v>2</v>
      </c>
      <c r="T222" t="s">
        <v>112</v>
      </c>
    </row>
    <row r="223" spans="1:20">
      <c r="A223">
        <v>220</v>
      </c>
      <c r="B223" s="1">
        <v>43958</v>
      </c>
      <c r="C223">
        <v>78</v>
      </c>
      <c r="D223" t="s">
        <v>36</v>
      </c>
      <c r="E223" t="s">
        <v>31</v>
      </c>
      <c r="F223" s="8">
        <v>42</v>
      </c>
      <c r="G223" s="7">
        <v>104</v>
      </c>
      <c r="H223" s="7">
        <v>4368</v>
      </c>
      <c r="I223" s="4">
        <v>0.12</v>
      </c>
      <c r="J223" s="7">
        <v>3843.84</v>
      </c>
      <c r="K223" s="7">
        <f>Tabela1[[#This Row],[Valor Bruto]]-Tabela1[[#This Row],[Valor Venda]]</f>
        <v>524.15999999999985</v>
      </c>
      <c r="L223" s="1">
        <v>43965</v>
      </c>
      <c r="M223" s="1">
        <v>43965</v>
      </c>
      <c r="N223">
        <v>220</v>
      </c>
      <c r="O223">
        <v>3</v>
      </c>
      <c r="P223" t="s">
        <v>25</v>
      </c>
      <c r="Q223">
        <v>0.06</v>
      </c>
      <c r="R223" s="7">
        <v>230.63040000000001</v>
      </c>
      <c r="S223">
        <v>3</v>
      </c>
      <c r="T223" t="s">
        <v>112</v>
      </c>
    </row>
    <row r="224" spans="1:20">
      <c r="A224">
        <v>221</v>
      </c>
      <c r="B224" s="1">
        <v>43958</v>
      </c>
      <c r="C224">
        <v>99</v>
      </c>
      <c r="D224" t="s">
        <v>84</v>
      </c>
      <c r="E224" t="s">
        <v>54</v>
      </c>
      <c r="F224" s="8">
        <v>38</v>
      </c>
      <c r="G224" s="7">
        <v>113</v>
      </c>
      <c r="H224" s="7">
        <v>4294</v>
      </c>
      <c r="I224" s="4">
        <v>0.1</v>
      </c>
      <c r="J224" s="7">
        <v>3864.6</v>
      </c>
      <c r="K224" s="7">
        <f>Tabela1[[#This Row],[Valor Bruto]]-Tabela1[[#This Row],[Valor Venda]]</f>
        <v>429.40000000000009</v>
      </c>
      <c r="L224" s="1">
        <v>43976</v>
      </c>
      <c r="M224" s="1">
        <v>43976</v>
      </c>
      <c r="N224">
        <v>221</v>
      </c>
      <c r="O224">
        <v>7</v>
      </c>
      <c r="P224" t="s">
        <v>25</v>
      </c>
      <c r="Q224">
        <v>7.0000000000000007E-2</v>
      </c>
      <c r="R224" s="7">
        <v>270.52199999999999</v>
      </c>
      <c r="S224">
        <v>4</v>
      </c>
      <c r="T224" t="s">
        <v>112</v>
      </c>
    </row>
    <row r="225" spans="1:20">
      <c r="A225">
        <v>222</v>
      </c>
      <c r="B225" s="1">
        <v>43958</v>
      </c>
      <c r="C225">
        <v>98</v>
      </c>
      <c r="D225" t="s">
        <v>26</v>
      </c>
      <c r="E225" t="s">
        <v>59</v>
      </c>
      <c r="F225" s="8">
        <v>17</v>
      </c>
      <c r="G225" s="7">
        <v>120</v>
      </c>
      <c r="H225" s="7">
        <v>2040</v>
      </c>
      <c r="I225" s="4">
        <v>0.08</v>
      </c>
      <c r="J225" s="7">
        <v>1876.8</v>
      </c>
      <c r="K225" s="7">
        <f>Tabela1[[#This Row],[Valor Bruto]]-Tabela1[[#This Row],[Valor Venda]]</f>
        <v>163.20000000000005</v>
      </c>
      <c r="L225" s="1">
        <v>43967</v>
      </c>
      <c r="M225" s="1">
        <v>43967</v>
      </c>
      <c r="N225">
        <v>222</v>
      </c>
      <c r="O225">
        <v>2</v>
      </c>
      <c r="P225" t="s">
        <v>34</v>
      </c>
      <c r="Q225">
        <v>0.08</v>
      </c>
      <c r="R225" s="7">
        <v>150.14400000000001</v>
      </c>
      <c r="S225">
        <v>5</v>
      </c>
      <c r="T225" t="s">
        <v>112</v>
      </c>
    </row>
    <row r="226" spans="1:20">
      <c r="A226">
        <v>223</v>
      </c>
      <c r="B226" s="1">
        <v>43958</v>
      </c>
      <c r="C226">
        <v>97</v>
      </c>
      <c r="D226" t="s">
        <v>66</v>
      </c>
      <c r="E226" t="s">
        <v>24</v>
      </c>
      <c r="F226" s="8">
        <v>25</v>
      </c>
      <c r="G226" s="7">
        <v>117</v>
      </c>
      <c r="H226" s="7">
        <v>2925</v>
      </c>
      <c r="I226" s="4">
        <v>0.01</v>
      </c>
      <c r="J226" s="7">
        <v>2895.75</v>
      </c>
      <c r="K226" s="7">
        <f>Tabela1[[#This Row],[Valor Bruto]]-Tabela1[[#This Row],[Valor Venda]]</f>
        <v>29.25</v>
      </c>
      <c r="L226" s="1">
        <v>43976</v>
      </c>
      <c r="M226" s="1">
        <v>43976</v>
      </c>
      <c r="N226">
        <v>223</v>
      </c>
      <c r="O226">
        <v>5</v>
      </c>
      <c r="P226" t="s">
        <v>37</v>
      </c>
      <c r="Q226">
        <v>0.1</v>
      </c>
      <c r="R226" s="7">
        <v>289.57499999999999</v>
      </c>
      <c r="S226">
        <v>6</v>
      </c>
      <c r="T226" t="s">
        <v>112</v>
      </c>
    </row>
    <row r="227" spans="1:20">
      <c r="A227">
        <v>224</v>
      </c>
      <c r="B227" s="1">
        <v>43959</v>
      </c>
      <c r="C227">
        <v>61</v>
      </c>
      <c r="D227" t="s">
        <v>56</v>
      </c>
      <c r="E227" t="s">
        <v>28</v>
      </c>
      <c r="F227" s="8">
        <v>35</v>
      </c>
      <c r="G227" s="7">
        <v>104</v>
      </c>
      <c r="H227" s="7">
        <v>3640</v>
      </c>
      <c r="I227" s="4">
        <v>0.08</v>
      </c>
      <c r="J227" s="7">
        <v>3348.8</v>
      </c>
      <c r="K227" s="7">
        <f>Tabela1[[#This Row],[Valor Bruto]]-Tabela1[[#This Row],[Valor Venda]]</f>
        <v>291.19999999999982</v>
      </c>
      <c r="L227" s="1">
        <v>43976</v>
      </c>
      <c r="M227" s="1">
        <v>43976</v>
      </c>
      <c r="N227">
        <v>224</v>
      </c>
      <c r="O227">
        <v>3</v>
      </c>
      <c r="P227" t="s">
        <v>25</v>
      </c>
      <c r="Q227">
        <v>0.05</v>
      </c>
      <c r="R227" s="7">
        <v>167.44000000000003</v>
      </c>
      <c r="S227">
        <v>7</v>
      </c>
      <c r="T227" t="s">
        <v>112</v>
      </c>
    </row>
    <row r="228" spans="1:20">
      <c r="A228">
        <v>225</v>
      </c>
      <c r="B228" s="1">
        <v>43959</v>
      </c>
      <c r="C228">
        <v>46</v>
      </c>
      <c r="D228" t="s">
        <v>94</v>
      </c>
      <c r="E228" t="s">
        <v>31</v>
      </c>
      <c r="F228" s="8">
        <v>12</v>
      </c>
      <c r="G228" s="7">
        <v>107</v>
      </c>
      <c r="H228" s="7">
        <v>1284</v>
      </c>
      <c r="I228" s="4">
        <v>0.08</v>
      </c>
      <c r="J228" s="7">
        <v>1181.28</v>
      </c>
      <c r="K228" s="7">
        <f>Tabela1[[#This Row],[Valor Bruto]]-Tabela1[[#This Row],[Valor Venda]]</f>
        <v>102.72000000000003</v>
      </c>
      <c r="L228" s="1">
        <v>43974</v>
      </c>
      <c r="M228" s="1">
        <v>43974</v>
      </c>
      <c r="N228">
        <v>225</v>
      </c>
      <c r="O228">
        <v>5</v>
      </c>
      <c r="P228" t="s">
        <v>34</v>
      </c>
      <c r="Q228">
        <v>0.09</v>
      </c>
      <c r="R228" s="7">
        <v>106.31519999999999</v>
      </c>
      <c r="S228">
        <v>1</v>
      </c>
      <c r="T228" t="s">
        <v>112</v>
      </c>
    </row>
    <row r="229" spans="1:20">
      <c r="A229">
        <v>226</v>
      </c>
      <c r="B229" s="1">
        <v>43960</v>
      </c>
      <c r="C229">
        <v>8</v>
      </c>
      <c r="D229" t="s">
        <v>38</v>
      </c>
      <c r="E229" t="s">
        <v>24</v>
      </c>
      <c r="F229" s="8">
        <v>33</v>
      </c>
      <c r="G229" s="7">
        <v>107</v>
      </c>
      <c r="H229" s="7">
        <v>3531</v>
      </c>
      <c r="I229" s="4">
        <v>7.0000000000000007E-2</v>
      </c>
      <c r="J229" s="7">
        <v>3283.83</v>
      </c>
      <c r="K229" s="7">
        <f>Tabela1[[#This Row],[Valor Bruto]]-Tabela1[[#This Row],[Valor Venda]]</f>
        <v>247.17000000000007</v>
      </c>
      <c r="L229" s="1">
        <v>43972</v>
      </c>
      <c r="M229" s="1">
        <v>43972</v>
      </c>
      <c r="N229">
        <v>226</v>
      </c>
      <c r="O229">
        <v>2</v>
      </c>
      <c r="P229" t="s">
        <v>69</v>
      </c>
      <c r="Q229">
        <v>0.08</v>
      </c>
      <c r="R229" s="7">
        <v>262.70639999999997</v>
      </c>
      <c r="S229">
        <v>2</v>
      </c>
      <c r="T229" t="s">
        <v>112</v>
      </c>
    </row>
    <row r="230" spans="1:20">
      <c r="A230">
        <v>227</v>
      </c>
      <c r="B230" s="1">
        <v>43960</v>
      </c>
      <c r="C230">
        <v>93</v>
      </c>
      <c r="D230" t="s">
        <v>33</v>
      </c>
      <c r="E230" t="s">
        <v>55</v>
      </c>
      <c r="F230" s="8">
        <v>16</v>
      </c>
      <c r="G230" s="7">
        <v>92</v>
      </c>
      <c r="H230" s="7">
        <v>1472</v>
      </c>
      <c r="I230" s="4">
        <v>0.01</v>
      </c>
      <c r="J230" s="7">
        <v>1457.28</v>
      </c>
      <c r="K230" s="7">
        <f>Tabela1[[#This Row],[Valor Bruto]]-Tabela1[[#This Row],[Valor Venda]]</f>
        <v>14.720000000000027</v>
      </c>
      <c r="L230" s="1">
        <v>43982</v>
      </c>
      <c r="M230" s="1">
        <v>43982</v>
      </c>
      <c r="N230">
        <v>227</v>
      </c>
      <c r="O230">
        <v>1</v>
      </c>
      <c r="P230" t="s">
        <v>29</v>
      </c>
      <c r="Q230">
        <v>0.05</v>
      </c>
      <c r="R230" s="7">
        <v>72.864000000000004</v>
      </c>
      <c r="S230">
        <v>3</v>
      </c>
      <c r="T230" t="s">
        <v>112</v>
      </c>
    </row>
    <row r="231" spans="1:20">
      <c r="A231">
        <v>228</v>
      </c>
      <c r="B231" s="1">
        <v>43961</v>
      </c>
      <c r="C231">
        <v>72</v>
      </c>
      <c r="D231" t="s">
        <v>38</v>
      </c>
      <c r="E231" t="s">
        <v>55</v>
      </c>
      <c r="F231" s="8">
        <v>35</v>
      </c>
      <c r="G231" s="7">
        <v>91</v>
      </c>
      <c r="H231" s="7">
        <v>3185</v>
      </c>
      <c r="I231" s="4">
        <v>0.05</v>
      </c>
      <c r="J231" s="7">
        <v>3025.75</v>
      </c>
      <c r="K231" s="7">
        <f>Tabela1[[#This Row],[Valor Bruto]]-Tabela1[[#This Row],[Valor Venda]]</f>
        <v>159.25</v>
      </c>
      <c r="L231" s="1">
        <v>43974</v>
      </c>
      <c r="M231" s="1">
        <v>43974</v>
      </c>
      <c r="N231">
        <v>228</v>
      </c>
      <c r="O231">
        <v>3</v>
      </c>
      <c r="P231" t="s">
        <v>37</v>
      </c>
      <c r="Q231">
        <v>0.1</v>
      </c>
      <c r="R231" s="7">
        <v>302.57499999999999</v>
      </c>
      <c r="S231">
        <v>4</v>
      </c>
      <c r="T231" t="s">
        <v>112</v>
      </c>
    </row>
    <row r="232" spans="1:20">
      <c r="A232">
        <v>229</v>
      </c>
      <c r="B232" s="1">
        <v>43961</v>
      </c>
      <c r="C232">
        <v>13</v>
      </c>
      <c r="D232" t="s">
        <v>75</v>
      </c>
      <c r="E232" t="s">
        <v>31</v>
      </c>
      <c r="F232" s="8">
        <v>10</v>
      </c>
      <c r="G232" s="7">
        <v>97</v>
      </c>
      <c r="H232" s="7">
        <v>970</v>
      </c>
      <c r="I232" s="4">
        <v>0.11</v>
      </c>
      <c r="J232" s="7">
        <v>863.3</v>
      </c>
      <c r="K232" s="7">
        <f>Tabela1[[#This Row],[Valor Bruto]]-Tabela1[[#This Row],[Valor Venda]]</f>
        <v>106.70000000000005</v>
      </c>
      <c r="L232" s="1">
        <v>43983</v>
      </c>
      <c r="M232" s="1">
        <v>43983</v>
      </c>
      <c r="N232">
        <v>229</v>
      </c>
      <c r="O232">
        <v>4</v>
      </c>
      <c r="P232" t="s">
        <v>43</v>
      </c>
      <c r="Q232">
        <v>0.05</v>
      </c>
      <c r="R232" s="7">
        <v>43.164999999999999</v>
      </c>
      <c r="S232">
        <v>5</v>
      </c>
      <c r="T232" t="s">
        <v>112</v>
      </c>
    </row>
    <row r="233" spans="1:20">
      <c r="A233">
        <v>230</v>
      </c>
      <c r="B233" s="1">
        <v>43961</v>
      </c>
      <c r="C233">
        <v>39</v>
      </c>
      <c r="D233" t="s">
        <v>38</v>
      </c>
      <c r="E233" t="s">
        <v>24</v>
      </c>
      <c r="F233" s="8">
        <v>50</v>
      </c>
      <c r="G233" s="7">
        <v>114</v>
      </c>
      <c r="H233" s="7">
        <v>5700</v>
      </c>
      <c r="I233" s="4">
        <v>0.08</v>
      </c>
      <c r="J233" s="7">
        <v>5244</v>
      </c>
      <c r="K233" s="7">
        <f>Tabela1[[#This Row],[Valor Bruto]]-Tabela1[[#This Row],[Valor Venda]]</f>
        <v>456</v>
      </c>
      <c r="L233" s="1">
        <v>43971</v>
      </c>
      <c r="M233" s="1">
        <v>43971</v>
      </c>
      <c r="N233">
        <v>230</v>
      </c>
      <c r="O233">
        <v>4</v>
      </c>
      <c r="P233" t="s">
        <v>29</v>
      </c>
      <c r="Q233">
        <v>0.09</v>
      </c>
      <c r="R233" s="7">
        <v>471.96</v>
      </c>
      <c r="S233">
        <v>6</v>
      </c>
      <c r="T233" t="s">
        <v>112</v>
      </c>
    </row>
    <row r="234" spans="1:20">
      <c r="A234">
        <v>231</v>
      </c>
      <c r="B234" s="1">
        <v>43961</v>
      </c>
      <c r="C234">
        <v>72</v>
      </c>
      <c r="D234" t="s">
        <v>38</v>
      </c>
      <c r="E234" t="s">
        <v>31</v>
      </c>
      <c r="F234" s="8">
        <v>41</v>
      </c>
      <c r="G234" s="7">
        <v>118</v>
      </c>
      <c r="H234" s="7">
        <v>4838</v>
      </c>
      <c r="I234" s="4">
        <v>0.13</v>
      </c>
      <c r="J234" s="7">
        <v>4209.0599999999995</v>
      </c>
      <c r="K234" s="7">
        <f>Tabela1[[#This Row],[Valor Bruto]]-Tabela1[[#This Row],[Valor Venda]]</f>
        <v>628.94000000000051</v>
      </c>
      <c r="L234" s="1">
        <v>43981</v>
      </c>
      <c r="M234" s="1">
        <v>43981</v>
      </c>
      <c r="N234">
        <v>231</v>
      </c>
      <c r="O234">
        <v>3</v>
      </c>
      <c r="P234" t="s">
        <v>29</v>
      </c>
      <c r="Q234">
        <v>0.06</v>
      </c>
      <c r="R234" s="7">
        <v>252.54359999999997</v>
      </c>
      <c r="S234">
        <v>7</v>
      </c>
      <c r="T234" t="s">
        <v>112</v>
      </c>
    </row>
    <row r="235" spans="1:20">
      <c r="A235">
        <v>232</v>
      </c>
      <c r="B235" s="1">
        <v>43962</v>
      </c>
      <c r="C235">
        <v>3</v>
      </c>
      <c r="D235" t="s">
        <v>91</v>
      </c>
      <c r="E235" t="s">
        <v>59</v>
      </c>
      <c r="F235" s="8">
        <v>35</v>
      </c>
      <c r="G235" s="7">
        <v>91</v>
      </c>
      <c r="H235" s="7">
        <v>3185</v>
      </c>
      <c r="I235" s="4">
        <v>0.09</v>
      </c>
      <c r="J235" s="7">
        <v>2898.35</v>
      </c>
      <c r="K235" s="7">
        <f>Tabela1[[#This Row],[Valor Bruto]]-Tabela1[[#This Row],[Valor Venda]]</f>
        <v>286.65000000000009</v>
      </c>
      <c r="L235" s="1">
        <v>43987</v>
      </c>
      <c r="M235" s="1">
        <v>43987</v>
      </c>
      <c r="N235">
        <v>232</v>
      </c>
      <c r="O235">
        <v>1</v>
      </c>
      <c r="P235" t="s">
        <v>29</v>
      </c>
      <c r="Q235">
        <v>0.06</v>
      </c>
      <c r="R235" s="7">
        <v>173.90099999999998</v>
      </c>
      <c r="S235">
        <v>1</v>
      </c>
      <c r="T235" t="s">
        <v>112</v>
      </c>
    </row>
    <row r="236" spans="1:20">
      <c r="A236">
        <v>233</v>
      </c>
      <c r="B236" s="1">
        <v>43962</v>
      </c>
      <c r="C236">
        <v>44</v>
      </c>
      <c r="D236" t="s">
        <v>71</v>
      </c>
      <c r="E236" t="s">
        <v>28</v>
      </c>
      <c r="F236" s="8">
        <v>15</v>
      </c>
      <c r="G236" s="7">
        <v>106</v>
      </c>
      <c r="H236" s="7">
        <v>1590</v>
      </c>
      <c r="I236" s="4">
        <v>0.1</v>
      </c>
      <c r="J236" s="7">
        <v>1431</v>
      </c>
      <c r="K236" s="7">
        <f>Tabela1[[#This Row],[Valor Bruto]]-Tabela1[[#This Row],[Valor Venda]]</f>
        <v>159</v>
      </c>
      <c r="L236" s="1">
        <v>43977</v>
      </c>
      <c r="M236" s="1">
        <v>43977</v>
      </c>
      <c r="N236">
        <v>233</v>
      </c>
      <c r="O236">
        <v>4</v>
      </c>
      <c r="P236" t="s">
        <v>43</v>
      </c>
      <c r="Q236">
        <v>0.05</v>
      </c>
      <c r="R236" s="7">
        <v>71.55</v>
      </c>
      <c r="S236">
        <v>2</v>
      </c>
      <c r="T236" t="s">
        <v>112</v>
      </c>
    </row>
    <row r="237" spans="1:20">
      <c r="A237">
        <v>234</v>
      </c>
      <c r="B237" s="1">
        <v>43963</v>
      </c>
      <c r="C237">
        <v>32</v>
      </c>
      <c r="D237" t="s">
        <v>77</v>
      </c>
      <c r="E237" t="s">
        <v>28</v>
      </c>
      <c r="F237" s="8">
        <v>31</v>
      </c>
      <c r="G237" s="7">
        <v>118</v>
      </c>
      <c r="H237" s="7">
        <v>3658</v>
      </c>
      <c r="I237" s="4">
        <v>7.0000000000000007E-2</v>
      </c>
      <c r="J237" s="7">
        <v>3401.94</v>
      </c>
      <c r="K237" s="7">
        <f>Tabela1[[#This Row],[Valor Bruto]]-Tabela1[[#This Row],[Valor Venda]]</f>
        <v>256.05999999999995</v>
      </c>
      <c r="L237" s="1">
        <v>43990</v>
      </c>
      <c r="M237" s="1">
        <v>43990</v>
      </c>
      <c r="N237">
        <v>234</v>
      </c>
      <c r="O237">
        <v>3</v>
      </c>
      <c r="P237" t="s">
        <v>47</v>
      </c>
      <c r="Q237">
        <v>0.1</v>
      </c>
      <c r="R237" s="7">
        <v>340.19400000000002</v>
      </c>
      <c r="S237">
        <v>3</v>
      </c>
      <c r="T237" t="s">
        <v>112</v>
      </c>
    </row>
    <row r="238" spans="1:20">
      <c r="A238">
        <v>235</v>
      </c>
      <c r="B238" s="1">
        <v>43963</v>
      </c>
      <c r="C238">
        <v>47</v>
      </c>
      <c r="D238" t="s">
        <v>40</v>
      </c>
      <c r="E238" t="s">
        <v>41</v>
      </c>
      <c r="F238" s="8">
        <v>35</v>
      </c>
      <c r="G238" s="7">
        <v>103</v>
      </c>
      <c r="H238" s="7">
        <v>3605</v>
      </c>
      <c r="I238" s="4">
        <v>7.0000000000000007E-2</v>
      </c>
      <c r="J238" s="7">
        <v>3352.65</v>
      </c>
      <c r="K238" s="7">
        <f>Tabela1[[#This Row],[Valor Bruto]]-Tabela1[[#This Row],[Valor Venda]]</f>
        <v>252.34999999999991</v>
      </c>
      <c r="L238" s="1">
        <v>43981</v>
      </c>
      <c r="M238" s="1">
        <v>43981</v>
      </c>
      <c r="N238">
        <v>235</v>
      </c>
      <c r="O238">
        <v>1</v>
      </c>
      <c r="P238" t="s">
        <v>37</v>
      </c>
      <c r="Q238">
        <v>0.08</v>
      </c>
      <c r="R238" s="7">
        <v>268.21199999999999</v>
      </c>
      <c r="S238">
        <v>4</v>
      </c>
      <c r="T238" t="s">
        <v>112</v>
      </c>
    </row>
    <row r="239" spans="1:20">
      <c r="A239">
        <v>236</v>
      </c>
      <c r="B239" s="1">
        <v>43964</v>
      </c>
      <c r="C239">
        <v>29</v>
      </c>
      <c r="D239" t="s">
        <v>98</v>
      </c>
      <c r="E239" t="s">
        <v>50</v>
      </c>
      <c r="F239" s="8">
        <v>17</v>
      </c>
      <c r="G239" s="7">
        <v>100</v>
      </c>
      <c r="H239" s="7">
        <v>1700</v>
      </c>
      <c r="I239" s="4">
        <v>0.11</v>
      </c>
      <c r="J239" s="7">
        <v>1513</v>
      </c>
      <c r="K239" s="7">
        <f>Tabela1[[#This Row],[Valor Bruto]]-Tabela1[[#This Row],[Valor Venda]]</f>
        <v>187</v>
      </c>
      <c r="L239" s="1">
        <v>43964</v>
      </c>
      <c r="M239" s="1">
        <v>43964</v>
      </c>
      <c r="N239">
        <v>236</v>
      </c>
      <c r="O239">
        <v>1</v>
      </c>
      <c r="P239" t="s">
        <v>52</v>
      </c>
      <c r="Q239">
        <v>7.0000000000000007E-2</v>
      </c>
      <c r="R239" s="7">
        <v>105.91000000000001</v>
      </c>
      <c r="S239">
        <v>5</v>
      </c>
      <c r="T239" t="s">
        <v>112</v>
      </c>
    </row>
    <row r="240" spans="1:20">
      <c r="A240">
        <v>237</v>
      </c>
      <c r="B240" s="1">
        <v>43964</v>
      </c>
      <c r="C240">
        <v>11</v>
      </c>
      <c r="D240" t="s">
        <v>60</v>
      </c>
      <c r="E240" t="s">
        <v>28</v>
      </c>
      <c r="F240" s="8">
        <v>40</v>
      </c>
      <c r="G240" s="7">
        <v>116</v>
      </c>
      <c r="H240" s="7">
        <v>4640</v>
      </c>
      <c r="I240" s="4">
        <v>0.02</v>
      </c>
      <c r="J240" s="7">
        <v>4547.2</v>
      </c>
      <c r="K240" s="7">
        <f>Tabela1[[#This Row],[Valor Bruto]]-Tabela1[[#This Row],[Valor Venda]]</f>
        <v>92.800000000000182</v>
      </c>
      <c r="L240" s="1">
        <v>43973</v>
      </c>
      <c r="M240" s="1">
        <v>43973</v>
      </c>
      <c r="N240">
        <v>237</v>
      </c>
      <c r="O240">
        <v>6</v>
      </c>
      <c r="P240" t="s">
        <v>32</v>
      </c>
      <c r="Q240">
        <v>0.05</v>
      </c>
      <c r="R240" s="7">
        <v>227.36</v>
      </c>
      <c r="S240">
        <v>6</v>
      </c>
      <c r="T240" t="s">
        <v>112</v>
      </c>
    </row>
    <row r="241" spans="1:20">
      <c r="A241">
        <v>238</v>
      </c>
      <c r="B241" s="1">
        <v>43964</v>
      </c>
      <c r="C241">
        <v>66</v>
      </c>
      <c r="D241" t="s">
        <v>30</v>
      </c>
      <c r="E241" t="s">
        <v>24</v>
      </c>
      <c r="F241" s="8">
        <v>46</v>
      </c>
      <c r="G241" s="7">
        <v>113</v>
      </c>
      <c r="H241" s="7">
        <v>5198</v>
      </c>
      <c r="I241" s="4">
        <v>0.01</v>
      </c>
      <c r="J241" s="7">
        <v>5146.0200000000004</v>
      </c>
      <c r="K241" s="7">
        <f>Tabela1[[#This Row],[Valor Bruto]]-Tabela1[[#This Row],[Valor Venda]]</f>
        <v>51.979999999999563</v>
      </c>
      <c r="L241" s="1">
        <v>43974</v>
      </c>
      <c r="M241" s="1">
        <v>43974</v>
      </c>
      <c r="N241">
        <v>238</v>
      </c>
      <c r="O241">
        <v>7</v>
      </c>
      <c r="P241" t="s">
        <v>29</v>
      </c>
      <c r="Q241">
        <v>7.0000000000000007E-2</v>
      </c>
      <c r="R241" s="7">
        <v>360.22140000000007</v>
      </c>
      <c r="S241">
        <v>7</v>
      </c>
      <c r="T241" t="s">
        <v>112</v>
      </c>
    </row>
    <row r="242" spans="1:20">
      <c r="A242">
        <v>239</v>
      </c>
      <c r="B242" s="1">
        <v>43965</v>
      </c>
      <c r="C242">
        <v>17</v>
      </c>
      <c r="D242" t="s">
        <v>67</v>
      </c>
      <c r="E242" t="s">
        <v>55</v>
      </c>
      <c r="F242" s="8">
        <v>31</v>
      </c>
      <c r="G242" s="7">
        <v>96</v>
      </c>
      <c r="H242" s="7">
        <v>2976</v>
      </c>
      <c r="I242" s="4">
        <v>0.11</v>
      </c>
      <c r="J242" s="7">
        <v>2648.64</v>
      </c>
      <c r="K242" s="7">
        <f>Tabela1[[#This Row],[Valor Bruto]]-Tabela1[[#This Row],[Valor Venda]]</f>
        <v>327.36000000000013</v>
      </c>
      <c r="L242" s="1">
        <v>43987</v>
      </c>
      <c r="M242" s="1">
        <v>43987</v>
      </c>
      <c r="N242">
        <v>239</v>
      </c>
      <c r="O242">
        <v>4</v>
      </c>
      <c r="P242" t="s">
        <v>32</v>
      </c>
      <c r="Q242">
        <v>0.1</v>
      </c>
      <c r="R242" s="7">
        <v>264.86399999999998</v>
      </c>
      <c r="S242">
        <v>1</v>
      </c>
      <c r="T242" t="s">
        <v>112</v>
      </c>
    </row>
    <row r="243" spans="1:20">
      <c r="A243">
        <v>240</v>
      </c>
      <c r="B243" s="1">
        <v>43965</v>
      </c>
      <c r="C243">
        <v>12</v>
      </c>
      <c r="D243" t="s">
        <v>45</v>
      </c>
      <c r="E243" t="s">
        <v>50</v>
      </c>
      <c r="F243" s="8">
        <v>45</v>
      </c>
      <c r="G243" s="7">
        <v>119</v>
      </c>
      <c r="H243" s="7">
        <v>5355</v>
      </c>
      <c r="I243" s="4">
        <v>0.05</v>
      </c>
      <c r="J243" s="7">
        <v>5087.25</v>
      </c>
      <c r="K243" s="7">
        <f>Tabela1[[#This Row],[Valor Bruto]]-Tabela1[[#This Row],[Valor Venda]]</f>
        <v>267.75</v>
      </c>
      <c r="L243" s="1">
        <v>43982</v>
      </c>
      <c r="M243" s="1">
        <v>43982</v>
      </c>
      <c r="N243">
        <v>240</v>
      </c>
      <c r="O243">
        <v>7</v>
      </c>
      <c r="P243" t="s">
        <v>47</v>
      </c>
      <c r="Q243">
        <v>0.05</v>
      </c>
      <c r="R243" s="7">
        <v>254.36250000000001</v>
      </c>
      <c r="S243">
        <v>2</v>
      </c>
      <c r="T243" t="s">
        <v>112</v>
      </c>
    </row>
    <row r="244" spans="1:20">
      <c r="A244">
        <v>241</v>
      </c>
      <c r="B244" s="1">
        <v>43965</v>
      </c>
      <c r="C244">
        <v>94</v>
      </c>
      <c r="D244" t="s">
        <v>49</v>
      </c>
      <c r="E244" t="s">
        <v>31</v>
      </c>
      <c r="F244" s="8">
        <v>41</v>
      </c>
      <c r="G244" s="7">
        <v>91</v>
      </c>
      <c r="H244" s="7">
        <v>3731</v>
      </c>
      <c r="I244" s="4">
        <v>0.11</v>
      </c>
      <c r="J244" s="7">
        <v>3320.59</v>
      </c>
      <c r="K244" s="7">
        <f>Tabela1[[#This Row],[Valor Bruto]]-Tabela1[[#This Row],[Valor Venda]]</f>
        <v>410.40999999999985</v>
      </c>
      <c r="L244" s="1">
        <v>43983</v>
      </c>
      <c r="M244" s="1">
        <v>43983</v>
      </c>
      <c r="N244">
        <v>241</v>
      </c>
      <c r="O244">
        <v>5</v>
      </c>
      <c r="P244" t="s">
        <v>29</v>
      </c>
      <c r="Q244">
        <v>0.05</v>
      </c>
      <c r="R244" s="7">
        <v>166.02950000000001</v>
      </c>
      <c r="S244">
        <v>3</v>
      </c>
      <c r="T244" t="s">
        <v>112</v>
      </c>
    </row>
    <row r="245" spans="1:20">
      <c r="A245">
        <v>242</v>
      </c>
      <c r="B245" s="1">
        <v>43966</v>
      </c>
      <c r="C245">
        <v>60</v>
      </c>
      <c r="D245" t="s">
        <v>82</v>
      </c>
      <c r="E245" t="s">
        <v>54</v>
      </c>
      <c r="F245" s="8">
        <v>21</v>
      </c>
      <c r="G245" s="7">
        <v>107</v>
      </c>
      <c r="H245" s="7">
        <v>2247</v>
      </c>
      <c r="I245" s="4">
        <v>0.09</v>
      </c>
      <c r="J245" s="7">
        <v>2044.77</v>
      </c>
      <c r="K245" s="7">
        <f>Tabela1[[#This Row],[Valor Bruto]]-Tabela1[[#This Row],[Valor Venda]]</f>
        <v>202.23000000000002</v>
      </c>
      <c r="L245" s="1">
        <v>43989</v>
      </c>
      <c r="M245" s="1">
        <v>43989</v>
      </c>
      <c r="N245">
        <v>242</v>
      </c>
      <c r="O245">
        <v>7</v>
      </c>
      <c r="P245" t="s">
        <v>69</v>
      </c>
      <c r="Q245">
        <v>0.1</v>
      </c>
      <c r="R245" s="7">
        <v>204.477</v>
      </c>
      <c r="S245">
        <v>4</v>
      </c>
      <c r="T245" t="s">
        <v>112</v>
      </c>
    </row>
    <row r="246" spans="1:20">
      <c r="A246">
        <v>243</v>
      </c>
      <c r="B246" s="1">
        <v>43966</v>
      </c>
      <c r="C246">
        <v>70</v>
      </c>
      <c r="D246" t="s">
        <v>67</v>
      </c>
      <c r="E246" t="s">
        <v>54</v>
      </c>
      <c r="F246" s="8">
        <v>50</v>
      </c>
      <c r="G246" s="7">
        <v>98</v>
      </c>
      <c r="H246" s="7">
        <v>4900</v>
      </c>
      <c r="I246" s="4">
        <v>0.13</v>
      </c>
      <c r="J246" s="7">
        <v>4263</v>
      </c>
      <c r="K246" s="7">
        <f>Tabela1[[#This Row],[Valor Bruto]]-Tabela1[[#This Row],[Valor Venda]]</f>
        <v>637</v>
      </c>
      <c r="L246" s="1">
        <v>43978</v>
      </c>
      <c r="M246" s="1">
        <v>43978</v>
      </c>
      <c r="N246">
        <v>243</v>
      </c>
      <c r="O246">
        <v>3</v>
      </c>
      <c r="P246" t="s">
        <v>22</v>
      </c>
      <c r="Q246">
        <v>0.1</v>
      </c>
      <c r="R246" s="7">
        <v>426.3</v>
      </c>
      <c r="S246">
        <v>5</v>
      </c>
      <c r="T246" t="s">
        <v>112</v>
      </c>
    </row>
    <row r="247" spans="1:20">
      <c r="A247">
        <v>244</v>
      </c>
      <c r="B247" s="1">
        <v>43966</v>
      </c>
      <c r="C247">
        <v>41</v>
      </c>
      <c r="D247" t="s">
        <v>68</v>
      </c>
      <c r="E247" t="s">
        <v>31</v>
      </c>
      <c r="F247" s="8">
        <v>16</v>
      </c>
      <c r="G247" s="7">
        <v>107</v>
      </c>
      <c r="H247" s="7">
        <v>1712</v>
      </c>
      <c r="I247" s="4">
        <v>0.04</v>
      </c>
      <c r="J247" s="7">
        <v>1643.52</v>
      </c>
      <c r="K247" s="7">
        <f>Tabela1[[#This Row],[Valor Bruto]]-Tabela1[[#This Row],[Valor Venda]]</f>
        <v>68.480000000000018</v>
      </c>
      <c r="L247" s="1">
        <v>43988</v>
      </c>
      <c r="M247" s="1">
        <v>43988</v>
      </c>
      <c r="N247">
        <v>244</v>
      </c>
      <c r="O247">
        <v>4</v>
      </c>
      <c r="P247" t="s">
        <v>47</v>
      </c>
      <c r="Q247">
        <v>0.08</v>
      </c>
      <c r="R247" s="7">
        <v>131.48160000000001</v>
      </c>
      <c r="S247">
        <v>6</v>
      </c>
      <c r="T247" t="s">
        <v>112</v>
      </c>
    </row>
    <row r="248" spans="1:20">
      <c r="A248">
        <v>245</v>
      </c>
      <c r="B248" s="1">
        <v>43967</v>
      </c>
      <c r="C248">
        <v>46</v>
      </c>
      <c r="D248" t="s">
        <v>94</v>
      </c>
      <c r="E248" t="s">
        <v>24</v>
      </c>
      <c r="F248" s="8">
        <v>38</v>
      </c>
      <c r="G248" s="7">
        <v>113</v>
      </c>
      <c r="H248" s="7">
        <v>4294</v>
      </c>
      <c r="I248" s="4">
        <v>0.11</v>
      </c>
      <c r="J248" s="7">
        <v>3821.66</v>
      </c>
      <c r="K248" s="7">
        <f>Tabela1[[#This Row],[Valor Bruto]]-Tabela1[[#This Row],[Valor Venda]]</f>
        <v>472.34000000000015</v>
      </c>
      <c r="L248" s="1">
        <v>43970</v>
      </c>
      <c r="M248" s="1">
        <v>43970</v>
      </c>
      <c r="N248">
        <v>245</v>
      </c>
      <c r="O248">
        <v>6</v>
      </c>
      <c r="P248" t="s">
        <v>32</v>
      </c>
      <c r="Q248">
        <v>0.05</v>
      </c>
      <c r="R248" s="7">
        <v>191.083</v>
      </c>
      <c r="S248">
        <v>7</v>
      </c>
      <c r="T248" t="s">
        <v>112</v>
      </c>
    </row>
    <row r="249" spans="1:20">
      <c r="A249">
        <v>246</v>
      </c>
      <c r="B249" s="1">
        <v>43967</v>
      </c>
      <c r="C249">
        <v>61</v>
      </c>
      <c r="D249" t="s">
        <v>56</v>
      </c>
      <c r="E249" t="s">
        <v>46</v>
      </c>
      <c r="F249" s="8">
        <v>32</v>
      </c>
      <c r="G249" s="7">
        <v>98</v>
      </c>
      <c r="H249" s="7">
        <v>3136</v>
      </c>
      <c r="I249" s="4">
        <v>0.13</v>
      </c>
      <c r="J249" s="7">
        <v>2728.32</v>
      </c>
      <c r="K249" s="7">
        <f>Tabela1[[#This Row],[Valor Bruto]]-Tabela1[[#This Row],[Valor Venda]]</f>
        <v>407.67999999999984</v>
      </c>
      <c r="L249" s="1">
        <v>43976</v>
      </c>
      <c r="M249" s="1">
        <v>43976</v>
      </c>
      <c r="N249">
        <v>246</v>
      </c>
      <c r="O249">
        <v>7</v>
      </c>
      <c r="P249" t="s">
        <v>25</v>
      </c>
      <c r="Q249">
        <v>7.0000000000000007E-2</v>
      </c>
      <c r="R249" s="7">
        <v>190.98240000000004</v>
      </c>
      <c r="S249">
        <v>1</v>
      </c>
      <c r="T249" t="s">
        <v>112</v>
      </c>
    </row>
    <row r="250" spans="1:20">
      <c r="A250">
        <v>247</v>
      </c>
      <c r="B250" s="1">
        <v>43968</v>
      </c>
      <c r="C250">
        <v>14</v>
      </c>
      <c r="D250" t="s">
        <v>27</v>
      </c>
      <c r="E250" t="s">
        <v>59</v>
      </c>
      <c r="F250" s="8">
        <v>11</v>
      </c>
      <c r="G250" s="7">
        <v>100</v>
      </c>
      <c r="H250" s="7">
        <v>1100</v>
      </c>
      <c r="I250" s="4">
        <v>0.12</v>
      </c>
      <c r="J250" s="7">
        <v>968</v>
      </c>
      <c r="K250" s="7">
        <f>Tabela1[[#This Row],[Valor Bruto]]-Tabela1[[#This Row],[Valor Venda]]</f>
        <v>132</v>
      </c>
      <c r="L250" s="1">
        <v>43991</v>
      </c>
      <c r="M250" s="1">
        <v>43991</v>
      </c>
      <c r="N250">
        <v>247</v>
      </c>
      <c r="O250">
        <v>4</v>
      </c>
      <c r="P250" t="s">
        <v>25</v>
      </c>
      <c r="Q250">
        <v>0.09</v>
      </c>
      <c r="R250" s="7">
        <v>87.11999999999999</v>
      </c>
      <c r="S250">
        <v>2</v>
      </c>
      <c r="T250" t="s">
        <v>112</v>
      </c>
    </row>
    <row r="251" spans="1:20">
      <c r="A251">
        <v>248</v>
      </c>
      <c r="B251" s="1">
        <v>43968</v>
      </c>
      <c r="C251">
        <v>77</v>
      </c>
      <c r="D251" t="s">
        <v>65</v>
      </c>
      <c r="E251" t="s">
        <v>54</v>
      </c>
      <c r="F251" s="8">
        <v>33</v>
      </c>
      <c r="G251" s="7">
        <v>117</v>
      </c>
      <c r="H251" s="7">
        <v>3861</v>
      </c>
      <c r="I251" s="4">
        <v>0.04</v>
      </c>
      <c r="J251" s="7">
        <v>3706.56</v>
      </c>
      <c r="K251" s="7">
        <f>Tabela1[[#This Row],[Valor Bruto]]-Tabela1[[#This Row],[Valor Venda]]</f>
        <v>154.44000000000005</v>
      </c>
      <c r="L251" s="1">
        <v>43996</v>
      </c>
      <c r="M251" s="1">
        <v>43996</v>
      </c>
      <c r="N251">
        <v>248</v>
      </c>
      <c r="O251">
        <v>7</v>
      </c>
      <c r="P251" t="s">
        <v>34</v>
      </c>
      <c r="Q251">
        <v>0.05</v>
      </c>
      <c r="R251" s="7">
        <v>185.328</v>
      </c>
      <c r="S251">
        <v>3</v>
      </c>
      <c r="T251" t="s">
        <v>112</v>
      </c>
    </row>
    <row r="252" spans="1:20">
      <c r="A252">
        <v>249</v>
      </c>
      <c r="B252" s="1">
        <v>43970</v>
      </c>
      <c r="C252">
        <v>69</v>
      </c>
      <c r="D252" t="s">
        <v>67</v>
      </c>
      <c r="E252" t="s">
        <v>31</v>
      </c>
      <c r="F252" s="8">
        <v>37</v>
      </c>
      <c r="G252" s="7">
        <v>102</v>
      </c>
      <c r="H252" s="7">
        <v>3774</v>
      </c>
      <c r="I252" s="4">
        <v>0.13</v>
      </c>
      <c r="J252" s="7">
        <v>3283.38</v>
      </c>
      <c r="K252" s="7">
        <f>Tabela1[[#This Row],[Valor Bruto]]-Tabela1[[#This Row],[Valor Venda]]</f>
        <v>490.61999999999989</v>
      </c>
      <c r="L252" s="1">
        <v>43972</v>
      </c>
      <c r="M252" s="1">
        <v>43972</v>
      </c>
      <c r="N252">
        <v>249</v>
      </c>
      <c r="O252">
        <v>1</v>
      </c>
      <c r="P252" t="s">
        <v>37</v>
      </c>
      <c r="Q252">
        <v>0.05</v>
      </c>
      <c r="R252" s="7">
        <v>164.16900000000001</v>
      </c>
      <c r="S252">
        <v>4</v>
      </c>
      <c r="T252" t="s">
        <v>112</v>
      </c>
    </row>
    <row r="253" spans="1:20">
      <c r="A253">
        <v>250</v>
      </c>
      <c r="B253" s="1">
        <v>43970</v>
      </c>
      <c r="C253">
        <v>36</v>
      </c>
      <c r="D253" t="s">
        <v>70</v>
      </c>
      <c r="E253" t="s">
        <v>31</v>
      </c>
      <c r="F253" s="8">
        <v>25</v>
      </c>
      <c r="G253" s="7">
        <v>109</v>
      </c>
      <c r="H253" s="7">
        <v>2725</v>
      </c>
      <c r="I253" s="4">
        <v>0.1</v>
      </c>
      <c r="J253" s="7">
        <v>2452.5</v>
      </c>
      <c r="K253" s="7">
        <f>Tabela1[[#This Row],[Valor Bruto]]-Tabela1[[#This Row],[Valor Venda]]</f>
        <v>272.5</v>
      </c>
      <c r="L253" s="1">
        <v>43997</v>
      </c>
      <c r="M253" s="1">
        <v>43997</v>
      </c>
      <c r="N253">
        <v>250</v>
      </c>
      <c r="O253">
        <v>7</v>
      </c>
      <c r="P253" t="s">
        <v>52</v>
      </c>
      <c r="Q253">
        <v>7.0000000000000007E-2</v>
      </c>
      <c r="R253" s="7">
        <v>171.67500000000001</v>
      </c>
      <c r="S253">
        <v>5</v>
      </c>
      <c r="T253" t="s">
        <v>112</v>
      </c>
    </row>
    <row r="254" spans="1:20">
      <c r="A254">
        <v>251</v>
      </c>
      <c r="B254" s="1">
        <v>43970</v>
      </c>
      <c r="C254">
        <v>61</v>
      </c>
      <c r="D254" t="s">
        <v>56</v>
      </c>
      <c r="E254" t="s">
        <v>28</v>
      </c>
      <c r="F254" s="8">
        <v>25</v>
      </c>
      <c r="G254" s="7">
        <v>114</v>
      </c>
      <c r="H254" s="7">
        <v>2850</v>
      </c>
      <c r="I254" s="4">
        <v>0.12</v>
      </c>
      <c r="J254" s="7">
        <v>2508</v>
      </c>
      <c r="K254" s="7">
        <f>Tabela1[[#This Row],[Valor Bruto]]-Tabela1[[#This Row],[Valor Venda]]</f>
        <v>342</v>
      </c>
      <c r="L254" s="1">
        <v>43971</v>
      </c>
      <c r="M254" s="1">
        <v>43971</v>
      </c>
      <c r="N254">
        <v>251</v>
      </c>
      <c r="O254">
        <v>5</v>
      </c>
      <c r="P254" t="s">
        <v>34</v>
      </c>
      <c r="Q254">
        <v>0.08</v>
      </c>
      <c r="R254" s="7">
        <v>200.64000000000001</v>
      </c>
      <c r="S254">
        <v>6</v>
      </c>
      <c r="T254" t="s">
        <v>112</v>
      </c>
    </row>
    <row r="255" spans="1:20">
      <c r="A255">
        <v>252</v>
      </c>
      <c r="B255" s="1">
        <v>43970</v>
      </c>
      <c r="C255">
        <v>24</v>
      </c>
      <c r="D255" t="s">
        <v>74</v>
      </c>
      <c r="E255" t="s">
        <v>59</v>
      </c>
      <c r="F255" s="8">
        <v>36</v>
      </c>
      <c r="G255" s="7">
        <v>103</v>
      </c>
      <c r="H255" s="7">
        <v>3708</v>
      </c>
      <c r="I255" s="4">
        <v>0</v>
      </c>
      <c r="J255" s="7">
        <v>3708</v>
      </c>
      <c r="K255" s="7">
        <f>Tabela1[[#This Row],[Valor Bruto]]-Tabela1[[#This Row],[Valor Venda]]</f>
        <v>0</v>
      </c>
      <c r="L255" s="1">
        <v>43972</v>
      </c>
      <c r="M255" s="1">
        <v>43972</v>
      </c>
      <c r="N255">
        <v>252</v>
      </c>
      <c r="O255">
        <v>7</v>
      </c>
      <c r="P255" t="s">
        <v>47</v>
      </c>
      <c r="Q255">
        <v>7.0000000000000007E-2</v>
      </c>
      <c r="R255" s="7">
        <v>259.56</v>
      </c>
      <c r="S255">
        <v>7</v>
      </c>
      <c r="T255" t="s">
        <v>112</v>
      </c>
    </row>
    <row r="256" spans="1:20">
      <c r="A256">
        <v>253</v>
      </c>
      <c r="B256" s="1">
        <v>43971</v>
      </c>
      <c r="C256">
        <v>72</v>
      </c>
      <c r="D256" t="s">
        <v>38</v>
      </c>
      <c r="E256" t="s">
        <v>41</v>
      </c>
      <c r="F256" s="8">
        <v>35</v>
      </c>
      <c r="G256" s="7">
        <v>120</v>
      </c>
      <c r="H256" s="7">
        <v>4200</v>
      </c>
      <c r="I256" s="4">
        <v>0.15</v>
      </c>
      <c r="J256" s="7">
        <v>3570</v>
      </c>
      <c r="K256" s="7">
        <f>Tabela1[[#This Row],[Valor Bruto]]-Tabela1[[#This Row],[Valor Venda]]</f>
        <v>630</v>
      </c>
      <c r="L256" s="1">
        <v>43999</v>
      </c>
      <c r="M256" s="1">
        <v>43999</v>
      </c>
      <c r="N256">
        <v>253</v>
      </c>
      <c r="O256">
        <v>7</v>
      </c>
      <c r="P256" t="s">
        <v>69</v>
      </c>
      <c r="Q256">
        <v>7.0000000000000007E-2</v>
      </c>
      <c r="R256" s="7">
        <v>249.90000000000003</v>
      </c>
      <c r="S256">
        <v>1</v>
      </c>
      <c r="T256" t="s">
        <v>112</v>
      </c>
    </row>
    <row r="257" spans="1:20">
      <c r="A257">
        <v>254</v>
      </c>
      <c r="B257" s="1">
        <v>43971</v>
      </c>
      <c r="C257">
        <v>30</v>
      </c>
      <c r="D257" t="s">
        <v>96</v>
      </c>
      <c r="E257" t="s">
        <v>28</v>
      </c>
      <c r="F257" s="8">
        <v>37</v>
      </c>
      <c r="G257" s="7">
        <v>115</v>
      </c>
      <c r="H257" s="7">
        <v>4255</v>
      </c>
      <c r="I257" s="4">
        <v>0.15</v>
      </c>
      <c r="J257" s="7">
        <v>3616.75</v>
      </c>
      <c r="K257" s="7">
        <f>Tabela1[[#This Row],[Valor Bruto]]-Tabela1[[#This Row],[Valor Venda]]</f>
        <v>638.25</v>
      </c>
      <c r="L257" s="1">
        <v>43988</v>
      </c>
      <c r="M257" s="1">
        <v>43988</v>
      </c>
      <c r="N257">
        <v>254</v>
      </c>
      <c r="O257">
        <v>1</v>
      </c>
      <c r="P257" t="s">
        <v>29</v>
      </c>
      <c r="Q257">
        <v>0.1</v>
      </c>
      <c r="R257" s="7">
        <v>361.67500000000001</v>
      </c>
      <c r="S257">
        <v>2</v>
      </c>
      <c r="T257" t="s">
        <v>112</v>
      </c>
    </row>
    <row r="258" spans="1:20">
      <c r="A258">
        <v>255</v>
      </c>
      <c r="B258" s="1">
        <v>43972</v>
      </c>
      <c r="C258">
        <v>43</v>
      </c>
      <c r="D258" t="s">
        <v>99</v>
      </c>
      <c r="E258" t="s">
        <v>28</v>
      </c>
      <c r="F258" s="8">
        <v>47</v>
      </c>
      <c r="G258" s="7">
        <v>98</v>
      </c>
      <c r="H258" s="7">
        <v>4606</v>
      </c>
      <c r="I258" s="4">
        <v>0.15</v>
      </c>
      <c r="J258" s="7">
        <v>3915.1</v>
      </c>
      <c r="K258" s="7">
        <f>Tabela1[[#This Row],[Valor Bruto]]-Tabela1[[#This Row],[Valor Venda]]</f>
        <v>690.90000000000009</v>
      </c>
      <c r="L258" s="1">
        <v>43977</v>
      </c>
      <c r="M258" s="1">
        <v>43977</v>
      </c>
      <c r="N258">
        <v>255</v>
      </c>
      <c r="O258">
        <v>5</v>
      </c>
      <c r="P258" t="s">
        <v>34</v>
      </c>
      <c r="Q258">
        <v>0.1</v>
      </c>
      <c r="R258" s="7">
        <v>391.51</v>
      </c>
      <c r="S258">
        <v>3</v>
      </c>
      <c r="T258" t="s">
        <v>112</v>
      </c>
    </row>
    <row r="259" spans="1:20">
      <c r="A259">
        <v>256</v>
      </c>
      <c r="B259" s="1">
        <v>43972</v>
      </c>
      <c r="C259">
        <v>46</v>
      </c>
      <c r="D259" t="s">
        <v>94</v>
      </c>
      <c r="E259" t="s">
        <v>50</v>
      </c>
      <c r="F259" s="8">
        <v>30</v>
      </c>
      <c r="G259" s="7">
        <v>114</v>
      </c>
      <c r="H259" s="7">
        <v>3420</v>
      </c>
      <c r="I259" s="4">
        <v>0.12</v>
      </c>
      <c r="J259" s="7">
        <v>3009.6</v>
      </c>
      <c r="K259" s="7">
        <f>Tabela1[[#This Row],[Valor Bruto]]-Tabela1[[#This Row],[Valor Venda]]</f>
        <v>410.40000000000009</v>
      </c>
      <c r="L259" s="1">
        <v>43978</v>
      </c>
      <c r="M259" s="1">
        <v>43978</v>
      </c>
      <c r="N259">
        <v>256</v>
      </c>
      <c r="O259">
        <v>6</v>
      </c>
      <c r="P259" t="s">
        <v>52</v>
      </c>
      <c r="Q259">
        <v>0.06</v>
      </c>
      <c r="R259" s="7">
        <v>180.57599999999999</v>
      </c>
      <c r="S259">
        <v>4</v>
      </c>
      <c r="T259" t="s">
        <v>112</v>
      </c>
    </row>
    <row r="260" spans="1:20">
      <c r="A260">
        <v>257</v>
      </c>
      <c r="B260" s="1">
        <v>43972</v>
      </c>
      <c r="C260">
        <v>31</v>
      </c>
      <c r="D260" t="s">
        <v>85</v>
      </c>
      <c r="E260" t="s">
        <v>31</v>
      </c>
      <c r="F260" s="8">
        <v>23</v>
      </c>
      <c r="G260" s="7">
        <v>95</v>
      </c>
      <c r="H260" s="7">
        <v>2185</v>
      </c>
      <c r="I260" s="4">
        <v>0.13</v>
      </c>
      <c r="J260" s="7">
        <v>1900.95</v>
      </c>
      <c r="K260" s="7">
        <f>Tabela1[[#This Row],[Valor Bruto]]-Tabela1[[#This Row],[Valor Venda]]</f>
        <v>284.04999999999995</v>
      </c>
      <c r="L260" s="1">
        <v>43982</v>
      </c>
      <c r="M260" s="1">
        <v>43982</v>
      </c>
      <c r="N260">
        <v>257</v>
      </c>
      <c r="O260">
        <v>7</v>
      </c>
      <c r="P260" t="s">
        <v>25</v>
      </c>
      <c r="Q260">
        <v>0.05</v>
      </c>
      <c r="R260" s="7">
        <v>95.047500000000014</v>
      </c>
      <c r="S260">
        <v>5</v>
      </c>
      <c r="T260" t="s">
        <v>112</v>
      </c>
    </row>
    <row r="261" spans="1:20">
      <c r="A261">
        <v>258</v>
      </c>
      <c r="B261" s="1">
        <v>43973</v>
      </c>
      <c r="C261">
        <v>53</v>
      </c>
      <c r="D261" t="s">
        <v>88</v>
      </c>
      <c r="E261" t="s">
        <v>50</v>
      </c>
      <c r="F261" s="8">
        <v>11</v>
      </c>
      <c r="G261" s="7">
        <v>92</v>
      </c>
      <c r="H261" s="7">
        <v>1012</v>
      </c>
      <c r="I261" s="4">
        <v>0.02</v>
      </c>
      <c r="J261" s="7">
        <v>991.76</v>
      </c>
      <c r="K261" s="7">
        <f>Tabela1[[#This Row],[Valor Bruto]]-Tabela1[[#This Row],[Valor Venda]]</f>
        <v>20.240000000000009</v>
      </c>
      <c r="L261" s="1">
        <v>43978</v>
      </c>
      <c r="M261" s="1">
        <v>43978</v>
      </c>
      <c r="N261">
        <v>258</v>
      </c>
      <c r="O261">
        <v>5</v>
      </c>
      <c r="P261" t="s">
        <v>37</v>
      </c>
      <c r="Q261">
        <v>0.08</v>
      </c>
      <c r="R261" s="7">
        <v>79.340800000000002</v>
      </c>
      <c r="S261">
        <v>6</v>
      </c>
      <c r="T261" t="s">
        <v>112</v>
      </c>
    </row>
    <row r="262" spans="1:20">
      <c r="A262">
        <v>259</v>
      </c>
      <c r="B262" s="1">
        <v>43974</v>
      </c>
      <c r="C262">
        <v>75</v>
      </c>
      <c r="D262" t="s">
        <v>38</v>
      </c>
      <c r="E262" t="s">
        <v>31</v>
      </c>
      <c r="F262" s="8">
        <v>30</v>
      </c>
      <c r="G262" s="7">
        <v>108</v>
      </c>
      <c r="H262" s="7">
        <v>3240</v>
      </c>
      <c r="I262" s="4">
        <v>0.15</v>
      </c>
      <c r="J262" s="7">
        <v>2754</v>
      </c>
      <c r="K262" s="7">
        <f>Tabela1[[#This Row],[Valor Bruto]]-Tabela1[[#This Row],[Valor Venda]]</f>
        <v>486</v>
      </c>
      <c r="L262" s="1">
        <v>43993</v>
      </c>
      <c r="M262" s="1">
        <v>43993</v>
      </c>
      <c r="N262">
        <v>259</v>
      </c>
      <c r="O262">
        <v>6</v>
      </c>
      <c r="P262" t="s">
        <v>69</v>
      </c>
      <c r="Q262">
        <v>0.1</v>
      </c>
      <c r="R262" s="7">
        <v>275.40000000000003</v>
      </c>
      <c r="S262">
        <v>7</v>
      </c>
      <c r="T262" t="s">
        <v>112</v>
      </c>
    </row>
    <row r="263" spans="1:20">
      <c r="A263">
        <v>260</v>
      </c>
      <c r="B263" s="1">
        <v>43974</v>
      </c>
      <c r="C263">
        <v>49</v>
      </c>
      <c r="D263" t="s">
        <v>38</v>
      </c>
      <c r="E263" t="s">
        <v>21</v>
      </c>
      <c r="F263" s="8">
        <v>45</v>
      </c>
      <c r="G263" s="7">
        <v>95</v>
      </c>
      <c r="H263" s="7">
        <v>4275</v>
      </c>
      <c r="I263" s="4">
        <v>0.01</v>
      </c>
      <c r="J263" s="7">
        <v>4232.25</v>
      </c>
      <c r="K263" s="7">
        <f>Tabela1[[#This Row],[Valor Bruto]]-Tabela1[[#This Row],[Valor Venda]]</f>
        <v>42.75</v>
      </c>
      <c r="L263" s="1">
        <v>43987</v>
      </c>
      <c r="M263" s="1">
        <v>43987</v>
      </c>
      <c r="N263">
        <v>260</v>
      </c>
      <c r="O263">
        <v>3</v>
      </c>
      <c r="P263" t="s">
        <v>22</v>
      </c>
      <c r="Q263">
        <v>7.0000000000000007E-2</v>
      </c>
      <c r="R263" s="7">
        <v>296.25750000000005</v>
      </c>
      <c r="S263">
        <v>1</v>
      </c>
      <c r="T263" t="s">
        <v>112</v>
      </c>
    </row>
    <row r="264" spans="1:20">
      <c r="A264">
        <v>261</v>
      </c>
      <c r="B264" s="1">
        <v>43974</v>
      </c>
      <c r="C264">
        <v>48</v>
      </c>
      <c r="D264" t="s">
        <v>61</v>
      </c>
      <c r="E264" t="s">
        <v>31</v>
      </c>
      <c r="F264" s="8">
        <v>17</v>
      </c>
      <c r="G264" s="7">
        <v>113</v>
      </c>
      <c r="H264" s="7">
        <v>1921</v>
      </c>
      <c r="I264" s="4">
        <v>0.09</v>
      </c>
      <c r="J264" s="7">
        <v>1748.1100000000001</v>
      </c>
      <c r="K264" s="7">
        <f>Tabela1[[#This Row],[Valor Bruto]]-Tabela1[[#This Row],[Valor Venda]]</f>
        <v>172.88999999999987</v>
      </c>
      <c r="L264" s="1">
        <v>44000</v>
      </c>
      <c r="M264" s="1">
        <v>44000</v>
      </c>
      <c r="N264">
        <v>261</v>
      </c>
      <c r="O264">
        <v>2</v>
      </c>
      <c r="P264" t="s">
        <v>69</v>
      </c>
      <c r="Q264">
        <v>7.0000000000000007E-2</v>
      </c>
      <c r="R264" s="7">
        <v>122.36770000000001</v>
      </c>
      <c r="S264">
        <v>2</v>
      </c>
      <c r="T264" t="s">
        <v>112</v>
      </c>
    </row>
    <row r="265" spans="1:20">
      <c r="A265">
        <v>262</v>
      </c>
      <c r="B265" s="1">
        <v>43974</v>
      </c>
      <c r="C265">
        <v>47</v>
      </c>
      <c r="D265" t="s">
        <v>40</v>
      </c>
      <c r="E265" t="s">
        <v>55</v>
      </c>
      <c r="F265" s="8">
        <v>25</v>
      </c>
      <c r="G265" s="7">
        <v>110</v>
      </c>
      <c r="H265" s="7">
        <v>2750</v>
      </c>
      <c r="I265" s="4">
        <v>0.04</v>
      </c>
      <c r="J265" s="7">
        <v>2640</v>
      </c>
      <c r="K265" s="7">
        <f>Tabela1[[#This Row],[Valor Bruto]]-Tabela1[[#This Row],[Valor Venda]]</f>
        <v>110</v>
      </c>
      <c r="L265" s="1">
        <v>43980</v>
      </c>
      <c r="M265" s="1">
        <v>43980</v>
      </c>
      <c r="N265">
        <v>262</v>
      </c>
      <c r="O265">
        <v>5</v>
      </c>
      <c r="P265" t="s">
        <v>52</v>
      </c>
      <c r="Q265">
        <v>0.09</v>
      </c>
      <c r="R265" s="7">
        <v>237.6</v>
      </c>
      <c r="S265">
        <v>3</v>
      </c>
      <c r="T265" t="s">
        <v>112</v>
      </c>
    </row>
    <row r="266" spans="1:20">
      <c r="A266">
        <v>263</v>
      </c>
      <c r="B266" s="1">
        <v>43975</v>
      </c>
      <c r="C266">
        <v>6</v>
      </c>
      <c r="D266" t="s">
        <v>88</v>
      </c>
      <c r="E266" t="s">
        <v>28</v>
      </c>
      <c r="F266" s="8">
        <v>21</v>
      </c>
      <c r="G266" s="7">
        <v>111</v>
      </c>
      <c r="H266" s="7">
        <v>2331</v>
      </c>
      <c r="I266" s="4">
        <v>0.06</v>
      </c>
      <c r="J266" s="7">
        <v>2191.14</v>
      </c>
      <c r="K266" s="7">
        <f>Tabela1[[#This Row],[Valor Bruto]]-Tabela1[[#This Row],[Valor Venda]]</f>
        <v>139.86000000000013</v>
      </c>
      <c r="L266" s="1">
        <v>43992</v>
      </c>
      <c r="M266" s="1">
        <v>43992</v>
      </c>
      <c r="N266">
        <v>263</v>
      </c>
      <c r="O266">
        <v>1</v>
      </c>
      <c r="P266" t="s">
        <v>37</v>
      </c>
      <c r="Q266">
        <v>0.06</v>
      </c>
      <c r="R266" s="7">
        <v>131.46839999999997</v>
      </c>
      <c r="S266">
        <v>4</v>
      </c>
      <c r="T266" t="s">
        <v>112</v>
      </c>
    </row>
    <row r="267" spans="1:20">
      <c r="A267">
        <v>264</v>
      </c>
      <c r="B267" s="1">
        <v>43975</v>
      </c>
      <c r="C267">
        <v>53</v>
      </c>
      <c r="D267" t="s">
        <v>88</v>
      </c>
      <c r="E267" t="s">
        <v>50</v>
      </c>
      <c r="F267" s="8">
        <v>26</v>
      </c>
      <c r="G267" s="7">
        <v>100</v>
      </c>
      <c r="H267" s="7">
        <v>2600</v>
      </c>
      <c r="I267" s="4">
        <v>0.15</v>
      </c>
      <c r="J267" s="7">
        <v>2210</v>
      </c>
      <c r="K267" s="7">
        <f>Tabela1[[#This Row],[Valor Bruto]]-Tabela1[[#This Row],[Valor Venda]]</f>
        <v>390</v>
      </c>
      <c r="L267" s="1">
        <v>43985</v>
      </c>
      <c r="M267" s="1">
        <v>43985</v>
      </c>
      <c r="N267">
        <v>264</v>
      </c>
      <c r="O267">
        <v>2</v>
      </c>
      <c r="P267" t="s">
        <v>32</v>
      </c>
      <c r="Q267">
        <v>7.0000000000000007E-2</v>
      </c>
      <c r="R267" s="7">
        <v>154.70000000000002</v>
      </c>
      <c r="S267">
        <v>5</v>
      </c>
      <c r="T267" t="s">
        <v>112</v>
      </c>
    </row>
    <row r="268" spans="1:20">
      <c r="A268">
        <v>265</v>
      </c>
      <c r="B268" s="1">
        <v>43975</v>
      </c>
      <c r="C268">
        <v>62</v>
      </c>
      <c r="D268" t="s">
        <v>38</v>
      </c>
      <c r="E268" t="s">
        <v>28</v>
      </c>
      <c r="F268" s="8">
        <v>39</v>
      </c>
      <c r="G268" s="7">
        <v>96</v>
      </c>
      <c r="H268" s="7">
        <v>3744</v>
      </c>
      <c r="I268" s="4">
        <v>0.08</v>
      </c>
      <c r="J268" s="7">
        <v>3444.48</v>
      </c>
      <c r="K268" s="7">
        <f>Tabela1[[#This Row],[Valor Bruto]]-Tabela1[[#This Row],[Valor Venda]]</f>
        <v>299.52</v>
      </c>
      <c r="L268" s="1">
        <v>44004</v>
      </c>
      <c r="M268" s="1">
        <v>44004</v>
      </c>
      <c r="N268">
        <v>265</v>
      </c>
      <c r="O268">
        <v>7</v>
      </c>
      <c r="P268" t="s">
        <v>22</v>
      </c>
      <c r="Q268">
        <v>0.1</v>
      </c>
      <c r="R268" s="7">
        <v>344.44800000000004</v>
      </c>
      <c r="S268">
        <v>6</v>
      </c>
      <c r="T268" t="s">
        <v>112</v>
      </c>
    </row>
    <row r="269" spans="1:20">
      <c r="A269">
        <v>266</v>
      </c>
      <c r="B269" s="1">
        <v>43975</v>
      </c>
      <c r="C269">
        <v>63</v>
      </c>
      <c r="D269" t="s">
        <v>80</v>
      </c>
      <c r="E269" t="s">
        <v>41</v>
      </c>
      <c r="F269" s="8">
        <v>25</v>
      </c>
      <c r="G269" s="7">
        <v>117</v>
      </c>
      <c r="H269" s="7">
        <v>2925</v>
      </c>
      <c r="I269" s="4">
        <v>0.14000000000000001</v>
      </c>
      <c r="J269" s="7">
        <v>2515.5</v>
      </c>
      <c r="K269" s="7">
        <f>Tabela1[[#This Row],[Valor Bruto]]-Tabela1[[#This Row],[Valor Venda]]</f>
        <v>409.5</v>
      </c>
      <c r="L269" s="1">
        <v>43977</v>
      </c>
      <c r="M269" s="1">
        <v>43977</v>
      </c>
      <c r="N269">
        <v>266</v>
      </c>
      <c r="O269">
        <v>1</v>
      </c>
      <c r="P269" t="s">
        <v>29</v>
      </c>
      <c r="Q269">
        <v>0.09</v>
      </c>
      <c r="R269" s="7">
        <v>226.39499999999998</v>
      </c>
      <c r="S269">
        <v>7</v>
      </c>
      <c r="T269" t="s">
        <v>112</v>
      </c>
    </row>
    <row r="270" spans="1:20">
      <c r="A270">
        <v>267</v>
      </c>
      <c r="B270" s="1">
        <v>43975</v>
      </c>
      <c r="C270">
        <v>61</v>
      </c>
      <c r="D270" t="s">
        <v>56</v>
      </c>
      <c r="E270" t="s">
        <v>28</v>
      </c>
      <c r="F270" s="8">
        <v>44</v>
      </c>
      <c r="G270" s="7">
        <v>106</v>
      </c>
      <c r="H270" s="7">
        <v>4664</v>
      </c>
      <c r="I270" s="4">
        <v>0.03</v>
      </c>
      <c r="J270" s="7">
        <v>4524.08</v>
      </c>
      <c r="K270" s="7">
        <f>Tabela1[[#This Row],[Valor Bruto]]-Tabela1[[#This Row],[Valor Venda]]</f>
        <v>139.92000000000007</v>
      </c>
      <c r="L270" s="1">
        <v>43981</v>
      </c>
      <c r="M270" s="1">
        <v>43981</v>
      </c>
      <c r="N270">
        <v>267</v>
      </c>
      <c r="O270">
        <v>5</v>
      </c>
      <c r="P270" t="s">
        <v>22</v>
      </c>
      <c r="Q270">
        <v>0.06</v>
      </c>
      <c r="R270" s="7">
        <v>271.44479999999999</v>
      </c>
      <c r="S270">
        <v>1</v>
      </c>
      <c r="T270" t="s">
        <v>112</v>
      </c>
    </row>
    <row r="271" spans="1:20">
      <c r="A271">
        <v>268</v>
      </c>
      <c r="B271" s="1">
        <v>43975</v>
      </c>
      <c r="C271">
        <v>6</v>
      </c>
      <c r="D271" t="s">
        <v>88</v>
      </c>
      <c r="E271" t="s">
        <v>28</v>
      </c>
      <c r="F271" s="8">
        <v>29</v>
      </c>
      <c r="G271" s="7">
        <v>100</v>
      </c>
      <c r="H271" s="7">
        <v>2900</v>
      </c>
      <c r="I271" s="4">
        <v>0.08</v>
      </c>
      <c r="J271" s="7">
        <v>2668</v>
      </c>
      <c r="K271" s="7">
        <f>Tabela1[[#This Row],[Valor Bruto]]-Tabela1[[#This Row],[Valor Venda]]</f>
        <v>232</v>
      </c>
      <c r="L271" s="1">
        <v>43997</v>
      </c>
      <c r="M271" s="1">
        <v>43997</v>
      </c>
      <c r="N271">
        <v>268</v>
      </c>
      <c r="O271">
        <v>2</v>
      </c>
      <c r="P271" t="s">
        <v>37</v>
      </c>
      <c r="Q271">
        <v>0.1</v>
      </c>
      <c r="R271" s="7">
        <v>266.8</v>
      </c>
      <c r="S271">
        <v>2</v>
      </c>
      <c r="T271" t="s">
        <v>112</v>
      </c>
    </row>
    <row r="272" spans="1:20">
      <c r="A272">
        <v>269</v>
      </c>
      <c r="B272" s="1">
        <v>43978</v>
      </c>
      <c r="C272">
        <v>28</v>
      </c>
      <c r="D272" t="s">
        <v>86</v>
      </c>
      <c r="E272" t="s">
        <v>59</v>
      </c>
      <c r="F272" s="8">
        <v>17</v>
      </c>
      <c r="G272" s="7">
        <v>93</v>
      </c>
      <c r="H272" s="7">
        <v>1581</v>
      </c>
      <c r="I272" s="4">
        <v>0</v>
      </c>
      <c r="J272" s="7">
        <v>1581</v>
      </c>
      <c r="K272" s="7">
        <f>Tabela1[[#This Row],[Valor Bruto]]-Tabela1[[#This Row],[Valor Venda]]</f>
        <v>0</v>
      </c>
      <c r="L272" s="1">
        <v>44000</v>
      </c>
      <c r="M272" s="1">
        <v>44000</v>
      </c>
      <c r="N272">
        <v>269</v>
      </c>
      <c r="O272">
        <v>7</v>
      </c>
      <c r="P272" t="s">
        <v>34</v>
      </c>
      <c r="Q272">
        <v>0.1</v>
      </c>
      <c r="R272" s="7">
        <v>158.10000000000002</v>
      </c>
      <c r="S272">
        <v>3</v>
      </c>
      <c r="T272" t="s">
        <v>112</v>
      </c>
    </row>
    <row r="273" spans="1:20">
      <c r="A273">
        <v>270</v>
      </c>
      <c r="B273" s="1">
        <v>43978</v>
      </c>
      <c r="C273">
        <v>35</v>
      </c>
      <c r="D273" t="s">
        <v>38</v>
      </c>
      <c r="E273" t="s">
        <v>50</v>
      </c>
      <c r="F273" s="8">
        <v>23</v>
      </c>
      <c r="G273" s="7">
        <v>96</v>
      </c>
      <c r="H273" s="7">
        <v>2208</v>
      </c>
      <c r="I273" s="4">
        <v>0.13</v>
      </c>
      <c r="J273" s="7">
        <v>1920.96</v>
      </c>
      <c r="K273" s="7">
        <f>Tabela1[[#This Row],[Valor Bruto]]-Tabela1[[#This Row],[Valor Venda]]</f>
        <v>287.03999999999996</v>
      </c>
      <c r="L273" s="1">
        <v>44000</v>
      </c>
      <c r="M273" s="1">
        <v>44000</v>
      </c>
      <c r="N273">
        <v>270</v>
      </c>
      <c r="O273">
        <v>7</v>
      </c>
      <c r="P273" t="s">
        <v>69</v>
      </c>
      <c r="Q273">
        <v>0.09</v>
      </c>
      <c r="R273" s="7">
        <v>172.88640000000001</v>
      </c>
      <c r="S273">
        <v>4</v>
      </c>
      <c r="T273" t="s">
        <v>112</v>
      </c>
    </row>
    <row r="274" spans="1:20">
      <c r="A274">
        <v>271</v>
      </c>
      <c r="B274" s="1">
        <v>43978</v>
      </c>
      <c r="C274">
        <v>98</v>
      </c>
      <c r="D274" t="s">
        <v>26</v>
      </c>
      <c r="E274" t="s">
        <v>31</v>
      </c>
      <c r="F274" s="8">
        <v>30</v>
      </c>
      <c r="G274" s="7">
        <v>108</v>
      </c>
      <c r="H274" s="7">
        <v>3240</v>
      </c>
      <c r="I274" s="4">
        <v>0.04</v>
      </c>
      <c r="J274" s="7">
        <v>3110.4</v>
      </c>
      <c r="K274" s="7">
        <f>Tabela1[[#This Row],[Valor Bruto]]-Tabela1[[#This Row],[Valor Venda]]</f>
        <v>129.59999999999991</v>
      </c>
      <c r="L274" s="1">
        <v>43988</v>
      </c>
      <c r="M274" s="1">
        <v>43988</v>
      </c>
      <c r="N274">
        <v>271</v>
      </c>
      <c r="O274">
        <v>3</v>
      </c>
      <c r="P274" t="s">
        <v>25</v>
      </c>
      <c r="Q274">
        <v>0.1</v>
      </c>
      <c r="R274" s="7">
        <v>311.04000000000002</v>
      </c>
      <c r="S274">
        <v>5</v>
      </c>
      <c r="T274" t="s">
        <v>112</v>
      </c>
    </row>
    <row r="275" spans="1:20">
      <c r="A275">
        <v>272</v>
      </c>
      <c r="B275" s="1">
        <v>43978</v>
      </c>
      <c r="C275">
        <v>77</v>
      </c>
      <c r="D275" t="s">
        <v>65</v>
      </c>
      <c r="E275" t="s">
        <v>31</v>
      </c>
      <c r="F275" s="8">
        <v>28</v>
      </c>
      <c r="G275" s="7">
        <v>97</v>
      </c>
      <c r="H275" s="7">
        <v>2716</v>
      </c>
      <c r="I275" s="4">
        <v>0.12</v>
      </c>
      <c r="J275" s="7">
        <v>2390.08</v>
      </c>
      <c r="K275" s="7">
        <f>Tabela1[[#This Row],[Valor Bruto]]-Tabela1[[#This Row],[Valor Venda]]</f>
        <v>325.92000000000007</v>
      </c>
      <c r="L275" s="1">
        <v>43979</v>
      </c>
      <c r="M275" s="1">
        <v>43979</v>
      </c>
      <c r="N275">
        <v>272</v>
      </c>
      <c r="O275">
        <v>5</v>
      </c>
      <c r="P275" t="s">
        <v>43</v>
      </c>
      <c r="Q275">
        <v>0.06</v>
      </c>
      <c r="R275" s="7">
        <v>143.40479999999999</v>
      </c>
      <c r="S275">
        <v>6</v>
      </c>
      <c r="T275" t="s">
        <v>112</v>
      </c>
    </row>
    <row r="276" spans="1:20">
      <c r="A276">
        <v>273</v>
      </c>
      <c r="B276" s="1">
        <v>43979</v>
      </c>
      <c r="C276">
        <v>73</v>
      </c>
      <c r="D276" t="s">
        <v>38</v>
      </c>
      <c r="E276" t="s">
        <v>21</v>
      </c>
      <c r="F276" s="8">
        <v>24</v>
      </c>
      <c r="G276" s="7">
        <v>102</v>
      </c>
      <c r="H276" s="7">
        <v>2448</v>
      </c>
      <c r="I276" s="4">
        <v>0.09</v>
      </c>
      <c r="J276" s="7">
        <v>2227.6799999999998</v>
      </c>
      <c r="K276" s="7">
        <f>Tabela1[[#This Row],[Valor Bruto]]-Tabela1[[#This Row],[Valor Venda]]</f>
        <v>220.32000000000016</v>
      </c>
      <c r="L276" s="1">
        <v>44004</v>
      </c>
      <c r="M276" s="1">
        <v>44004</v>
      </c>
      <c r="N276">
        <v>273</v>
      </c>
      <c r="O276">
        <v>4</v>
      </c>
      <c r="P276" t="s">
        <v>25</v>
      </c>
      <c r="Q276">
        <v>0.06</v>
      </c>
      <c r="R276" s="7">
        <v>133.66079999999999</v>
      </c>
      <c r="S276">
        <v>7</v>
      </c>
      <c r="T276" t="s">
        <v>112</v>
      </c>
    </row>
    <row r="277" spans="1:20">
      <c r="A277">
        <v>274</v>
      </c>
      <c r="B277" s="1">
        <v>43980</v>
      </c>
      <c r="C277">
        <v>94</v>
      </c>
      <c r="D277" t="s">
        <v>49</v>
      </c>
      <c r="E277" t="s">
        <v>31</v>
      </c>
      <c r="F277" s="8">
        <v>47</v>
      </c>
      <c r="G277" s="7">
        <v>110</v>
      </c>
      <c r="H277" s="7">
        <v>5170</v>
      </c>
      <c r="I277" s="4">
        <v>0.06</v>
      </c>
      <c r="J277" s="7">
        <v>4859.8</v>
      </c>
      <c r="K277" s="7">
        <f>Tabela1[[#This Row],[Valor Bruto]]-Tabela1[[#This Row],[Valor Venda]]</f>
        <v>310.19999999999982</v>
      </c>
      <c r="L277" s="1">
        <v>43988</v>
      </c>
      <c r="M277" s="1">
        <v>43988</v>
      </c>
      <c r="N277">
        <v>274</v>
      </c>
      <c r="O277">
        <v>4</v>
      </c>
      <c r="P277" t="s">
        <v>37</v>
      </c>
      <c r="Q277">
        <v>7.0000000000000007E-2</v>
      </c>
      <c r="R277" s="7">
        <v>340.18600000000004</v>
      </c>
      <c r="S277">
        <v>1</v>
      </c>
      <c r="T277" t="s">
        <v>112</v>
      </c>
    </row>
    <row r="278" spans="1:20">
      <c r="A278">
        <v>275</v>
      </c>
      <c r="B278" s="1">
        <v>43980</v>
      </c>
      <c r="C278">
        <v>42</v>
      </c>
      <c r="D278" t="s">
        <v>92</v>
      </c>
      <c r="E278" t="s">
        <v>46</v>
      </c>
      <c r="F278" s="8">
        <v>22</v>
      </c>
      <c r="G278" s="7">
        <v>119</v>
      </c>
      <c r="H278" s="7">
        <v>2618</v>
      </c>
      <c r="I278" s="4">
        <v>0.05</v>
      </c>
      <c r="J278" s="7">
        <v>2487.1</v>
      </c>
      <c r="K278" s="7">
        <f>Tabela1[[#This Row],[Valor Bruto]]-Tabela1[[#This Row],[Valor Venda]]</f>
        <v>130.90000000000009</v>
      </c>
      <c r="L278" s="1">
        <v>44003</v>
      </c>
      <c r="M278" s="1">
        <v>44003</v>
      </c>
      <c r="N278">
        <v>275</v>
      </c>
      <c r="O278">
        <v>3</v>
      </c>
      <c r="P278" t="s">
        <v>22</v>
      </c>
      <c r="Q278">
        <v>0.09</v>
      </c>
      <c r="R278" s="7">
        <v>223.83899999999997</v>
      </c>
      <c r="S278">
        <v>2</v>
      </c>
      <c r="T278" t="s">
        <v>112</v>
      </c>
    </row>
    <row r="279" spans="1:20">
      <c r="A279">
        <v>276</v>
      </c>
      <c r="B279" s="1">
        <v>43980</v>
      </c>
      <c r="C279">
        <v>1</v>
      </c>
      <c r="D279" t="s">
        <v>93</v>
      </c>
      <c r="E279" t="s">
        <v>54</v>
      </c>
      <c r="F279" s="8">
        <v>47</v>
      </c>
      <c r="G279" s="7">
        <v>99</v>
      </c>
      <c r="H279" s="7">
        <v>4653</v>
      </c>
      <c r="I279" s="4">
        <v>0.12</v>
      </c>
      <c r="J279" s="7">
        <v>4094.64</v>
      </c>
      <c r="K279" s="7">
        <f>Tabela1[[#This Row],[Valor Bruto]]-Tabela1[[#This Row],[Valor Venda]]</f>
        <v>558.36000000000013</v>
      </c>
      <c r="L279" s="1">
        <v>43989</v>
      </c>
      <c r="M279" s="1">
        <v>43989</v>
      </c>
      <c r="N279">
        <v>276</v>
      </c>
      <c r="O279">
        <v>1</v>
      </c>
      <c r="P279" t="s">
        <v>43</v>
      </c>
      <c r="Q279">
        <v>0.06</v>
      </c>
      <c r="R279" s="7">
        <v>245.67839999999998</v>
      </c>
      <c r="S279">
        <v>3</v>
      </c>
      <c r="T279" t="s">
        <v>112</v>
      </c>
    </row>
    <row r="280" spans="1:20">
      <c r="A280">
        <v>277</v>
      </c>
      <c r="B280" s="1">
        <v>43981</v>
      </c>
      <c r="C280">
        <v>63</v>
      </c>
      <c r="D280" t="s">
        <v>80</v>
      </c>
      <c r="E280" t="s">
        <v>24</v>
      </c>
      <c r="F280" s="8">
        <v>16</v>
      </c>
      <c r="G280" s="7">
        <v>92</v>
      </c>
      <c r="H280" s="7">
        <v>1472</v>
      </c>
      <c r="I280" s="4">
        <v>0.03</v>
      </c>
      <c r="J280" s="7">
        <v>1427.84</v>
      </c>
      <c r="K280" s="7">
        <f>Tabela1[[#This Row],[Valor Bruto]]-Tabela1[[#This Row],[Valor Venda]]</f>
        <v>44.160000000000082</v>
      </c>
      <c r="L280" s="1">
        <v>44010</v>
      </c>
      <c r="M280" s="1">
        <v>44010</v>
      </c>
      <c r="N280">
        <v>277</v>
      </c>
      <c r="O280">
        <v>5</v>
      </c>
      <c r="P280" t="s">
        <v>37</v>
      </c>
      <c r="Q280">
        <v>0.1</v>
      </c>
      <c r="R280" s="7">
        <v>142.78399999999999</v>
      </c>
      <c r="S280">
        <v>4</v>
      </c>
      <c r="T280" t="s">
        <v>112</v>
      </c>
    </row>
    <row r="281" spans="1:20">
      <c r="A281">
        <v>278</v>
      </c>
      <c r="B281" s="1">
        <v>43981</v>
      </c>
      <c r="C281">
        <v>37</v>
      </c>
      <c r="D281" t="s">
        <v>48</v>
      </c>
      <c r="E281" t="s">
        <v>24</v>
      </c>
      <c r="F281" s="8">
        <v>40</v>
      </c>
      <c r="G281" s="7">
        <v>97</v>
      </c>
      <c r="H281" s="7">
        <v>3880</v>
      </c>
      <c r="I281" s="4">
        <v>0.04</v>
      </c>
      <c r="J281" s="7">
        <v>3724.8</v>
      </c>
      <c r="K281" s="7">
        <f>Tabela1[[#This Row],[Valor Bruto]]-Tabela1[[#This Row],[Valor Venda]]</f>
        <v>155.19999999999982</v>
      </c>
      <c r="L281" s="1">
        <v>43988</v>
      </c>
      <c r="M281" s="1">
        <v>43988</v>
      </c>
      <c r="N281">
        <v>278</v>
      </c>
      <c r="O281">
        <v>2</v>
      </c>
      <c r="P281" t="s">
        <v>32</v>
      </c>
      <c r="Q281">
        <v>0.05</v>
      </c>
      <c r="R281" s="7">
        <v>186.24</v>
      </c>
      <c r="S281">
        <v>5</v>
      </c>
      <c r="T281" t="s">
        <v>112</v>
      </c>
    </row>
    <row r="282" spans="1:20">
      <c r="A282">
        <v>279</v>
      </c>
      <c r="B282" s="1">
        <v>43981</v>
      </c>
      <c r="C282">
        <v>10</v>
      </c>
      <c r="D282" t="s">
        <v>89</v>
      </c>
      <c r="E282" t="s">
        <v>59</v>
      </c>
      <c r="F282" s="8">
        <v>17</v>
      </c>
      <c r="G282" s="7">
        <v>118</v>
      </c>
      <c r="H282" s="7">
        <v>2006</v>
      </c>
      <c r="I282" s="4">
        <v>0.15</v>
      </c>
      <c r="J282" s="7">
        <v>1705.1</v>
      </c>
      <c r="K282" s="7">
        <f>Tabela1[[#This Row],[Valor Bruto]]-Tabela1[[#This Row],[Valor Venda]]</f>
        <v>300.90000000000009</v>
      </c>
      <c r="L282" s="1">
        <v>43985</v>
      </c>
      <c r="M282" s="1">
        <v>43985</v>
      </c>
      <c r="N282">
        <v>279</v>
      </c>
      <c r="O282">
        <v>3</v>
      </c>
      <c r="P282" t="s">
        <v>52</v>
      </c>
      <c r="Q282">
        <v>0.09</v>
      </c>
      <c r="R282" s="7">
        <v>153.45899999999997</v>
      </c>
      <c r="S282">
        <v>6</v>
      </c>
      <c r="T282" t="s">
        <v>112</v>
      </c>
    </row>
    <row r="283" spans="1:20">
      <c r="A283">
        <v>280</v>
      </c>
      <c r="B283" s="1">
        <v>43982</v>
      </c>
      <c r="C283">
        <v>4</v>
      </c>
      <c r="D283" t="s">
        <v>86</v>
      </c>
      <c r="E283" t="s">
        <v>31</v>
      </c>
      <c r="F283" s="8">
        <v>18</v>
      </c>
      <c r="G283" s="7">
        <v>104</v>
      </c>
      <c r="H283" s="7">
        <v>1872</v>
      </c>
      <c r="I283" s="4">
        <v>0.13</v>
      </c>
      <c r="J283" s="7">
        <v>1628.6399999999999</v>
      </c>
      <c r="K283" s="7">
        <f>Tabela1[[#This Row],[Valor Bruto]]-Tabela1[[#This Row],[Valor Venda]]</f>
        <v>243.36000000000013</v>
      </c>
      <c r="L283" s="1">
        <v>44008</v>
      </c>
      <c r="M283" s="1">
        <v>44008</v>
      </c>
      <c r="N283">
        <v>280</v>
      </c>
      <c r="O283">
        <v>5</v>
      </c>
      <c r="P283" t="s">
        <v>43</v>
      </c>
      <c r="Q283">
        <v>0.05</v>
      </c>
      <c r="R283" s="7">
        <v>81.432000000000002</v>
      </c>
      <c r="S283">
        <v>7</v>
      </c>
      <c r="T283" t="s">
        <v>112</v>
      </c>
    </row>
    <row r="284" spans="1:20">
      <c r="A284">
        <v>281</v>
      </c>
      <c r="B284" s="1">
        <v>43982</v>
      </c>
      <c r="C284">
        <v>59</v>
      </c>
      <c r="D284" t="s">
        <v>97</v>
      </c>
      <c r="E284" t="s">
        <v>31</v>
      </c>
      <c r="F284" s="8">
        <v>38</v>
      </c>
      <c r="G284" s="7">
        <v>110</v>
      </c>
      <c r="H284" s="7">
        <v>4180</v>
      </c>
      <c r="I284" s="4">
        <v>0.13</v>
      </c>
      <c r="J284" s="7">
        <v>3636.6</v>
      </c>
      <c r="K284" s="7">
        <f>Tabela1[[#This Row],[Valor Bruto]]-Tabela1[[#This Row],[Valor Venda]]</f>
        <v>543.40000000000009</v>
      </c>
      <c r="L284" s="1">
        <v>43993</v>
      </c>
      <c r="M284" s="1">
        <v>43993</v>
      </c>
      <c r="N284">
        <v>281</v>
      </c>
      <c r="O284">
        <v>7</v>
      </c>
      <c r="P284" t="s">
        <v>69</v>
      </c>
      <c r="Q284">
        <v>0.08</v>
      </c>
      <c r="R284" s="7">
        <v>290.928</v>
      </c>
      <c r="S284">
        <v>1</v>
      </c>
      <c r="T284" t="s">
        <v>112</v>
      </c>
    </row>
    <row r="285" spans="1:20">
      <c r="A285">
        <v>282</v>
      </c>
      <c r="B285" s="1">
        <v>43983</v>
      </c>
      <c r="C285">
        <v>55</v>
      </c>
      <c r="D285" t="s">
        <v>44</v>
      </c>
      <c r="E285" t="s">
        <v>55</v>
      </c>
      <c r="F285" s="8">
        <v>30</v>
      </c>
      <c r="G285" s="7">
        <v>108</v>
      </c>
      <c r="H285" s="7">
        <v>3240</v>
      </c>
      <c r="I285" s="4">
        <v>0</v>
      </c>
      <c r="J285" s="7">
        <v>3240</v>
      </c>
      <c r="K285" s="7">
        <f>Tabela1[[#This Row],[Valor Bruto]]-Tabela1[[#This Row],[Valor Venda]]</f>
        <v>0</v>
      </c>
      <c r="L285" s="1">
        <v>43997</v>
      </c>
      <c r="M285" s="1">
        <v>43997</v>
      </c>
      <c r="N285">
        <v>282</v>
      </c>
      <c r="O285">
        <v>3</v>
      </c>
      <c r="P285" t="s">
        <v>37</v>
      </c>
      <c r="Q285">
        <v>0.05</v>
      </c>
      <c r="R285" s="7">
        <v>162</v>
      </c>
      <c r="S285">
        <v>2</v>
      </c>
      <c r="T285" t="s">
        <v>113</v>
      </c>
    </row>
    <row r="286" spans="1:20">
      <c r="A286">
        <v>283</v>
      </c>
      <c r="B286" s="1">
        <v>43983</v>
      </c>
      <c r="C286">
        <v>18</v>
      </c>
      <c r="D286" t="s">
        <v>83</v>
      </c>
      <c r="E286" t="s">
        <v>28</v>
      </c>
      <c r="F286" s="8">
        <v>35</v>
      </c>
      <c r="G286" s="7">
        <v>102</v>
      </c>
      <c r="H286" s="7">
        <v>3570</v>
      </c>
      <c r="I286" s="4">
        <v>0.03</v>
      </c>
      <c r="J286" s="7">
        <v>3462.9</v>
      </c>
      <c r="K286" s="7">
        <f>Tabela1[[#This Row],[Valor Bruto]]-Tabela1[[#This Row],[Valor Venda]]</f>
        <v>107.09999999999991</v>
      </c>
      <c r="L286" s="1">
        <v>44004</v>
      </c>
      <c r="M286" s="1">
        <v>44004</v>
      </c>
      <c r="N286">
        <v>283</v>
      </c>
      <c r="O286">
        <v>7</v>
      </c>
      <c r="P286" t="s">
        <v>69</v>
      </c>
      <c r="Q286">
        <v>0.08</v>
      </c>
      <c r="R286" s="7">
        <v>277.03200000000004</v>
      </c>
      <c r="S286">
        <v>3</v>
      </c>
      <c r="T286" t="s">
        <v>113</v>
      </c>
    </row>
    <row r="287" spans="1:20">
      <c r="A287">
        <v>284</v>
      </c>
      <c r="B287" s="1">
        <v>43983</v>
      </c>
      <c r="C287">
        <v>98</v>
      </c>
      <c r="D287" t="s">
        <v>26</v>
      </c>
      <c r="E287" t="s">
        <v>46</v>
      </c>
      <c r="F287" s="8">
        <v>18</v>
      </c>
      <c r="G287" s="7">
        <v>94</v>
      </c>
      <c r="H287" s="7">
        <v>1692</v>
      </c>
      <c r="I287" s="4">
        <v>0.05</v>
      </c>
      <c r="J287" s="7">
        <v>1607.4</v>
      </c>
      <c r="K287" s="7">
        <f>Tabela1[[#This Row],[Valor Bruto]]-Tabela1[[#This Row],[Valor Venda]]</f>
        <v>84.599999999999909</v>
      </c>
      <c r="L287" s="1">
        <v>43996</v>
      </c>
      <c r="M287" s="1">
        <v>43996</v>
      </c>
      <c r="N287">
        <v>284</v>
      </c>
      <c r="O287">
        <v>3</v>
      </c>
      <c r="P287" t="s">
        <v>29</v>
      </c>
      <c r="Q287">
        <v>0.1</v>
      </c>
      <c r="R287" s="7">
        <v>160.74</v>
      </c>
      <c r="S287">
        <v>4</v>
      </c>
      <c r="T287" t="s">
        <v>113</v>
      </c>
    </row>
    <row r="288" spans="1:20">
      <c r="A288">
        <v>285</v>
      </c>
      <c r="B288" s="1">
        <v>43984</v>
      </c>
      <c r="C288">
        <v>83</v>
      </c>
      <c r="D288" t="s">
        <v>100</v>
      </c>
      <c r="E288" t="s">
        <v>28</v>
      </c>
      <c r="F288" s="8">
        <v>19</v>
      </c>
      <c r="G288" s="7">
        <v>117</v>
      </c>
      <c r="H288" s="7">
        <v>2223</v>
      </c>
      <c r="I288" s="4">
        <v>0.13</v>
      </c>
      <c r="J288" s="7">
        <v>1934.01</v>
      </c>
      <c r="K288" s="7">
        <f>Tabela1[[#This Row],[Valor Bruto]]-Tabela1[[#This Row],[Valor Venda]]</f>
        <v>288.99</v>
      </c>
      <c r="L288" s="1">
        <v>43997</v>
      </c>
      <c r="M288" s="1">
        <v>43997</v>
      </c>
      <c r="N288">
        <v>285</v>
      </c>
      <c r="O288">
        <v>3</v>
      </c>
      <c r="P288" t="s">
        <v>22</v>
      </c>
      <c r="Q288">
        <v>0.08</v>
      </c>
      <c r="R288" s="7">
        <v>154.7208</v>
      </c>
      <c r="S288">
        <v>5</v>
      </c>
      <c r="T288" t="s">
        <v>113</v>
      </c>
    </row>
    <row r="289" spans="1:20">
      <c r="A289">
        <v>286</v>
      </c>
      <c r="B289" s="1">
        <v>43986</v>
      </c>
      <c r="C289">
        <v>75</v>
      </c>
      <c r="D289" t="s">
        <v>38</v>
      </c>
      <c r="E289" t="s">
        <v>24</v>
      </c>
      <c r="F289" s="8">
        <v>17</v>
      </c>
      <c r="G289" s="7">
        <v>118</v>
      </c>
      <c r="H289" s="7">
        <v>2006</v>
      </c>
      <c r="I289" s="4">
        <v>0.04</v>
      </c>
      <c r="J289" s="7">
        <v>1925.76</v>
      </c>
      <c r="K289" s="7">
        <f>Tabela1[[#This Row],[Valor Bruto]]-Tabela1[[#This Row],[Valor Venda]]</f>
        <v>80.240000000000009</v>
      </c>
      <c r="L289" s="1">
        <v>44013</v>
      </c>
      <c r="M289" s="1">
        <v>44013</v>
      </c>
      <c r="N289">
        <v>286</v>
      </c>
      <c r="O289">
        <v>7</v>
      </c>
      <c r="P289" t="s">
        <v>69</v>
      </c>
      <c r="Q289">
        <v>7.0000000000000007E-2</v>
      </c>
      <c r="R289" s="7">
        <v>134.8032</v>
      </c>
      <c r="S289">
        <v>6</v>
      </c>
      <c r="T289" t="s">
        <v>113</v>
      </c>
    </row>
    <row r="290" spans="1:20">
      <c r="A290">
        <v>287</v>
      </c>
      <c r="B290" s="1">
        <v>43986</v>
      </c>
      <c r="C290">
        <v>70</v>
      </c>
      <c r="D290" t="s">
        <v>67</v>
      </c>
      <c r="E290" t="s">
        <v>21</v>
      </c>
      <c r="F290" s="8">
        <v>22</v>
      </c>
      <c r="G290" s="7">
        <v>115</v>
      </c>
      <c r="H290" s="7">
        <v>2530</v>
      </c>
      <c r="I290" s="4">
        <v>0.06</v>
      </c>
      <c r="J290" s="7">
        <v>2378.1999999999998</v>
      </c>
      <c r="K290" s="7">
        <f>Tabela1[[#This Row],[Valor Bruto]]-Tabela1[[#This Row],[Valor Venda]]</f>
        <v>151.80000000000018</v>
      </c>
      <c r="L290" s="1">
        <v>44004</v>
      </c>
      <c r="M290" s="1">
        <v>44004</v>
      </c>
      <c r="N290">
        <v>287</v>
      </c>
      <c r="O290">
        <v>6</v>
      </c>
      <c r="P290" t="s">
        <v>29</v>
      </c>
      <c r="Q290">
        <v>0.06</v>
      </c>
      <c r="R290" s="7">
        <v>142.69199999999998</v>
      </c>
      <c r="S290">
        <v>7</v>
      </c>
      <c r="T290" t="s">
        <v>113</v>
      </c>
    </row>
    <row r="291" spans="1:20">
      <c r="A291">
        <v>288</v>
      </c>
      <c r="B291" s="1">
        <v>43987</v>
      </c>
      <c r="C291">
        <v>48</v>
      </c>
      <c r="D291" t="s">
        <v>61</v>
      </c>
      <c r="E291" t="s">
        <v>31</v>
      </c>
      <c r="F291" s="8">
        <v>16</v>
      </c>
      <c r="G291" s="7">
        <v>112</v>
      </c>
      <c r="H291" s="7">
        <v>1792</v>
      </c>
      <c r="I291" s="4">
        <v>0.04</v>
      </c>
      <c r="J291" s="7">
        <v>1720.32</v>
      </c>
      <c r="K291" s="7">
        <f>Tabela1[[#This Row],[Valor Bruto]]-Tabela1[[#This Row],[Valor Venda]]</f>
        <v>71.680000000000064</v>
      </c>
      <c r="L291" s="1">
        <v>44009</v>
      </c>
      <c r="M291" s="1">
        <v>44009</v>
      </c>
      <c r="N291">
        <v>288</v>
      </c>
      <c r="O291">
        <v>6</v>
      </c>
      <c r="P291" t="s">
        <v>37</v>
      </c>
      <c r="Q291">
        <v>0.08</v>
      </c>
      <c r="R291" s="7">
        <v>137.62559999999999</v>
      </c>
      <c r="S291">
        <v>1</v>
      </c>
      <c r="T291" t="s">
        <v>113</v>
      </c>
    </row>
    <row r="292" spans="1:20">
      <c r="A292">
        <v>289</v>
      </c>
      <c r="B292" s="1">
        <v>43988</v>
      </c>
      <c r="C292">
        <v>25</v>
      </c>
      <c r="D292" t="s">
        <v>63</v>
      </c>
      <c r="E292" t="s">
        <v>59</v>
      </c>
      <c r="F292" s="8">
        <v>37</v>
      </c>
      <c r="G292" s="7">
        <v>99</v>
      </c>
      <c r="H292" s="7">
        <v>3663</v>
      </c>
      <c r="I292" s="4">
        <v>0.03</v>
      </c>
      <c r="J292" s="7">
        <v>3553.11</v>
      </c>
      <c r="K292" s="7">
        <f>Tabela1[[#This Row],[Valor Bruto]]-Tabela1[[#This Row],[Valor Venda]]</f>
        <v>109.88999999999987</v>
      </c>
      <c r="L292" s="1">
        <v>44015</v>
      </c>
      <c r="M292" s="1">
        <v>44015</v>
      </c>
      <c r="N292">
        <v>289</v>
      </c>
      <c r="O292">
        <v>6</v>
      </c>
      <c r="P292" t="s">
        <v>69</v>
      </c>
      <c r="Q292">
        <v>7.0000000000000007E-2</v>
      </c>
      <c r="R292" s="7">
        <v>248.71770000000004</v>
      </c>
      <c r="S292">
        <v>2</v>
      </c>
      <c r="T292" t="s">
        <v>113</v>
      </c>
    </row>
    <row r="293" spans="1:20">
      <c r="A293">
        <v>290</v>
      </c>
      <c r="B293" s="1">
        <v>43988</v>
      </c>
      <c r="C293">
        <v>62</v>
      </c>
      <c r="D293" t="s">
        <v>38</v>
      </c>
      <c r="E293" t="s">
        <v>21</v>
      </c>
      <c r="F293" s="8">
        <v>29</v>
      </c>
      <c r="G293" s="7">
        <v>120</v>
      </c>
      <c r="H293" s="7">
        <v>3480</v>
      </c>
      <c r="I293" s="4">
        <v>7.0000000000000007E-2</v>
      </c>
      <c r="J293" s="7">
        <v>3236.4</v>
      </c>
      <c r="K293" s="7">
        <f>Tabela1[[#This Row],[Valor Bruto]]-Tabela1[[#This Row],[Valor Venda]]</f>
        <v>243.59999999999991</v>
      </c>
      <c r="L293" s="1">
        <v>43995</v>
      </c>
      <c r="M293" s="1">
        <v>43995</v>
      </c>
      <c r="N293">
        <v>290</v>
      </c>
      <c r="O293">
        <v>5</v>
      </c>
      <c r="P293" t="s">
        <v>34</v>
      </c>
      <c r="Q293">
        <v>0.1</v>
      </c>
      <c r="R293" s="7">
        <v>323.64000000000004</v>
      </c>
      <c r="S293">
        <v>3</v>
      </c>
      <c r="T293" t="s">
        <v>113</v>
      </c>
    </row>
    <row r="294" spans="1:20">
      <c r="A294">
        <v>291</v>
      </c>
      <c r="B294" s="1">
        <v>43988</v>
      </c>
      <c r="C294">
        <v>89</v>
      </c>
      <c r="D294" t="s">
        <v>49</v>
      </c>
      <c r="E294" t="s">
        <v>55</v>
      </c>
      <c r="F294" s="8">
        <v>26</v>
      </c>
      <c r="G294" s="7">
        <v>105</v>
      </c>
      <c r="H294" s="7">
        <v>2730</v>
      </c>
      <c r="I294" s="4">
        <v>0.05</v>
      </c>
      <c r="J294" s="7">
        <v>2593.5</v>
      </c>
      <c r="K294" s="7">
        <f>Tabela1[[#This Row],[Valor Bruto]]-Tabela1[[#This Row],[Valor Venda]]</f>
        <v>136.5</v>
      </c>
      <c r="L294" s="1">
        <v>44018</v>
      </c>
      <c r="N294">
        <v>291</v>
      </c>
      <c r="O294">
        <v>1</v>
      </c>
      <c r="P294" t="s">
        <v>25</v>
      </c>
      <c r="Q294">
        <v>0.1</v>
      </c>
      <c r="R294" s="7">
        <v>259.35000000000002</v>
      </c>
      <c r="S294">
        <v>4</v>
      </c>
      <c r="T294" t="s">
        <v>113</v>
      </c>
    </row>
    <row r="295" spans="1:20">
      <c r="A295">
        <v>292</v>
      </c>
      <c r="B295" s="1">
        <v>43988</v>
      </c>
      <c r="C295">
        <v>16</v>
      </c>
      <c r="D295" t="s">
        <v>27</v>
      </c>
      <c r="E295" t="s">
        <v>28</v>
      </c>
      <c r="F295" s="8">
        <v>36</v>
      </c>
      <c r="G295" s="7">
        <v>119</v>
      </c>
      <c r="H295" s="7">
        <v>4284</v>
      </c>
      <c r="I295" s="4">
        <v>0.02</v>
      </c>
      <c r="J295" s="7">
        <v>4198.32</v>
      </c>
      <c r="K295" s="7">
        <f>Tabela1[[#This Row],[Valor Bruto]]-Tabela1[[#This Row],[Valor Venda]]</f>
        <v>85.680000000000291</v>
      </c>
      <c r="L295" s="1">
        <v>44009</v>
      </c>
      <c r="M295" s="1">
        <v>44009</v>
      </c>
      <c r="N295">
        <v>292</v>
      </c>
      <c r="O295">
        <v>6</v>
      </c>
      <c r="P295" t="s">
        <v>43</v>
      </c>
      <c r="Q295">
        <v>0.05</v>
      </c>
      <c r="R295" s="7">
        <v>209.916</v>
      </c>
      <c r="S295">
        <v>5</v>
      </c>
      <c r="T295" t="s">
        <v>113</v>
      </c>
    </row>
    <row r="296" spans="1:20">
      <c r="A296">
        <v>293</v>
      </c>
      <c r="B296" s="1">
        <v>43989</v>
      </c>
      <c r="C296">
        <v>85</v>
      </c>
      <c r="D296" t="s">
        <v>57</v>
      </c>
      <c r="E296" t="s">
        <v>50</v>
      </c>
      <c r="F296" s="8">
        <v>46</v>
      </c>
      <c r="G296" s="7">
        <v>117</v>
      </c>
      <c r="H296" s="7">
        <v>5382</v>
      </c>
      <c r="I296" s="4">
        <v>0.14000000000000001</v>
      </c>
      <c r="J296" s="7">
        <v>4628.5200000000004</v>
      </c>
      <c r="K296" s="7">
        <f>Tabela1[[#This Row],[Valor Bruto]]-Tabela1[[#This Row],[Valor Venda]]</f>
        <v>753.47999999999956</v>
      </c>
      <c r="L296" s="1">
        <v>44010</v>
      </c>
      <c r="M296" s="1">
        <v>44010</v>
      </c>
      <c r="N296">
        <v>293</v>
      </c>
      <c r="O296">
        <v>1</v>
      </c>
      <c r="P296" t="s">
        <v>34</v>
      </c>
      <c r="Q296">
        <v>0.05</v>
      </c>
      <c r="R296" s="7">
        <v>231.42600000000004</v>
      </c>
      <c r="S296">
        <v>6</v>
      </c>
      <c r="T296" t="s">
        <v>113</v>
      </c>
    </row>
    <row r="297" spans="1:20">
      <c r="A297">
        <v>294</v>
      </c>
      <c r="B297" s="1">
        <v>43989</v>
      </c>
      <c r="C297">
        <v>90</v>
      </c>
      <c r="D297" t="s">
        <v>60</v>
      </c>
      <c r="E297" t="s">
        <v>50</v>
      </c>
      <c r="F297" s="8">
        <v>29</v>
      </c>
      <c r="G297" s="7">
        <v>101</v>
      </c>
      <c r="H297" s="7">
        <v>2929</v>
      </c>
      <c r="I297" s="4">
        <v>0.11</v>
      </c>
      <c r="J297" s="7">
        <v>2606.81</v>
      </c>
      <c r="K297" s="7">
        <f>Tabela1[[#This Row],[Valor Bruto]]-Tabela1[[#This Row],[Valor Venda]]</f>
        <v>322.19000000000005</v>
      </c>
      <c r="L297" s="1">
        <v>44018</v>
      </c>
      <c r="M297" s="1">
        <v>44018</v>
      </c>
      <c r="N297">
        <v>294</v>
      </c>
      <c r="O297">
        <v>3</v>
      </c>
      <c r="P297" t="s">
        <v>34</v>
      </c>
      <c r="Q297">
        <v>7.0000000000000007E-2</v>
      </c>
      <c r="R297" s="7">
        <v>182.47670000000002</v>
      </c>
      <c r="S297">
        <v>7</v>
      </c>
      <c r="T297" t="s">
        <v>113</v>
      </c>
    </row>
    <row r="298" spans="1:20">
      <c r="A298">
        <v>295</v>
      </c>
      <c r="B298" s="1">
        <v>43991</v>
      </c>
      <c r="C298">
        <v>36</v>
      </c>
      <c r="D298" t="s">
        <v>70</v>
      </c>
      <c r="E298" t="s">
        <v>31</v>
      </c>
      <c r="F298" s="8">
        <v>18</v>
      </c>
      <c r="G298" s="7">
        <v>95</v>
      </c>
      <c r="H298" s="7">
        <v>1710</v>
      </c>
      <c r="I298" s="4">
        <v>0.12</v>
      </c>
      <c r="J298" s="7">
        <v>1504.8</v>
      </c>
      <c r="K298" s="7">
        <f>Tabela1[[#This Row],[Valor Bruto]]-Tabela1[[#This Row],[Valor Venda]]</f>
        <v>205.20000000000005</v>
      </c>
      <c r="L298" s="1">
        <v>44016</v>
      </c>
      <c r="M298" s="1">
        <v>44016</v>
      </c>
      <c r="N298">
        <v>295</v>
      </c>
      <c r="O298">
        <v>6</v>
      </c>
      <c r="P298" t="s">
        <v>22</v>
      </c>
      <c r="Q298">
        <v>0.1</v>
      </c>
      <c r="R298" s="7">
        <v>150.47999999999999</v>
      </c>
      <c r="S298">
        <v>1</v>
      </c>
      <c r="T298" t="s">
        <v>113</v>
      </c>
    </row>
    <row r="299" spans="1:20">
      <c r="A299">
        <v>296</v>
      </c>
      <c r="B299" s="1">
        <v>43992</v>
      </c>
      <c r="C299">
        <v>79</v>
      </c>
      <c r="D299" t="s">
        <v>33</v>
      </c>
      <c r="E299" t="s">
        <v>28</v>
      </c>
      <c r="F299" s="8">
        <v>41</v>
      </c>
      <c r="G299" s="7">
        <v>112</v>
      </c>
      <c r="H299" s="7">
        <v>4592</v>
      </c>
      <c r="I299" s="4">
        <v>0.1</v>
      </c>
      <c r="J299" s="7">
        <v>4132.8</v>
      </c>
      <c r="K299" s="7">
        <f>Tabela1[[#This Row],[Valor Bruto]]-Tabela1[[#This Row],[Valor Venda]]</f>
        <v>459.19999999999982</v>
      </c>
      <c r="L299" s="1">
        <v>44019</v>
      </c>
      <c r="M299" s="1">
        <v>44019</v>
      </c>
      <c r="N299">
        <v>296</v>
      </c>
      <c r="O299">
        <v>1</v>
      </c>
      <c r="P299" t="s">
        <v>22</v>
      </c>
      <c r="Q299">
        <v>0.1</v>
      </c>
      <c r="R299" s="7">
        <v>413.28000000000003</v>
      </c>
      <c r="S299">
        <v>2</v>
      </c>
      <c r="T299" t="s">
        <v>113</v>
      </c>
    </row>
    <row r="300" spans="1:20">
      <c r="A300">
        <v>297</v>
      </c>
      <c r="B300" s="1">
        <v>43992</v>
      </c>
      <c r="C300">
        <v>95</v>
      </c>
      <c r="D300" t="s">
        <v>38</v>
      </c>
      <c r="E300" t="s">
        <v>41</v>
      </c>
      <c r="F300" s="8">
        <v>37</v>
      </c>
      <c r="G300" s="7">
        <v>96</v>
      </c>
      <c r="H300" s="7">
        <v>3552</v>
      </c>
      <c r="I300" s="4">
        <v>0.1</v>
      </c>
      <c r="J300" s="7">
        <v>3196.8</v>
      </c>
      <c r="K300" s="7">
        <f>Tabela1[[#This Row],[Valor Bruto]]-Tabela1[[#This Row],[Valor Venda]]</f>
        <v>355.19999999999982</v>
      </c>
      <c r="L300" s="1">
        <v>44004</v>
      </c>
      <c r="M300" s="1">
        <v>44004</v>
      </c>
      <c r="N300">
        <v>297</v>
      </c>
      <c r="O300">
        <v>7</v>
      </c>
      <c r="P300" t="s">
        <v>22</v>
      </c>
      <c r="Q300">
        <v>0.06</v>
      </c>
      <c r="R300" s="7">
        <v>191.80799999999999</v>
      </c>
      <c r="S300">
        <v>3</v>
      </c>
      <c r="T300" t="s">
        <v>113</v>
      </c>
    </row>
    <row r="301" spans="1:20">
      <c r="A301">
        <v>298</v>
      </c>
      <c r="B301" s="1">
        <v>43992</v>
      </c>
      <c r="C301">
        <v>7</v>
      </c>
      <c r="D301" t="s">
        <v>102</v>
      </c>
      <c r="E301" t="s">
        <v>50</v>
      </c>
      <c r="F301" s="8">
        <v>12</v>
      </c>
      <c r="G301" s="7">
        <v>110</v>
      </c>
      <c r="H301" s="7">
        <v>1320</v>
      </c>
      <c r="I301" s="4">
        <v>0.1</v>
      </c>
      <c r="J301" s="7">
        <v>1188</v>
      </c>
      <c r="K301" s="7">
        <f>Tabela1[[#This Row],[Valor Bruto]]-Tabela1[[#This Row],[Valor Venda]]</f>
        <v>132</v>
      </c>
      <c r="L301" s="1">
        <v>43996</v>
      </c>
      <c r="M301" s="1">
        <v>43996</v>
      </c>
      <c r="N301">
        <v>298</v>
      </c>
      <c r="O301">
        <v>6</v>
      </c>
      <c r="P301" t="s">
        <v>37</v>
      </c>
      <c r="Q301">
        <v>7.0000000000000007E-2</v>
      </c>
      <c r="R301" s="7">
        <v>83.160000000000011</v>
      </c>
      <c r="S301">
        <v>4</v>
      </c>
      <c r="T301" t="s">
        <v>113</v>
      </c>
    </row>
    <row r="302" spans="1:20">
      <c r="A302">
        <v>299</v>
      </c>
      <c r="B302" s="1">
        <v>43993</v>
      </c>
      <c r="C302">
        <v>30</v>
      </c>
      <c r="D302" t="s">
        <v>96</v>
      </c>
      <c r="E302" t="s">
        <v>24</v>
      </c>
      <c r="F302" s="8">
        <v>17</v>
      </c>
      <c r="G302" s="7">
        <v>104</v>
      </c>
      <c r="H302" s="7">
        <v>1768</v>
      </c>
      <c r="I302" s="4">
        <v>0.09</v>
      </c>
      <c r="J302" s="7">
        <v>1608.88</v>
      </c>
      <c r="K302" s="7">
        <f>Tabela1[[#This Row],[Valor Bruto]]-Tabela1[[#This Row],[Valor Venda]]</f>
        <v>159.11999999999989</v>
      </c>
      <c r="L302" s="1">
        <v>44021</v>
      </c>
      <c r="M302" s="1">
        <v>44021</v>
      </c>
      <c r="N302">
        <v>299</v>
      </c>
      <c r="O302">
        <v>5</v>
      </c>
      <c r="P302" t="s">
        <v>32</v>
      </c>
      <c r="Q302">
        <v>0.05</v>
      </c>
      <c r="R302" s="7">
        <v>80.444000000000017</v>
      </c>
      <c r="S302">
        <v>5</v>
      </c>
      <c r="T302" t="s">
        <v>113</v>
      </c>
    </row>
    <row r="303" spans="1:20">
      <c r="A303">
        <v>300</v>
      </c>
      <c r="B303" s="1">
        <v>43993</v>
      </c>
      <c r="C303">
        <v>51</v>
      </c>
      <c r="D303" t="s">
        <v>53</v>
      </c>
      <c r="E303" t="s">
        <v>46</v>
      </c>
      <c r="F303" s="8">
        <v>45</v>
      </c>
      <c r="G303" s="7">
        <v>109</v>
      </c>
      <c r="H303" s="7">
        <v>4905</v>
      </c>
      <c r="I303" s="4">
        <v>0.1</v>
      </c>
      <c r="J303" s="7">
        <v>4414.5</v>
      </c>
      <c r="K303" s="7">
        <f>Tabela1[[#This Row],[Valor Bruto]]-Tabela1[[#This Row],[Valor Venda]]</f>
        <v>490.5</v>
      </c>
      <c r="L303" s="1">
        <v>44000</v>
      </c>
      <c r="M303" s="1">
        <v>44000</v>
      </c>
      <c r="N303">
        <v>300</v>
      </c>
      <c r="O303">
        <v>2</v>
      </c>
      <c r="P303" t="s">
        <v>47</v>
      </c>
      <c r="Q303">
        <v>0.06</v>
      </c>
      <c r="R303" s="7">
        <v>264.87</v>
      </c>
      <c r="S303">
        <v>6</v>
      </c>
      <c r="T303" t="s">
        <v>113</v>
      </c>
    </row>
    <row r="304" spans="1:20">
      <c r="A304">
        <v>301</v>
      </c>
      <c r="B304" s="1">
        <v>43994</v>
      </c>
      <c r="C304">
        <v>78</v>
      </c>
      <c r="D304" t="s">
        <v>36</v>
      </c>
      <c r="E304" t="s">
        <v>41</v>
      </c>
      <c r="F304" s="8">
        <v>37</v>
      </c>
      <c r="G304" s="7">
        <v>101</v>
      </c>
      <c r="H304" s="7">
        <v>3737</v>
      </c>
      <c r="I304" s="4">
        <v>0.14000000000000001</v>
      </c>
      <c r="J304" s="7">
        <v>3213.8199999999997</v>
      </c>
      <c r="K304" s="7">
        <f>Tabela1[[#This Row],[Valor Bruto]]-Tabela1[[#This Row],[Valor Venda]]</f>
        <v>523.18000000000029</v>
      </c>
      <c r="L304" s="1">
        <v>44001</v>
      </c>
      <c r="M304" s="1">
        <v>44001</v>
      </c>
      <c r="N304">
        <v>301</v>
      </c>
      <c r="O304">
        <v>1</v>
      </c>
      <c r="P304" t="s">
        <v>29</v>
      </c>
      <c r="Q304">
        <v>0.09</v>
      </c>
      <c r="R304" s="7">
        <v>289.24379999999996</v>
      </c>
      <c r="S304">
        <v>7</v>
      </c>
      <c r="T304" t="s">
        <v>113</v>
      </c>
    </row>
    <row r="305" spans="1:20">
      <c r="A305">
        <v>302</v>
      </c>
      <c r="B305" s="1">
        <v>43994</v>
      </c>
      <c r="C305">
        <v>5</v>
      </c>
      <c r="D305" t="s">
        <v>38</v>
      </c>
      <c r="E305" t="s">
        <v>59</v>
      </c>
      <c r="F305" s="8">
        <v>48</v>
      </c>
      <c r="G305" s="7">
        <v>107</v>
      </c>
      <c r="H305" s="7">
        <v>5136</v>
      </c>
      <c r="I305" s="4">
        <v>0.04</v>
      </c>
      <c r="J305" s="7">
        <v>4930.5600000000004</v>
      </c>
      <c r="K305" s="7">
        <f>Tabela1[[#This Row],[Valor Bruto]]-Tabela1[[#This Row],[Valor Venda]]</f>
        <v>205.4399999999996</v>
      </c>
      <c r="L305" s="1">
        <v>44000</v>
      </c>
      <c r="N305">
        <v>302</v>
      </c>
      <c r="O305">
        <v>1</v>
      </c>
      <c r="P305" t="s">
        <v>22</v>
      </c>
      <c r="Q305">
        <v>0.05</v>
      </c>
      <c r="R305" s="7">
        <v>246.52800000000002</v>
      </c>
      <c r="S305">
        <v>1</v>
      </c>
      <c r="T305" t="s">
        <v>113</v>
      </c>
    </row>
    <row r="306" spans="1:20">
      <c r="A306">
        <v>303</v>
      </c>
      <c r="B306" s="1">
        <v>43994</v>
      </c>
      <c r="C306">
        <v>33</v>
      </c>
      <c r="D306" t="s">
        <v>76</v>
      </c>
      <c r="E306" t="s">
        <v>55</v>
      </c>
      <c r="F306" s="8">
        <v>28</v>
      </c>
      <c r="G306" s="7">
        <v>104</v>
      </c>
      <c r="H306" s="7">
        <v>2912</v>
      </c>
      <c r="I306" s="4">
        <v>0.09</v>
      </c>
      <c r="J306" s="7">
        <v>2649.92</v>
      </c>
      <c r="K306" s="7">
        <f>Tabela1[[#This Row],[Valor Bruto]]-Tabela1[[#This Row],[Valor Venda]]</f>
        <v>262.07999999999993</v>
      </c>
      <c r="L306" s="1">
        <v>44009</v>
      </c>
      <c r="M306" s="1">
        <v>44009</v>
      </c>
      <c r="N306">
        <v>303</v>
      </c>
      <c r="O306">
        <v>4</v>
      </c>
      <c r="P306" t="s">
        <v>34</v>
      </c>
      <c r="Q306">
        <v>0.1</v>
      </c>
      <c r="R306" s="7">
        <v>264.99200000000002</v>
      </c>
      <c r="S306">
        <v>2</v>
      </c>
      <c r="T306" t="s">
        <v>113</v>
      </c>
    </row>
    <row r="307" spans="1:20">
      <c r="A307">
        <v>304</v>
      </c>
      <c r="B307" s="1">
        <v>43996</v>
      </c>
      <c r="C307">
        <v>6</v>
      </c>
      <c r="D307" t="s">
        <v>88</v>
      </c>
      <c r="E307" t="s">
        <v>54</v>
      </c>
      <c r="F307" s="8">
        <v>45</v>
      </c>
      <c r="G307" s="7">
        <v>107</v>
      </c>
      <c r="H307" s="7">
        <v>4815</v>
      </c>
      <c r="I307" s="4">
        <v>0.06</v>
      </c>
      <c r="J307" s="7">
        <v>4526.1000000000004</v>
      </c>
      <c r="K307" s="7">
        <f>Tabela1[[#This Row],[Valor Bruto]]-Tabela1[[#This Row],[Valor Venda]]</f>
        <v>288.89999999999964</v>
      </c>
      <c r="L307" s="1">
        <v>44009</v>
      </c>
      <c r="M307" s="1">
        <v>44009</v>
      </c>
      <c r="N307">
        <v>304</v>
      </c>
      <c r="O307">
        <v>7</v>
      </c>
      <c r="P307" t="s">
        <v>47</v>
      </c>
      <c r="Q307">
        <v>0.1</v>
      </c>
      <c r="R307" s="7">
        <v>452.61000000000007</v>
      </c>
      <c r="S307">
        <v>3</v>
      </c>
      <c r="T307" t="s">
        <v>113</v>
      </c>
    </row>
    <row r="308" spans="1:20">
      <c r="A308">
        <v>305</v>
      </c>
      <c r="B308" s="1">
        <v>43996</v>
      </c>
      <c r="C308">
        <v>4</v>
      </c>
      <c r="D308" t="s">
        <v>86</v>
      </c>
      <c r="E308" t="s">
        <v>28</v>
      </c>
      <c r="F308" s="8">
        <v>15</v>
      </c>
      <c r="G308" s="7">
        <v>110</v>
      </c>
      <c r="H308" s="7">
        <v>1650</v>
      </c>
      <c r="I308" s="4">
        <v>0.03</v>
      </c>
      <c r="J308" s="7">
        <v>1600.5</v>
      </c>
      <c r="K308" s="7">
        <f>Tabela1[[#This Row],[Valor Bruto]]-Tabela1[[#This Row],[Valor Venda]]</f>
        <v>49.5</v>
      </c>
      <c r="L308" s="1">
        <v>44017</v>
      </c>
      <c r="M308" s="1">
        <v>44017</v>
      </c>
      <c r="N308">
        <v>305</v>
      </c>
      <c r="O308">
        <v>2</v>
      </c>
      <c r="P308" t="s">
        <v>29</v>
      </c>
      <c r="Q308">
        <v>0.08</v>
      </c>
      <c r="R308" s="7">
        <v>128.04</v>
      </c>
      <c r="S308">
        <v>4</v>
      </c>
      <c r="T308" t="s">
        <v>113</v>
      </c>
    </row>
    <row r="309" spans="1:20">
      <c r="A309">
        <v>306</v>
      </c>
      <c r="B309" s="1">
        <v>43996</v>
      </c>
      <c r="C309">
        <v>11</v>
      </c>
      <c r="D309" t="s">
        <v>60</v>
      </c>
      <c r="E309" t="s">
        <v>50</v>
      </c>
      <c r="F309" s="8">
        <v>18</v>
      </c>
      <c r="G309" s="7">
        <v>111</v>
      </c>
      <c r="H309" s="7">
        <v>1998</v>
      </c>
      <c r="I309" s="4">
        <v>0.04</v>
      </c>
      <c r="J309" s="7">
        <v>1918.08</v>
      </c>
      <c r="K309" s="7">
        <f>Tabela1[[#This Row],[Valor Bruto]]-Tabela1[[#This Row],[Valor Venda]]</f>
        <v>79.920000000000073</v>
      </c>
      <c r="L309" s="1">
        <v>44019</v>
      </c>
      <c r="M309" s="1">
        <v>44019</v>
      </c>
      <c r="N309">
        <v>306</v>
      </c>
      <c r="O309">
        <v>1</v>
      </c>
      <c r="P309" t="s">
        <v>34</v>
      </c>
      <c r="Q309">
        <v>0.09</v>
      </c>
      <c r="R309" s="7">
        <v>172.62719999999999</v>
      </c>
      <c r="S309">
        <v>5</v>
      </c>
      <c r="T309" t="s">
        <v>113</v>
      </c>
    </row>
    <row r="310" spans="1:20">
      <c r="A310">
        <v>307</v>
      </c>
      <c r="B310" s="1">
        <v>43997</v>
      </c>
      <c r="C310">
        <v>72</v>
      </c>
      <c r="D310" t="s">
        <v>38</v>
      </c>
      <c r="E310" t="s">
        <v>24</v>
      </c>
      <c r="F310" s="8">
        <v>30</v>
      </c>
      <c r="G310" s="7">
        <v>96</v>
      </c>
      <c r="H310" s="7">
        <v>2880</v>
      </c>
      <c r="I310" s="4">
        <v>0.03</v>
      </c>
      <c r="J310" s="7">
        <v>2793.6</v>
      </c>
      <c r="K310" s="7">
        <f>Tabela1[[#This Row],[Valor Bruto]]-Tabela1[[#This Row],[Valor Venda]]</f>
        <v>86.400000000000091</v>
      </c>
      <c r="L310" s="1">
        <v>44022</v>
      </c>
      <c r="M310" s="1">
        <v>44022</v>
      </c>
      <c r="N310">
        <v>307</v>
      </c>
      <c r="O310">
        <v>1</v>
      </c>
      <c r="P310" t="s">
        <v>25</v>
      </c>
      <c r="Q310">
        <v>0.1</v>
      </c>
      <c r="R310" s="7">
        <v>279.36</v>
      </c>
      <c r="S310">
        <v>6</v>
      </c>
      <c r="T310" t="s">
        <v>113</v>
      </c>
    </row>
    <row r="311" spans="1:20">
      <c r="A311">
        <v>308</v>
      </c>
      <c r="B311" s="1">
        <v>43997</v>
      </c>
      <c r="C311">
        <v>86</v>
      </c>
      <c r="D311" t="s">
        <v>90</v>
      </c>
      <c r="E311" t="s">
        <v>50</v>
      </c>
      <c r="F311" s="8">
        <v>28</v>
      </c>
      <c r="G311" s="7">
        <v>110</v>
      </c>
      <c r="H311" s="7">
        <v>3080</v>
      </c>
      <c r="I311" s="4">
        <v>7.0000000000000007E-2</v>
      </c>
      <c r="J311" s="7">
        <v>2864.4</v>
      </c>
      <c r="K311" s="7">
        <f>Tabela1[[#This Row],[Valor Bruto]]-Tabela1[[#This Row],[Valor Venda]]</f>
        <v>215.59999999999991</v>
      </c>
      <c r="L311" s="1">
        <v>44024</v>
      </c>
      <c r="M311" s="1">
        <v>44024</v>
      </c>
      <c r="N311">
        <v>308</v>
      </c>
      <c r="O311">
        <v>4</v>
      </c>
      <c r="P311" t="s">
        <v>47</v>
      </c>
      <c r="Q311">
        <v>0.09</v>
      </c>
      <c r="R311" s="7">
        <v>257.79599999999999</v>
      </c>
      <c r="S311">
        <v>7</v>
      </c>
      <c r="T311" t="s">
        <v>113</v>
      </c>
    </row>
    <row r="312" spans="1:20">
      <c r="A312">
        <v>309</v>
      </c>
      <c r="B312" s="1">
        <v>43998</v>
      </c>
      <c r="C312">
        <v>46</v>
      </c>
      <c r="D312" t="s">
        <v>94</v>
      </c>
      <c r="E312" t="s">
        <v>24</v>
      </c>
      <c r="F312" s="8">
        <v>26</v>
      </c>
      <c r="G312" s="7">
        <v>101</v>
      </c>
      <c r="H312" s="7">
        <v>2626</v>
      </c>
      <c r="I312" s="4">
        <v>7.0000000000000007E-2</v>
      </c>
      <c r="J312" s="7">
        <v>2442.1799999999998</v>
      </c>
      <c r="K312" s="7">
        <f>Tabela1[[#This Row],[Valor Bruto]]-Tabela1[[#This Row],[Valor Venda]]</f>
        <v>183.82000000000016</v>
      </c>
      <c r="L312" s="1">
        <v>44016</v>
      </c>
      <c r="M312" s="1">
        <v>44016</v>
      </c>
      <c r="N312">
        <v>309</v>
      </c>
      <c r="O312">
        <v>2</v>
      </c>
      <c r="P312" t="s">
        <v>47</v>
      </c>
      <c r="Q312">
        <v>0.1</v>
      </c>
      <c r="R312" s="7">
        <v>244.21799999999999</v>
      </c>
      <c r="S312">
        <v>1</v>
      </c>
      <c r="T312" t="s">
        <v>113</v>
      </c>
    </row>
    <row r="313" spans="1:20">
      <c r="A313">
        <v>310</v>
      </c>
      <c r="B313" s="1">
        <v>43998</v>
      </c>
      <c r="C313">
        <v>52</v>
      </c>
      <c r="D313" t="s">
        <v>23</v>
      </c>
      <c r="E313" t="s">
        <v>21</v>
      </c>
      <c r="F313" s="8">
        <v>41</v>
      </c>
      <c r="G313" s="7">
        <v>98</v>
      </c>
      <c r="H313" s="7">
        <v>4018</v>
      </c>
      <c r="I313" s="4">
        <v>0.14000000000000001</v>
      </c>
      <c r="J313" s="7">
        <v>3455.48</v>
      </c>
      <c r="K313" s="7">
        <f>Tabela1[[#This Row],[Valor Bruto]]-Tabela1[[#This Row],[Valor Venda]]</f>
        <v>562.52</v>
      </c>
      <c r="L313" s="1">
        <v>44021</v>
      </c>
      <c r="M313" s="1">
        <v>44021</v>
      </c>
      <c r="N313">
        <v>310</v>
      </c>
      <c r="O313">
        <v>2</v>
      </c>
      <c r="P313" t="s">
        <v>22</v>
      </c>
      <c r="Q313">
        <v>0.08</v>
      </c>
      <c r="R313" s="7">
        <v>276.4384</v>
      </c>
      <c r="S313">
        <v>2</v>
      </c>
      <c r="T313" t="s">
        <v>113</v>
      </c>
    </row>
    <row r="314" spans="1:20">
      <c r="A314">
        <v>311</v>
      </c>
      <c r="B314" s="1">
        <v>43999</v>
      </c>
      <c r="C314">
        <v>31</v>
      </c>
      <c r="D314" t="s">
        <v>85</v>
      </c>
      <c r="E314" t="s">
        <v>54</v>
      </c>
      <c r="F314" s="8">
        <v>32</v>
      </c>
      <c r="G314" s="7">
        <v>109</v>
      </c>
      <c r="H314" s="7">
        <v>3488</v>
      </c>
      <c r="I314" s="4">
        <v>0.08</v>
      </c>
      <c r="J314" s="7">
        <v>3208.96</v>
      </c>
      <c r="K314" s="7">
        <f>Tabela1[[#This Row],[Valor Bruto]]-Tabela1[[#This Row],[Valor Venda]]</f>
        <v>279.03999999999996</v>
      </c>
      <c r="L314" s="1">
        <v>44004</v>
      </c>
      <c r="M314" s="1">
        <v>44004</v>
      </c>
      <c r="N314">
        <v>311</v>
      </c>
      <c r="O314">
        <v>4</v>
      </c>
      <c r="P314" t="s">
        <v>22</v>
      </c>
      <c r="Q314">
        <v>7.0000000000000007E-2</v>
      </c>
      <c r="R314" s="7">
        <v>224.62720000000002</v>
      </c>
      <c r="S314">
        <v>3</v>
      </c>
      <c r="T314" t="s">
        <v>113</v>
      </c>
    </row>
    <row r="315" spans="1:20">
      <c r="A315">
        <v>312</v>
      </c>
      <c r="B315" s="1">
        <v>43999</v>
      </c>
      <c r="C315">
        <v>57</v>
      </c>
      <c r="D315" t="s">
        <v>89</v>
      </c>
      <c r="E315" t="s">
        <v>24</v>
      </c>
      <c r="F315" s="8">
        <v>16</v>
      </c>
      <c r="G315" s="7">
        <v>103</v>
      </c>
      <c r="H315" s="7">
        <v>1648</v>
      </c>
      <c r="I315" s="4">
        <v>0.03</v>
      </c>
      <c r="J315" s="7">
        <v>1598.56</v>
      </c>
      <c r="K315" s="7">
        <f>Tabela1[[#This Row],[Valor Bruto]]-Tabela1[[#This Row],[Valor Venda]]</f>
        <v>49.440000000000055</v>
      </c>
      <c r="L315" s="1">
        <v>44000</v>
      </c>
      <c r="M315" s="1">
        <v>44000</v>
      </c>
      <c r="N315">
        <v>312</v>
      </c>
      <c r="O315">
        <v>2</v>
      </c>
      <c r="P315" t="s">
        <v>22</v>
      </c>
      <c r="Q315">
        <v>7.0000000000000007E-2</v>
      </c>
      <c r="R315" s="7">
        <v>111.89920000000001</v>
      </c>
      <c r="S315">
        <v>4</v>
      </c>
      <c r="T315" t="s">
        <v>113</v>
      </c>
    </row>
    <row r="316" spans="1:20">
      <c r="A316">
        <v>313</v>
      </c>
      <c r="B316" s="1">
        <v>43999</v>
      </c>
      <c r="C316">
        <v>18</v>
      </c>
      <c r="D316" t="s">
        <v>83</v>
      </c>
      <c r="E316" t="s">
        <v>50</v>
      </c>
      <c r="F316" s="8">
        <v>50</v>
      </c>
      <c r="G316" s="7">
        <v>97</v>
      </c>
      <c r="H316" s="7">
        <v>4850</v>
      </c>
      <c r="I316" s="4">
        <v>0.02</v>
      </c>
      <c r="J316" s="7">
        <v>4753</v>
      </c>
      <c r="K316" s="7">
        <f>Tabela1[[#This Row],[Valor Bruto]]-Tabela1[[#This Row],[Valor Venda]]</f>
        <v>97</v>
      </c>
      <c r="L316" s="1">
        <v>44013</v>
      </c>
      <c r="M316" s="1">
        <v>44013</v>
      </c>
      <c r="N316">
        <v>313</v>
      </c>
      <c r="O316">
        <v>7</v>
      </c>
      <c r="P316" t="s">
        <v>25</v>
      </c>
      <c r="Q316">
        <v>0.08</v>
      </c>
      <c r="R316" s="7">
        <v>380.24</v>
      </c>
      <c r="S316">
        <v>5</v>
      </c>
      <c r="T316" t="s">
        <v>113</v>
      </c>
    </row>
    <row r="317" spans="1:20">
      <c r="A317">
        <v>314</v>
      </c>
      <c r="B317" s="1">
        <v>43999</v>
      </c>
      <c r="C317">
        <v>18</v>
      </c>
      <c r="D317" t="s">
        <v>83</v>
      </c>
      <c r="E317" t="s">
        <v>59</v>
      </c>
      <c r="F317" s="8">
        <v>18</v>
      </c>
      <c r="G317" s="7">
        <v>100</v>
      </c>
      <c r="H317" s="7">
        <v>1800</v>
      </c>
      <c r="I317" s="4">
        <v>0.14000000000000001</v>
      </c>
      <c r="J317" s="7">
        <v>1548</v>
      </c>
      <c r="K317" s="7">
        <f>Tabela1[[#This Row],[Valor Bruto]]-Tabela1[[#This Row],[Valor Venda]]</f>
        <v>252</v>
      </c>
      <c r="L317" s="1">
        <v>44011</v>
      </c>
      <c r="M317" s="1">
        <v>44011</v>
      </c>
      <c r="N317">
        <v>314</v>
      </c>
      <c r="O317">
        <v>2</v>
      </c>
      <c r="P317" t="s">
        <v>32</v>
      </c>
      <c r="Q317">
        <v>7.0000000000000007E-2</v>
      </c>
      <c r="R317" s="7">
        <v>108.36000000000001</v>
      </c>
      <c r="S317">
        <v>6</v>
      </c>
      <c r="T317" t="s">
        <v>113</v>
      </c>
    </row>
    <row r="318" spans="1:20">
      <c r="A318">
        <v>315</v>
      </c>
      <c r="B318" s="1">
        <v>44000</v>
      </c>
      <c r="C318">
        <v>6</v>
      </c>
      <c r="D318" t="s">
        <v>88</v>
      </c>
      <c r="E318" t="s">
        <v>59</v>
      </c>
      <c r="F318" s="8">
        <v>47</v>
      </c>
      <c r="G318" s="7">
        <v>108</v>
      </c>
      <c r="H318" s="7">
        <v>5076</v>
      </c>
      <c r="I318" s="4">
        <v>0.05</v>
      </c>
      <c r="J318" s="7">
        <v>4822.2</v>
      </c>
      <c r="K318" s="7">
        <f>Tabela1[[#This Row],[Valor Bruto]]-Tabela1[[#This Row],[Valor Venda]]</f>
        <v>253.80000000000018</v>
      </c>
      <c r="L318" s="1">
        <v>44002</v>
      </c>
      <c r="M318" s="1">
        <v>44002</v>
      </c>
      <c r="N318">
        <v>315</v>
      </c>
      <c r="O318">
        <v>5</v>
      </c>
      <c r="P318" t="s">
        <v>47</v>
      </c>
      <c r="Q318">
        <v>0.05</v>
      </c>
      <c r="R318" s="7">
        <v>241.11</v>
      </c>
      <c r="S318">
        <v>7</v>
      </c>
      <c r="T318" t="s">
        <v>113</v>
      </c>
    </row>
    <row r="319" spans="1:20">
      <c r="A319">
        <v>316</v>
      </c>
      <c r="B319" s="1">
        <v>44000</v>
      </c>
      <c r="C319">
        <v>74</v>
      </c>
      <c r="D319" t="s">
        <v>38</v>
      </c>
      <c r="E319" t="s">
        <v>21</v>
      </c>
      <c r="F319" s="8">
        <v>34</v>
      </c>
      <c r="G319" s="7">
        <v>98</v>
      </c>
      <c r="H319" s="7">
        <v>3332</v>
      </c>
      <c r="I319" s="4">
        <v>0.02</v>
      </c>
      <c r="J319" s="7">
        <v>3265.36</v>
      </c>
      <c r="K319" s="7">
        <f>Tabela1[[#This Row],[Valor Bruto]]-Tabela1[[#This Row],[Valor Venda]]</f>
        <v>66.639999999999873</v>
      </c>
      <c r="L319" s="1">
        <v>44021</v>
      </c>
      <c r="M319" s="1">
        <v>44021</v>
      </c>
      <c r="N319">
        <v>316</v>
      </c>
      <c r="O319">
        <v>2</v>
      </c>
      <c r="P319" t="s">
        <v>52</v>
      </c>
      <c r="Q319">
        <v>0.1</v>
      </c>
      <c r="R319" s="7">
        <v>326.53600000000006</v>
      </c>
      <c r="S319">
        <v>1</v>
      </c>
      <c r="T319" t="s">
        <v>113</v>
      </c>
    </row>
    <row r="320" spans="1:20">
      <c r="A320">
        <v>317</v>
      </c>
      <c r="B320" s="1">
        <v>44000</v>
      </c>
      <c r="C320">
        <v>32</v>
      </c>
      <c r="D320" t="s">
        <v>77</v>
      </c>
      <c r="E320" t="s">
        <v>24</v>
      </c>
      <c r="F320" s="8">
        <v>26</v>
      </c>
      <c r="G320" s="7">
        <v>112</v>
      </c>
      <c r="H320" s="7">
        <v>2912</v>
      </c>
      <c r="I320" s="4">
        <v>0.12</v>
      </c>
      <c r="J320" s="7">
        <v>2562.56</v>
      </c>
      <c r="K320" s="7">
        <f>Tabela1[[#This Row],[Valor Bruto]]-Tabela1[[#This Row],[Valor Venda]]</f>
        <v>349.44000000000005</v>
      </c>
      <c r="L320" s="1">
        <v>44007</v>
      </c>
      <c r="M320" s="1">
        <v>44007</v>
      </c>
      <c r="N320">
        <v>317</v>
      </c>
      <c r="O320">
        <v>4</v>
      </c>
      <c r="P320" t="s">
        <v>43</v>
      </c>
      <c r="Q320">
        <v>0.09</v>
      </c>
      <c r="R320" s="7">
        <v>230.63039999999998</v>
      </c>
      <c r="S320">
        <v>2</v>
      </c>
      <c r="T320" t="s">
        <v>113</v>
      </c>
    </row>
    <row r="321" spans="1:20">
      <c r="A321">
        <v>318</v>
      </c>
      <c r="B321" s="1">
        <v>44001</v>
      </c>
      <c r="C321">
        <v>84</v>
      </c>
      <c r="D321" t="s">
        <v>44</v>
      </c>
      <c r="E321" t="s">
        <v>21</v>
      </c>
      <c r="F321" s="8">
        <v>46</v>
      </c>
      <c r="G321" s="7">
        <v>107</v>
      </c>
      <c r="H321" s="7">
        <v>4922</v>
      </c>
      <c r="I321" s="4">
        <v>0.02</v>
      </c>
      <c r="J321" s="7">
        <v>4823.5600000000004</v>
      </c>
      <c r="K321" s="7">
        <f>Tabela1[[#This Row],[Valor Bruto]]-Tabela1[[#This Row],[Valor Venda]]</f>
        <v>98.4399999999996</v>
      </c>
      <c r="L321" s="1">
        <v>44023</v>
      </c>
      <c r="M321" s="1">
        <v>44023</v>
      </c>
      <c r="N321">
        <v>318</v>
      </c>
      <c r="O321">
        <v>3</v>
      </c>
      <c r="P321" t="s">
        <v>43</v>
      </c>
      <c r="Q321">
        <v>0.05</v>
      </c>
      <c r="R321" s="7">
        <v>241.17800000000003</v>
      </c>
      <c r="S321">
        <v>3</v>
      </c>
      <c r="T321" t="s">
        <v>113</v>
      </c>
    </row>
    <row r="322" spans="1:20">
      <c r="A322">
        <v>319</v>
      </c>
      <c r="B322" s="1">
        <v>44001</v>
      </c>
      <c r="C322">
        <v>41</v>
      </c>
      <c r="D322" t="s">
        <v>68</v>
      </c>
      <c r="E322" t="s">
        <v>59</v>
      </c>
      <c r="F322" s="8">
        <v>25</v>
      </c>
      <c r="G322" s="7">
        <v>94</v>
      </c>
      <c r="H322" s="7">
        <v>2350</v>
      </c>
      <c r="I322" s="4">
        <v>0.15</v>
      </c>
      <c r="J322" s="7">
        <v>1997.5</v>
      </c>
      <c r="K322" s="7">
        <f>Tabela1[[#This Row],[Valor Bruto]]-Tabela1[[#This Row],[Valor Venda]]</f>
        <v>352.5</v>
      </c>
      <c r="L322" s="1">
        <v>44024</v>
      </c>
      <c r="M322" s="1">
        <v>44024</v>
      </c>
      <c r="N322">
        <v>319</v>
      </c>
      <c r="O322">
        <v>4</v>
      </c>
      <c r="P322" t="s">
        <v>37</v>
      </c>
      <c r="Q322">
        <v>0.05</v>
      </c>
      <c r="R322" s="7">
        <v>99.875</v>
      </c>
      <c r="S322">
        <v>4</v>
      </c>
      <c r="T322" t="s">
        <v>113</v>
      </c>
    </row>
    <row r="323" spans="1:20">
      <c r="A323">
        <v>320</v>
      </c>
      <c r="B323" s="1">
        <v>44001</v>
      </c>
      <c r="C323">
        <v>7</v>
      </c>
      <c r="D323" t="s">
        <v>102</v>
      </c>
      <c r="E323" t="s">
        <v>55</v>
      </c>
      <c r="F323" s="8">
        <v>34</v>
      </c>
      <c r="G323" s="7">
        <v>114</v>
      </c>
      <c r="H323" s="7">
        <v>3876</v>
      </c>
      <c r="I323" s="4">
        <v>0.06</v>
      </c>
      <c r="J323" s="7">
        <v>3643.44</v>
      </c>
      <c r="K323" s="7">
        <f>Tabela1[[#This Row],[Valor Bruto]]-Tabela1[[#This Row],[Valor Venda]]</f>
        <v>232.55999999999995</v>
      </c>
      <c r="L323" s="1">
        <v>44011</v>
      </c>
      <c r="M323" s="1">
        <v>44011</v>
      </c>
      <c r="N323">
        <v>320</v>
      </c>
      <c r="O323">
        <v>5</v>
      </c>
      <c r="P323" t="s">
        <v>29</v>
      </c>
      <c r="Q323">
        <v>0.08</v>
      </c>
      <c r="R323" s="7">
        <v>291.47520000000003</v>
      </c>
      <c r="S323">
        <v>5</v>
      </c>
      <c r="T323" t="s">
        <v>113</v>
      </c>
    </row>
    <row r="324" spans="1:20">
      <c r="A324">
        <v>321</v>
      </c>
      <c r="B324" s="1">
        <v>44001</v>
      </c>
      <c r="C324">
        <v>16</v>
      </c>
      <c r="D324" t="s">
        <v>27</v>
      </c>
      <c r="E324" t="s">
        <v>24</v>
      </c>
      <c r="F324" s="8">
        <v>22</v>
      </c>
      <c r="G324" s="7">
        <v>115</v>
      </c>
      <c r="H324" s="7">
        <v>2530</v>
      </c>
      <c r="I324" s="4">
        <v>0.15</v>
      </c>
      <c r="J324" s="7">
        <v>2150.5</v>
      </c>
      <c r="K324" s="7">
        <f>Tabela1[[#This Row],[Valor Bruto]]-Tabela1[[#This Row],[Valor Venda]]</f>
        <v>379.5</v>
      </c>
      <c r="L324" s="1">
        <v>44020</v>
      </c>
      <c r="M324" s="1">
        <v>44020</v>
      </c>
      <c r="N324">
        <v>321</v>
      </c>
      <c r="O324">
        <v>2</v>
      </c>
      <c r="P324" t="s">
        <v>47</v>
      </c>
      <c r="Q324">
        <v>0.05</v>
      </c>
      <c r="R324" s="7">
        <v>107.52500000000001</v>
      </c>
      <c r="S324">
        <v>6</v>
      </c>
      <c r="T324" t="s">
        <v>113</v>
      </c>
    </row>
    <row r="325" spans="1:20">
      <c r="A325">
        <v>322</v>
      </c>
      <c r="B325" s="1">
        <v>44002</v>
      </c>
      <c r="C325">
        <v>31</v>
      </c>
      <c r="D325" t="s">
        <v>85</v>
      </c>
      <c r="E325" t="s">
        <v>55</v>
      </c>
      <c r="F325" s="8">
        <v>22</v>
      </c>
      <c r="G325" s="7">
        <v>92</v>
      </c>
      <c r="H325" s="7">
        <v>2024</v>
      </c>
      <c r="I325" s="4">
        <v>0.14000000000000001</v>
      </c>
      <c r="J325" s="7">
        <v>1740.6399999999999</v>
      </c>
      <c r="K325" s="7">
        <f>Tabela1[[#This Row],[Valor Bruto]]-Tabela1[[#This Row],[Valor Venda]]</f>
        <v>283.36000000000013</v>
      </c>
      <c r="L325" s="1">
        <v>44008</v>
      </c>
      <c r="M325" s="1">
        <v>44008</v>
      </c>
      <c r="N325">
        <v>322</v>
      </c>
      <c r="O325">
        <v>1</v>
      </c>
      <c r="P325" t="s">
        <v>37</v>
      </c>
      <c r="Q325">
        <v>7.0000000000000007E-2</v>
      </c>
      <c r="R325" s="7">
        <v>121.84480000000001</v>
      </c>
      <c r="S325">
        <v>7</v>
      </c>
      <c r="T325" t="s">
        <v>113</v>
      </c>
    </row>
    <row r="326" spans="1:20">
      <c r="A326">
        <v>323</v>
      </c>
      <c r="B326" s="1">
        <v>44002</v>
      </c>
      <c r="C326">
        <v>32</v>
      </c>
      <c r="D326" t="s">
        <v>77</v>
      </c>
      <c r="E326" t="s">
        <v>24</v>
      </c>
      <c r="F326" s="8">
        <v>14</v>
      </c>
      <c r="G326" s="7">
        <v>94</v>
      </c>
      <c r="H326" s="7">
        <v>1316</v>
      </c>
      <c r="I326" s="4">
        <v>0.11</v>
      </c>
      <c r="J326" s="7">
        <v>1171.24</v>
      </c>
      <c r="K326" s="7">
        <f>Tabela1[[#This Row],[Valor Bruto]]-Tabela1[[#This Row],[Valor Venda]]</f>
        <v>144.76</v>
      </c>
      <c r="L326" s="1">
        <v>44003</v>
      </c>
      <c r="M326" s="1">
        <v>44003</v>
      </c>
      <c r="N326">
        <v>323</v>
      </c>
      <c r="O326">
        <v>7</v>
      </c>
      <c r="P326" t="s">
        <v>69</v>
      </c>
      <c r="Q326">
        <v>0.08</v>
      </c>
      <c r="R326" s="7">
        <v>93.699200000000005</v>
      </c>
      <c r="S326">
        <v>1</v>
      </c>
      <c r="T326" t="s">
        <v>113</v>
      </c>
    </row>
    <row r="327" spans="1:20">
      <c r="A327">
        <v>324</v>
      </c>
      <c r="B327" s="1">
        <v>44003</v>
      </c>
      <c r="C327">
        <v>98</v>
      </c>
      <c r="D327" t="s">
        <v>26</v>
      </c>
      <c r="E327" t="s">
        <v>50</v>
      </c>
      <c r="F327" s="8">
        <v>34</v>
      </c>
      <c r="G327" s="7">
        <v>108</v>
      </c>
      <c r="H327" s="7">
        <v>3672</v>
      </c>
      <c r="I327" s="4">
        <v>0.12</v>
      </c>
      <c r="J327" s="7">
        <v>3231.36</v>
      </c>
      <c r="K327" s="7">
        <f>Tabela1[[#This Row],[Valor Bruto]]-Tabela1[[#This Row],[Valor Venda]]</f>
        <v>440.63999999999987</v>
      </c>
      <c r="L327" s="1">
        <v>44008</v>
      </c>
      <c r="M327" s="1">
        <v>44008</v>
      </c>
      <c r="N327">
        <v>324</v>
      </c>
      <c r="O327">
        <v>6</v>
      </c>
      <c r="P327" t="s">
        <v>32</v>
      </c>
      <c r="Q327">
        <v>0.1</v>
      </c>
      <c r="R327" s="7">
        <v>323.13600000000002</v>
      </c>
      <c r="S327">
        <v>2</v>
      </c>
      <c r="T327" t="s">
        <v>113</v>
      </c>
    </row>
    <row r="328" spans="1:20">
      <c r="A328">
        <v>325</v>
      </c>
      <c r="B328" s="1">
        <v>44004</v>
      </c>
      <c r="C328">
        <v>60</v>
      </c>
      <c r="D328" t="s">
        <v>82</v>
      </c>
      <c r="E328" t="s">
        <v>41</v>
      </c>
      <c r="F328" s="8">
        <v>21</v>
      </c>
      <c r="G328" s="7">
        <v>110</v>
      </c>
      <c r="H328" s="7">
        <v>2310</v>
      </c>
      <c r="I328" s="4">
        <v>0.02</v>
      </c>
      <c r="J328" s="7">
        <v>2263.8000000000002</v>
      </c>
      <c r="K328" s="7">
        <f>Tabela1[[#This Row],[Valor Bruto]]-Tabela1[[#This Row],[Valor Venda]]</f>
        <v>46.199999999999818</v>
      </c>
      <c r="L328" s="1">
        <v>44008</v>
      </c>
      <c r="M328" s="1">
        <v>44008</v>
      </c>
      <c r="N328">
        <v>325</v>
      </c>
      <c r="O328">
        <v>5</v>
      </c>
      <c r="P328" t="s">
        <v>47</v>
      </c>
      <c r="Q328">
        <v>0.1</v>
      </c>
      <c r="R328" s="7">
        <v>226.38000000000002</v>
      </c>
      <c r="S328">
        <v>3</v>
      </c>
      <c r="T328" t="s">
        <v>113</v>
      </c>
    </row>
    <row r="329" spans="1:20">
      <c r="A329">
        <v>326</v>
      </c>
      <c r="B329" s="1">
        <v>44004</v>
      </c>
      <c r="C329">
        <v>43</v>
      </c>
      <c r="D329" t="s">
        <v>99</v>
      </c>
      <c r="E329" t="s">
        <v>31</v>
      </c>
      <c r="F329" s="8">
        <v>43</v>
      </c>
      <c r="G329" s="7">
        <v>109</v>
      </c>
      <c r="H329" s="7">
        <v>4687</v>
      </c>
      <c r="I329" s="4">
        <v>0.06</v>
      </c>
      <c r="J329" s="7">
        <v>4405.78</v>
      </c>
      <c r="K329" s="7">
        <f>Tabela1[[#This Row],[Valor Bruto]]-Tabela1[[#This Row],[Valor Venda]]</f>
        <v>281.22000000000025</v>
      </c>
      <c r="L329" s="1">
        <v>44008</v>
      </c>
      <c r="M329" s="1">
        <v>44008</v>
      </c>
      <c r="N329">
        <v>326</v>
      </c>
      <c r="O329">
        <v>6</v>
      </c>
      <c r="P329" t="s">
        <v>34</v>
      </c>
      <c r="Q329">
        <v>0.08</v>
      </c>
      <c r="R329" s="7">
        <v>352.4624</v>
      </c>
      <c r="S329">
        <v>4</v>
      </c>
      <c r="T329" t="s">
        <v>113</v>
      </c>
    </row>
    <row r="330" spans="1:20">
      <c r="A330">
        <v>327</v>
      </c>
      <c r="B330" s="1">
        <v>44004</v>
      </c>
      <c r="C330">
        <v>3</v>
      </c>
      <c r="D330" t="s">
        <v>91</v>
      </c>
      <c r="E330" t="s">
        <v>28</v>
      </c>
      <c r="F330" s="8">
        <v>47</v>
      </c>
      <c r="G330" s="7">
        <v>92</v>
      </c>
      <c r="H330" s="7">
        <v>4324</v>
      </c>
      <c r="I330" s="4">
        <v>0.09</v>
      </c>
      <c r="J330" s="7">
        <v>3934.84</v>
      </c>
      <c r="K330" s="7">
        <f>Tabela1[[#This Row],[Valor Bruto]]-Tabela1[[#This Row],[Valor Venda]]</f>
        <v>389.15999999999985</v>
      </c>
      <c r="L330" s="1">
        <v>44018</v>
      </c>
      <c r="M330" s="1">
        <v>44018</v>
      </c>
      <c r="N330">
        <v>327</v>
      </c>
      <c r="O330">
        <v>6</v>
      </c>
      <c r="P330" t="s">
        <v>22</v>
      </c>
      <c r="Q330">
        <v>0.06</v>
      </c>
      <c r="R330" s="7">
        <v>236.09039999999999</v>
      </c>
      <c r="S330">
        <v>5</v>
      </c>
      <c r="T330" t="s">
        <v>113</v>
      </c>
    </row>
    <row r="331" spans="1:20">
      <c r="A331">
        <v>328</v>
      </c>
      <c r="B331" s="1">
        <v>44005</v>
      </c>
      <c r="C331">
        <v>77</v>
      </c>
      <c r="D331" t="s">
        <v>65</v>
      </c>
      <c r="E331" t="s">
        <v>50</v>
      </c>
      <c r="F331" s="8">
        <v>48</v>
      </c>
      <c r="G331" s="7">
        <v>99</v>
      </c>
      <c r="H331" s="7">
        <v>4752</v>
      </c>
      <c r="I331" s="4">
        <v>0.12</v>
      </c>
      <c r="J331" s="7">
        <v>4181.76</v>
      </c>
      <c r="K331" s="7">
        <f>Tabela1[[#This Row],[Valor Bruto]]-Tabela1[[#This Row],[Valor Venda]]</f>
        <v>570.23999999999978</v>
      </c>
      <c r="L331" s="1">
        <v>44032</v>
      </c>
      <c r="M331" s="1">
        <v>44032</v>
      </c>
      <c r="N331">
        <v>328</v>
      </c>
      <c r="O331">
        <v>6</v>
      </c>
      <c r="P331" t="s">
        <v>37</v>
      </c>
      <c r="Q331">
        <v>0.09</v>
      </c>
      <c r="R331" s="7">
        <v>376.35840000000002</v>
      </c>
      <c r="S331">
        <v>6</v>
      </c>
      <c r="T331" t="s">
        <v>113</v>
      </c>
    </row>
    <row r="332" spans="1:20">
      <c r="A332">
        <v>329</v>
      </c>
      <c r="B332" s="1">
        <v>44005</v>
      </c>
      <c r="C332">
        <v>30</v>
      </c>
      <c r="D332" t="s">
        <v>96</v>
      </c>
      <c r="E332" t="s">
        <v>50</v>
      </c>
      <c r="F332" s="8">
        <v>42</v>
      </c>
      <c r="G332" s="7">
        <v>116</v>
      </c>
      <c r="H332" s="7">
        <v>4872</v>
      </c>
      <c r="I332" s="4">
        <v>0.15</v>
      </c>
      <c r="J332" s="7">
        <v>4141.2</v>
      </c>
      <c r="K332" s="7">
        <f>Tabela1[[#This Row],[Valor Bruto]]-Tabela1[[#This Row],[Valor Venda]]</f>
        <v>730.80000000000018</v>
      </c>
      <c r="L332" s="1">
        <v>44023</v>
      </c>
      <c r="M332" s="1">
        <v>44023</v>
      </c>
      <c r="N332">
        <v>329</v>
      </c>
      <c r="O332">
        <v>5</v>
      </c>
      <c r="P332" t="s">
        <v>34</v>
      </c>
      <c r="Q332">
        <v>0.1</v>
      </c>
      <c r="R332" s="7">
        <v>414.12</v>
      </c>
      <c r="S332">
        <v>7</v>
      </c>
      <c r="T332" t="s">
        <v>113</v>
      </c>
    </row>
    <row r="333" spans="1:20">
      <c r="A333">
        <v>330</v>
      </c>
      <c r="B333" s="1">
        <v>44006</v>
      </c>
      <c r="C333">
        <v>2</v>
      </c>
      <c r="D333" t="s">
        <v>35</v>
      </c>
      <c r="E333" t="s">
        <v>24</v>
      </c>
      <c r="F333" s="8">
        <v>20</v>
      </c>
      <c r="G333" s="7">
        <v>91</v>
      </c>
      <c r="H333" s="7">
        <v>1820</v>
      </c>
      <c r="I333" s="4">
        <v>0.14000000000000001</v>
      </c>
      <c r="J333" s="7">
        <v>1565.2</v>
      </c>
      <c r="K333" s="7">
        <f>Tabela1[[#This Row],[Valor Bruto]]-Tabela1[[#This Row],[Valor Venda]]</f>
        <v>254.79999999999995</v>
      </c>
      <c r="L333" s="1">
        <v>44008</v>
      </c>
      <c r="M333" s="1">
        <v>44008</v>
      </c>
      <c r="N333">
        <v>330</v>
      </c>
      <c r="O333">
        <v>3</v>
      </c>
      <c r="P333" t="s">
        <v>29</v>
      </c>
      <c r="Q333">
        <v>0.08</v>
      </c>
      <c r="R333" s="7">
        <v>125.21600000000001</v>
      </c>
      <c r="S333">
        <v>1</v>
      </c>
      <c r="T333" t="s">
        <v>113</v>
      </c>
    </row>
    <row r="334" spans="1:20">
      <c r="A334">
        <v>331</v>
      </c>
      <c r="B334" s="1">
        <v>44006</v>
      </c>
      <c r="C334">
        <v>28</v>
      </c>
      <c r="D334" t="s">
        <v>86</v>
      </c>
      <c r="E334" t="s">
        <v>28</v>
      </c>
      <c r="F334" s="8">
        <v>10</v>
      </c>
      <c r="G334" s="7">
        <v>91</v>
      </c>
      <c r="H334" s="7">
        <v>910</v>
      </c>
      <c r="I334" s="4">
        <v>7.0000000000000007E-2</v>
      </c>
      <c r="J334" s="7">
        <v>846.3</v>
      </c>
      <c r="K334" s="7">
        <f>Tabela1[[#This Row],[Valor Bruto]]-Tabela1[[#This Row],[Valor Venda]]</f>
        <v>63.700000000000045</v>
      </c>
      <c r="L334" s="1">
        <v>44024</v>
      </c>
      <c r="M334" s="1">
        <v>44024</v>
      </c>
      <c r="N334">
        <v>331</v>
      </c>
      <c r="O334">
        <v>1</v>
      </c>
      <c r="P334" t="s">
        <v>37</v>
      </c>
      <c r="Q334">
        <v>7.0000000000000007E-2</v>
      </c>
      <c r="R334" s="7">
        <v>59.241</v>
      </c>
      <c r="S334">
        <v>2</v>
      </c>
      <c r="T334" t="s">
        <v>113</v>
      </c>
    </row>
    <row r="335" spans="1:20">
      <c r="A335">
        <v>332</v>
      </c>
      <c r="B335" s="1">
        <v>44006</v>
      </c>
      <c r="C335">
        <v>69</v>
      </c>
      <c r="D335" t="s">
        <v>67</v>
      </c>
      <c r="E335" t="s">
        <v>41</v>
      </c>
      <c r="F335" s="8">
        <v>13</v>
      </c>
      <c r="G335" s="7">
        <v>107</v>
      </c>
      <c r="H335" s="7">
        <v>1391</v>
      </c>
      <c r="I335" s="4">
        <v>0.04</v>
      </c>
      <c r="J335" s="7">
        <v>1335.36</v>
      </c>
      <c r="K335" s="7">
        <f>Tabela1[[#This Row],[Valor Bruto]]-Tabela1[[#This Row],[Valor Venda]]</f>
        <v>55.6400000000001</v>
      </c>
      <c r="L335" s="1">
        <v>44027</v>
      </c>
      <c r="M335" s="1">
        <v>44027</v>
      </c>
      <c r="N335">
        <v>332</v>
      </c>
      <c r="O335">
        <v>1</v>
      </c>
      <c r="P335" t="s">
        <v>52</v>
      </c>
      <c r="Q335">
        <v>0.05</v>
      </c>
      <c r="R335" s="7">
        <v>66.768000000000001</v>
      </c>
      <c r="S335">
        <v>3</v>
      </c>
      <c r="T335" t="s">
        <v>113</v>
      </c>
    </row>
    <row r="336" spans="1:20">
      <c r="A336">
        <v>333</v>
      </c>
      <c r="B336" s="1">
        <v>44006</v>
      </c>
      <c r="C336">
        <v>20</v>
      </c>
      <c r="D336" t="s">
        <v>39</v>
      </c>
      <c r="E336" t="s">
        <v>59</v>
      </c>
      <c r="F336" s="8">
        <v>32</v>
      </c>
      <c r="G336" s="7">
        <v>98</v>
      </c>
      <c r="H336" s="7">
        <v>3136</v>
      </c>
      <c r="I336" s="4">
        <v>0</v>
      </c>
      <c r="J336" s="7">
        <v>3136</v>
      </c>
      <c r="K336" s="7">
        <f>Tabela1[[#This Row],[Valor Bruto]]-Tabela1[[#This Row],[Valor Venda]]</f>
        <v>0</v>
      </c>
      <c r="L336" s="1">
        <v>44011</v>
      </c>
      <c r="M336" s="1">
        <v>44011</v>
      </c>
      <c r="N336">
        <v>333</v>
      </c>
      <c r="O336">
        <v>6</v>
      </c>
      <c r="P336" t="s">
        <v>52</v>
      </c>
      <c r="Q336">
        <v>0.08</v>
      </c>
      <c r="R336" s="7">
        <v>250.88</v>
      </c>
      <c r="S336">
        <v>4</v>
      </c>
      <c r="T336" t="s">
        <v>113</v>
      </c>
    </row>
    <row r="337" spans="1:20">
      <c r="A337">
        <v>334</v>
      </c>
      <c r="B337" s="1">
        <v>44006</v>
      </c>
      <c r="C337">
        <v>13</v>
      </c>
      <c r="D337" t="s">
        <v>75</v>
      </c>
      <c r="E337" t="s">
        <v>55</v>
      </c>
      <c r="F337" s="8">
        <v>16</v>
      </c>
      <c r="G337" s="7">
        <v>98</v>
      </c>
      <c r="H337" s="7">
        <v>1568</v>
      </c>
      <c r="I337" s="4">
        <v>0.02</v>
      </c>
      <c r="J337" s="7">
        <v>1536.64</v>
      </c>
      <c r="K337" s="7">
        <f>Tabela1[[#This Row],[Valor Bruto]]-Tabela1[[#This Row],[Valor Venda]]</f>
        <v>31.3599999999999</v>
      </c>
      <c r="L337" s="1">
        <v>44030</v>
      </c>
      <c r="M337" s="1">
        <v>44030</v>
      </c>
      <c r="N337">
        <v>334</v>
      </c>
      <c r="O337">
        <v>6</v>
      </c>
      <c r="P337" t="s">
        <v>22</v>
      </c>
      <c r="Q337">
        <v>7.0000000000000007E-2</v>
      </c>
      <c r="R337" s="7">
        <v>107.56480000000002</v>
      </c>
      <c r="S337">
        <v>5</v>
      </c>
      <c r="T337" t="s">
        <v>113</v>
      </c>
    </row>
    <row r="338" spans="1:20">
      <c r="A338">
        <v>335</v>
      </c>
      <c r="B338" s="1">
        <v>44008</v>
      </c>
      <c r="C338">
        <v>22</v>
      </c>
      <c r="D338" t="s">
        <v>51</v>
      </c>
      <c r="E338" t="s">
        <v>50</v>
      </c>
      <c r="F338" s="8">
        <v>45</v>
      </c>
      <c r="G338" s="7">
        <v>94</v>
      </c>
      <c r="H338" s="7">
        <v>4230</v>
      </c>
      <c r="I338" s="4">
        <v>0.15</v>
      </c>
      <c r="J338" s="7">
        <v>3595.5</v>
      </c>
      <c r="K338" s="7">
        <f>Tabela1[[#This Row],[Valor Bruto]]-Tabela1[[#This Row],[Valor Venda]]</f>
        <v>634.5</v>
      </c>
      <c r="L338" s="1">
        <v>44034</v>
      </c>
      <c r="M338" s="1">
        <v>44034</v>
      </c>
      <c r="N338">
        <v>335</v>
      </c>
      <c r="O338">
        <v>3</v>
      </c>
      <c r="P338" t="s">
        <v>32</v>
      </c>
      <c r="Q338">
        <v>7.0000000000000007E-2</v>
      </c>
      <c r="R338" s="7">
        <v>251.68500000000003</v>
      </c>
      <c r="S338">
        <v>6</v>
      </c>
      <c r="T338" t="s">
        <v>113</v>
      </c>
    </row>
    <row r="339" spans="1:20">
      <c r="A339">
        <v>336</v>
      </c>
      <c r="B339" s="1">
        <v>44008</v>
      </c>
      <c r="C339">
        <v>53</v>
      </c>
      <c r="D339" t="s">
        <v>88</v>
      </c>
      <c r="E339" t="s">
        <v>28</v>
      </c>
      <c r="F339" s="8">
        <v>42</v>
      </c>
      <c r="G339" s="7">
        <v>98</v>
      </c>
      <c r="H339" s="7">
        <v>4116</v>
      </c>
      <c r="I339" s="4">
        <v>0.14000000000000001</v>
      </c>
      <c r="J339" s="7">
        <v>3539.76</v>
      </c>
      <c r="K339" s="7">
        <f>Tabela1[[#This Row],[Valor Bruto]]-Tabela1[[#This Row],[Valor Venda]]</f>
        <v>576.23999999999978</v>
      </c>
      <c r="L339" s="1">
        <v>44036</v>
      </c>
      <c r="M339" s="1">
        <v>44036</v>
      </c>
      <c r="N339">
        <v>336</v>
      </c>
      <c r="O339">
        <v>6</v>
      </c>
      <c r="P339" t="s">
        <v>32</v>
      </c>
      <c r="Q339">
        <v>0.09</v>
      </c>
      <c r="R339" s="7">
        <v>318.57839999999999</v>
      </c>
      <c r="S339">
        <v>7</v>
      </c>
      <c r="T339" t="s">
        <v>113</v>
      </c>
    </row>
    <row r="340" spans="1:20">
      <c r="A340">
        <v>337</v>
      </c>
      <c r="B340" s="1">
        <v>44009</v>
      </c>
      <c r="C340">
        <v>47</v>
      </c>
      <c r="D340" t="s">
        <v>40</v>
      </c>
      <c r="E340" t="s">
        <v>59</v>
      </c>
      <c r="F340" s="8">
        <v>26</v>
      </c>
      <c r="G340" s="7">
        <v>117</v>
      </c>
      <c r="H340" s="7">
        <v>3042</v>
      </c>
      <c r="I340" s="4">
        <v>0.1</v>
      </c>
      <c r="J340" s="7">
        <v>2737.8</v>
      </c>
      <c r="K340" s="7">
        <f>Tabela1[[#This Row],[Valor Bruto]]-Tabela1[[#This Row],[Valor Venda]]</f>
        <v>304.19999999999982</v>
      </c>
      <c r="L340" s="1">
        <v>44032</v>
      </c>
      <c r="M340" s="1">
        <v>44032</v>
      </c>
      <c r="N340">
        <v>337</v>
      </c>
      <c r="O340">
        <v>5</v>
      </c>
      <c r="P340" t="s">
        <v>47</v>
      </c>
      <c r="Q340">
        <v>7.0000000000000007E-2</v>
      </c>
      <c r="R340" s="7">
        <v>191.64600000000004</v>
      </c>
      <c r="S340">
        <v>1</v>
      </c>
      <c r="T340" t="s">
        <v>113</v>
      </c>
    </row>
    <row r="341" spans="1:20">
      <c r="A341">
        <v>338</v>
      </c>
      <c r="B341" s="1">
        <v>44009</v>
      </c>
      <c r="C341">
        <v>2</v>
      </c>
      <c r="D341" t="s">
        <v>35</v>
      </c>
      <c r="E341" t="s">
        <v>31</v>
      </c>
      <c r="F341" s="8">
        <v>43</v>
      </c>
      <c r="G341" s="7">
        <v>101</v>
      </c>
      <c r="H341" s="7">
        <v>4343</v>
      </c>
      <c r="I341" s="4">
        <v>0.12</v>
      </c>
      <c r="J341" s="7">
        <v>3821.84</v>
      </c>
      <c r="K341" s="7">
        <f>Tabela1[[#This Row],[Valor Bruto]]-Tabela1[[#This Row],[Valor Venda]]</f>
        <v>521.15999999999985</v>
      </c>
      <c r="L341" s="1">
        <v>44027</v>
      </c>
      <c r="M341" s="1">
        <v>44027</v>
      </c>
      <c r="N341">
        <v>338</v>
      </c>
      <c r="O341">
        <v>2</v>
      </c>
      <c r="P341" t="s">
        <v>43</v>
      </c>
      <c r="Q341">
        <v>0.08</v>
      </c>
      <c r="R341" s="7">
        <v>305.74720000000002</v>
      </c>
      <c r="S341">
        <v>2</v>
      </c>
      <c r="T341" t="s">
        <v>113</v>
      </c>
    </row>
    <row r="342" spans="1:20">
      <c r="A342">
        <v>339</v>
      </c>
      <c r="B342" s="1">
        <v>44009</v>
      </c>
      <c r="C342">
        <v>80</v>
      </c>
      <c r="D342" t="s">
        <v>38</v>
      </c>
      <c r="E342" t="s">
        <v>21</v>
      </c>
      <c r="F342" s="8">
        <v>37</v>
      </c>
      <c r="G342" s="7">
        <v>92</v>
      </c>
      <c r="H342" s="7">
        <v>3404</v>
      </c>
      <c r="I342" s="4">
        <v>0.09</v>
      </c>
      <c r="J342" s="7">
        <v>3097.64</v>
      </c>
      <c r="K342" s="7">
        <f>Tabela1[[#This Row],[Valor Bruto]]-Tabela1[[#This Row],[Valor Venda]]</f>
        <v>306.36000000000013</v>
      </c>
      <c r="L342" s="1">
        <v>44018</v>
      </c>
      <c r="M342" s="1">
        <v>44018</v>
      </c>
      <c r="N342">
        <v>339</v>
      </c>
      <c r="O342">
        <v>2</v>
      </c>
      <c r="P342" t="s">
        <v>37</v>
      </c>
      <c r="Q342">
        <v>0.06</v>
      </c>
      <c r="R342" s="7">
        <v>185.85839999999999</v>
      </c>
      <c r="S342">
        <v>3</v>
      </c>
      <c r="T342" t="s">
        <v>113</v>
      </c>
    </row>
    <row r="343" spans="1:20">
      <c r="A343">
        <v>340</v>
      </c>
      <c r="B343" s="1">
        <v>44010</v>
      </c>
      <c r="C343">
        <v>77</v>
      </c>
      <c r="D343" t="s">
        <v>65</v>
      </c>
      <c r="E343" t="s">
        <v>28</v>
      </c>
      <c r="F343" s="8">
        <v>43</v>
      </c>
      <c r="G343" s="7">
        <v>110</v>
      </c>
      <c r="H343" s="7">
        <v>4730</v>
      </c>
      <c r="I343" s="4">
        <v>0.06</v>
      </c>
      <c r="J343" s="7">
        <v>4446.2</v>
      </c>
      <c r="K343" s="7">
        <f>Tabela1[[#This Row],[Valor Bruto]]-Tabela1[[#This Row],[Valor Venda]]</f>
        <v>283.80000000000018</v>
      </c>
      <c r="L343" s="1">
        <v>44037</v>
      </c>
      <c r="M343" s="1">
        <v>44037</v>
      </c>
      <c r="N343">
        <v>340</v>
      </c>
      <c r="O343">
        <v>4</v>
      </c>
      <c r="P343" t="s">
        <v>29</v>
      </c>
      <c r="Q343">
        <v>0.05</v>
      </c>
      <c r="R343" s="7">
        <v>222.31</v>
      </c>
      <c r="S343">
        <v>4</v>
      </c>
      <c r="T343" t="s">
        <v>113</v>
      </c>
    </row>
    <row r="344" spans="1:20">
      <c r="A344">
        <v>341</v>
      </c>
      <c r="B344" s="1">
        <v>44010</v>
      </c>
      <c r="C344">
        <v>13</v>
      </c>
      <c r="D344" t="s">
        <v>75</v>
      </c>
      <c r="E344" t="s">
        <v>31</v>
      </c>
      <c r="F344" s="8">
        <v>37</v>
      </c>
      <c r="G344" s="7">
        <v>92</v>
      </c>
      <c r="H344" s="7">
        <v>3404</v>
      </c>
      <c r="I344" s="4">
        <v>0.12</v>
      </c>
      <c r="J344" s="7">
        <v>2995.52</v>
      </c>
      <c r="K344" s="7">
        <f>Tabela1[[#This Row],[Valor Bruto]]-Tabela1[[#This Row],[Valor Venda]]</f>
        <v>408.48</v>
      </c>
      <c r="L344" s="1">
        <v>44028</v>
      </c>
      <c r="M344" s="1">
        <v>44028</v>
      </c>
      <c r="N344">
        <v>341</v>
      </c>
      <c r="O344">
        <v>1</v>
      </c>
      <c r="P344" t="s">
        <v>43</v>
      </c>
      <c r="Q344">
        <v>0.1</v>
      </c>
      <c r="R344" s="7">
        <v>299.55200000000002</v>
      </c>
      <c r="S344">
        <v>5</v>
      </c>
      <c r="T344" t="s">
        <v>113</v>
      </c>
    </row>
    <row r="345" spans="1:20">
      <c r="A345">
        <v>342</v>
      </c>
      <c r="B345" s="1">
        <v>44011</v>
      </c>
      <c r="C345">
        <v>16</v>
      </c>
      <c r="D345" t="s">
        <v>27</v>
      </c>
      <c r="E345" t="s">
        <v>46</v>
      </c>
      <c r="F345" s="8">
        <v>27</v>
      </c>
      <c r="G345" s="7">
        <v>104</v>
      </c>
      <c r="H345" s="7">
        <v>2808</v>
      </c>
      <c r="I345" s="4">
        <v>7.0000000000000007E-2</v>
      </c>
      <c r="J345" s="7">
        <v>2611.44</v>
      </c>
      <c r="K345" s="7">
        <f>Tabela1[[#This Row],[Valor Bruto]]-Tabela1[[#This Row],[Valor Venda]]</f>
        <v>196.55999999999995</v>
      </c>
      <c r="L345" s="1">
        <v>44016</v>
      </c>
      <c r="M345" s="1">
        <v>44016</v>
      </c>
      <c r="N345">
        <v>342</v>
      </c>
      <c r="O345">
        <v>2</v>
      </c>
      <c r="P345" t="s">
        <v>25</v>
      </c>
      <c r="Q345">
        <v>7.0000000000000007E-2</v>
      </c>
      <c r="R345" s="7">
        <v>182.80080000000001</v>
      </c>
      <c r="S345">
        <v>6</v>
      </c>
      <c r="T345" t="s">
        <v>113</v>
      </c>
    </row>
    <row r="346" spans="1:20">
      <c r="A346">
        <v>343</v>
      </c>
      <c r="B346" s="1">
        <v>44012</v>
      </c>
      <c r="C346">
        <v>68</v>
      </c>
      <c r="D346" t="s">
        <v>49</v>
      </c>
      <c r="E346" t="s">
        <v>31</v>
      </c>
      <c r="F346" s="8">
        <v>18</v>
      </c>
      <c r="G346" s="7">
        <v>90</v>
      </c>
      <c r="H346" s="7">
        <v>1620</v>
      </c>
      <c r="I346" s="4">
        <v>0.06</v>
      </c>
      <c r="J346" s="7">
        <v>1522.8</v>
      </c>
      <c r="K346" s="7">
        <f>Tabela1[[#This Row],[Valor Bruto]]-Tabela1[[#This Row],[Valor Venda]]</f>
        <v>97.200000000000045</v>
      </c>
      <c r="L346" s="1">
        <v>44036</v>
      </c>
      <c r="M346" s="1">
        <v>44036</v>
      </c>
      <c r="N346">
        <v>343</v>
      </c>
      <c r="O346">
        <v>4</v>
      </c>
      <c r="P346" t="s">
        <v>69</v>
      </c>
      <c r="Q346">
        <v>0.09</v>
      </c>
      <c r="R346" s="7">
        <v>137.05199999999999</v>
      </c>
      <c r="S346">
        <v>7</v>
      </c>
      <c r="T346" t="s">
        <v>113</v>
      </c>
    </row>
    <row r="347" spans="1:20">
      <c r="A347">
        <v>344</v>
      </c>
      <c r="B347" s="1">
        <v>44012</v>
      </c>
      <c r="C347">
        <v>16</v>
      </c>
      <c r="D347" t="s">
        <v>27</v>
      </c>
      <c r="E347" t="s">
        <v>59</v>
      </c>
      <c r="F347" s="8">
        <v>38</v>
      </c>
      <c r="G347" s="7">
        <v>107</v>
      </c>
      <c r="H347" s="7">
        <v>4066</v>
      </c>
      <c r="I347" s="4">
        <v>0</v>
      </c>
      <c r="J347" s="7">
        <v>4066</v>
      </c>
      <c r="K347" s="7">
        <f>Tabela1[[#This Row],[Valor Bruto]]-Tabela1[[#This Row],[Valor Venda]]</f>
        <v>0</v>
      </c>
      <c r="L347" s="1">
        <v>44031</v>
      </c>
      <c r="M347" s="1">
        <v>44031</v>
      </c>
      <c r="N347">
        <v>344</v>
      </c>
      <c r="O347">
        <v>5</v>
      </c>
      <c r="P347" t="s">
        <v>69</v>
      </c>
      <c r="Q347">
        <v>7.0000000000000007E-2</v>
      </c>
      <c r="R347" s="7">
        <v>284.62</v>
      </c>
      <c r="S347">
        <v>1</v>
      </c>
      <c r="T347" t="s">
        <v>113</v>
      </c>
    </row>
    <row r="348" spans="1:20">
      <c r="A348">
        <v>345</v>
      </c>
      <c r="B348" s="1">
        <v>44014</v>
      </c>
      <c r="C348">
        <v>30</v>
      </c>
      <c r="D348" t="s">
        <v>96</v>
      </c>
      <c r="E348" t="s">
        <v>28</v>
      </c>
      <c r="F348" s="8">
        <v>48</v>
      </c>
      <c r="G348" s="7">
        <v>98</v>
      </c>
      <c r="H348" s="7">
        <v>4704</v>
      </c>
      <c r="I348" s="4">
        <v>0.04</v>
      </c>
      <c r="J348" s="7">
        <v>4515.84</v>
      </c>
      <c r="K348" s="7">
        <f>Tabela1[[#This Row],[Valor Bruto]]-Tabela1[[#This Row],[Valor Venda]]</f>
        <v>188.15999999999985</v>
      </c>
      <c r="L348" s="1">
        <v>44017</v>
      </c>
      <c r="M348" s="1">
        <v>44017</v>
      </c>
      <c r="N348">
        <v>345</v>
      </c>
      <c r="O348">
        <v>5</v>
      </c>
      <c r="P348" t="s">
        <v>69</v>
      </c>
      <c r="Q348">
        <v>7.0000000000000007E-2</v>
      </c>
      <c r="R348" s="7">
        <v>316.10880000000003</v>
      </c>
      <c r="S348">
        <v>2</v>
      </c>
      <c r="T348" t="s">
        <v>114</v>
      </c>
    </row>
    <row r="349" spans="1:20">
      <c r="A349">
        <v>346</v>
      </c>
      <c r="B349" s="1">
        <v>44014</v>
      </c>
      <c r="C349">
        <v>51</v>
      </c>
      <c r="D349" t="s">
        <v>53</v>
      </c>
      <c r="E349" t="s">
        <v>54</v>
      </c>
      <c r="F349" s="8">
        <v>22</v>
      </c>
      <c r="G349" s="7">
        <v>115</v>
      </c>
      <c r="H349" s="7">
        <v>2530</v>
      </c>
      <c r="I349" s="4">
        <v>7.0000000000000007E-2</v>
      </c>
      <c r="J349" s="7">
        <v>2352.9</v>
      </c>
      <c r="K349" s="7">
        <f>Tabela1[[#This Row],[Valor Bruto]]-Tabela1[[#This Row],[Valor Venda]]</f>
        <v>177.09999999999991</v>
      </c>
      <c r="L349" s="1">
        <v>44019</v>
      </c>
      <c r="M349" s="1">
        <v>44019</v>
      </c>
      <c r="N349">
        <v>346</v>
      </c>
      <c r="O349">
        <v>4</v>
      </c>
      <c r="P349" t="s">
        <v>52</v>
      </c>
      <c r="Q349">
        <v>0.05</v>
      </c>
      <c r="R349" s="7">
        <v>117.64500000000001</v>
      </c>
      <c r="S349">
        <v>3</v>
      </c>
      <c r="T349" t="s">
        <v>114</v>
      </c>
    </row>
    <row r="350" spans="1:20">
      <c r="A350">
        <v>347</v>
      </c>
      <c r="B350" s="1">
        <v>44014</v>
      </c>
      <c r="C350">
        <v>31</v>
      </c>
      <c r="D350" t="s">
        <v>85</v>
      </c>
      <c r="E350" t="s">
        <v>28</v>
      </c>
      <c r="F350" s="8">
        <v>12</v>
      </c>
      <c r="G350" s="7">
        <v>119</v>
      </c>
      <c r="H350" s="7">
        <v>1428</v>
      </c>
      <c r="I350" s="4">
        <v>0.13</v>
      </c>
      <c r="J350" s="7">
        <v>1242.3599999999999</v>
      </c>
      <c r="K350" s="7">
        <f>Tabela1[[#This Row],[Valor Bruto]]-Tabela1[[#This Row],[Valor Venda]]</f>
        <v>185.6400000000001</v>
      </c>
      <c r="L350" s="1">
        <v>44031</v>
      </c>
      <c r="M350" s="1">
        <v>44031</v>
      </c>
      <c r="N350">
        <v>347</v>
      </c>
      <c r="O350">
        <v>5</v>
      </c>
      <c r="P350" t="s">
        <v>25</v>
      </c>
      <c r="Q350">
        <v>7.0000000000000007E-2</v>
      </c>
      <c r="R350" s="7">
        <v>86.965199999999996</v>
      </c>
      <c r="S350">
        <v>4</v>
      </c>
      <c r="T350" t="s">
        <v>114</v>
      </c>
    </row>
    <row r="351" spans="1:20">
      <c r="A351">
        <v>348</v>
      </c>
      <c r="B351" s="1">
        <v>44015</v>
      </c>
      <c r="C351">
        <v>8</v>
      </c>
      <c r="D351" t="s">
        <v>38</v>
      </c>
      <c r="E351" t="s">
        <v>41</v>
      </c>
      <c r="F351" s="8">
        <v>29</v>
      </c>
      <c r="G351" s="7">
        <v>107</v>
      </c>
      <c r="H351" s="7">
        <v>3103</v>
      </c>
      <c r="I351" s="4">
        <v>0.02</v>
      </c>
      <c r="J351" s="7">
        <v>3040.94</v>
      </c>
      <c r="K351" s="7">
        <f>Tabela1[[#This Row],[Valor Bruto]]-Tabela1[[#This Row],[Valor Venda]]</f>
        <v>62.059999999999945</v>
      </c>
      <c r="L351" s="1">
        <v>44033</v>
      </c>
      <c r="N351">
        <v>348</v>
      </c>
      <c r="O351">
        <v>4</v>
      </c>
      <c r="P351" t="s">
        <v>52</v>
      </c>
      <c r="Q351">
        <v>0.08</v>
      </c>
      <c r="R351" s="7">
        <v>243.27520000000001</v>
      </c>
      <c r="S351">
        <v>5</v>
      </c>
      <c r="T351" t="s">
        <v>114</v>
      </c>
    </row>
    <row r="352" spans="1:20">
      <c r="A352">
        <v>349</v>
      </c>
      <c r="B352" s="1">
        <v>44016</v>
      </c>
      <c r="C352">
        <v>20</v>
      </c>
      <c r="D352" t="s">
        <v>39</v>
      </c>
      <c r="E352" t="s">
        <v>24</v>
      </c>
      <c r="F352" s="8">
        <v>48</v>
      </c>
      <c r="G352" s="7">
        <v>109</v>
      </c>
      <c r="H352" s="7">
        <v>5232</v>
      </c>
      <c r="I352" s="4">
        <v>7.0000000000000007E-2</v>
      </c>
      <c r="J352" s="7">
        <v>4865.76</v>
      </c>
      <c r="K352" s="7">
        <f>Tabela1[[#This Row],[Valor Bruto]]-Tabela1[[#This Row],[Valor Venda]]</f>
        <v>366.23999999999978</v>
      </c>
      <c r="L352" s="1">
        <v>44036</v>
      </c>
      <c r="M352" s="1">
        <v>44036</v>
      </c>
      <c r="N352">
        <v>349</v>
      </c>
      <c r="O352">
        <v>4</v>
      </c>
      <c r="P352" t="s">
        <v>29</v>
      </c>
      <c r="Q352">
        <v>0.09</v>
      </c>
      <c r="R352" s="7">
        <v>437.91840000000002</v>
      </c>
      <c r="S352">
        <v>6</v>
      </c>
      <c r="T352" t="s">
        <v>114</v>
      </c>
    </row>
    <row r="353" spans="1:20">
      <c r="A353">
        <v>350</v>
      </c>
      <c r="B353" s="1">
        <v>44017</v>
      </c>
      <c r="C353">
        <v>37</v>
      </c>
      <c r="D353" t="s">
        <v>48</v>
      </c>
      <c r="E353" t="s">
        <v>59</v>
      </c>
      <c r="F353" s="8">
        <v>23</v>
      </c>
      <c r="G353" s="7">
        <v>97</v>
      </c>
      <c r="H353" s="7">
        <v>2231</v>
      </c>
      <c r="I353" s="4">
        <v>0.15</v>
      </c>
      <c r="J353" s="7">
        <v>1896.35</v>
      </c>
      <c r="K353" s="7">
        <f>Tabela1[[#This Row],[Valor Bruto]]-Tabela1[[#This Row],[Valor Venda]]</f>
        <v>334.65000000000009</v>
      </c>
      <c r="L353" s="1">
        <v>44036</v>
      </c>
      <c r="M353" s="1">
        <v>44036</v>
      </c>
      <c r="N353">
        <v>350</v>
      </c>
      <c r="O353">
        <v>3</v>
      </c>
      <c r="P353" t="s">
        <v>52</v>
      </c>
      <c r="Q353">
        <v>0.1</v>
      </c>
      <c r="R353" s="7">
        <v>189.63499999999999</v>
      </c>
      <c r="S353">
        <v>7</v>
      </c>
      <c r="T353" t="s">
        <v>114</v>
      </c>
    </row>
    <row r="354" spans="1:20">
      <c r="A354">
        <v>351</v>
      </c>
      <c r="B354" s="1">
        <v>44017</v>
      </c>
      <c r="C354">
        <v>20</v>
      </c>
      <c r="D354" t="s">
        <v>39</v>
      </c>
      <c r="E354" t="s">
        <v>46</v>
      </c>
      <c r="F354" s="8">
        <v>42</v>
      </c>
      <c r="G354" s="7">
        <v>94</v>
      </c>
      <c r="H354" s="7">
        <v>3948</v>
      </c>
      <c r="I354" s="4">
        <v>0.06</v>
      </c>
      <c r="J354" s="7">
        <v>3711.12</v>
      </c>
      <c r="K354" s="7">
        <f>Tabela1[[#This Row],[Valor Bruto]]-Tabela1[[#This Row],[Valor Venda]]</f>
        <v>236.88000000000011</v>
      </c>
      <c r="L354" s="1">
        <v>44047</v>
      </c>
      <c r="M354" s="1">
        <v>44047</v>
      </c>
      <c r="N354">
        <v>351</v>
      </c>
      <c r="O354">
        <v>1</v>
      </c>
      <c r="P354" t="s">
        <v>22</v>
      </c>
      <c r="Q354">
        <v>0.1</v>
      </c>
      <c r="R354" s="7">
        <v>371.11200000000002</v>
      </c>
      <c r="S354">
        <v>1</v>
      </c>
      <c r="T354" t="s">
        <v>114</v>
      </c>
    </row>
    <row r="355" spans="1:20">
      <c r="A355">
        <v>352</v>
      </c>
      <c r="B355" s="1">
        <v>44018</v>
      </c>
      <c r="C355">
        <v>6</v>
      </c>
      <c r="D355" t="s">
        <v>88</v>
      </c>
      <c r="E355" t="s">
        <v>21</v>
      </c>
      <c r="F355" s="8">
        <v>40</v>
      </c>
      <c r="G355" s="7">
        <v>103</v>
      </c>
      <c r="H355" s="7">
        <v>4120</v>
      </c>
      <c r="I355" s="4">
        <v>7.0000000000000007E-2</v>
      </c>
      <c r="J355" s="7">
        <v>3831.6</v>
      </c>
      <c r="K355" s="7">
        <f>Tabela1[[#This Row],[Valor Bruto]]-Tabela1[[#This Row],[Valor Venda]]</f>
        <v>288.40000000000009</v>
      </c>
      <c r="L355" s="1">
        <v>44019</v>
      </c>
      <c r="M355" s="1">
        <v>44019</v>
      </c>
      <c r="N355">
        <v>352</v>
      </c>
      <c r="O355">
        <v>5</v>
      </c>
      <c r="P355" t="s">
        <v>69</v>
      </c>
      <c r="Q355">
        <v>0.09</v>
      </c>
      <c r="R355" s="7">
        <v>344.84399999999999</v>
      </c>
      <c r="S355">
        <v>2</v>
      </c>
      <c r="T355" t="s">
        <v>114</v>
      </c>
    </row>
    <row r="356" spans="1:20">
      <c r="A356">
        <v>353</v>
      </c>
      <c r="B356" s="1">
        <v>44018</v>
      </c>
      <c r="C356">
        <v>44</v>
      </c>
      <c r="D356" t="s">
        <v>71</v>
      </c>
      <c r="E356" t="s">
        <v>41</v>
      </c>
      <c r="F356" s="8">
        <v>48</v>
      </c>
      <c r="G356" s="7">
        <v>115</v>
      </c>
      <c r="H356" s="7">
        <v>5520</v>
      </c>
      <c r="I356" s="4">
        <v>0.09</v>
      </c>
      <c r="J356" s="7">
        <v>5023.2</v>
      </c>
      <c r="K356" s="7">
        <f>Tabela1[[#This Row],[Valor Bruto]]-Tabela1[[#This Row],[Valor Venda]]</f>
        <v>496.80000000000018</v>
      </c>
      <c r="L356" s="1">
        <v>44038</v>
      </c>
      <c r="M356" s="1">
        <v>44038</v>
      </c>
      <c r="N356">
        <v>353</v>
      </c>
      <c r="O356">
        <v>1</v>
      </c>
      <c r="P356" t="s">
        <v>34</v>
      </c>
      <c r="Q356">
        <v>0.1</v>
      </c>
      <c r="R356" s="7">
        <v>502.32</v>
      </c>
      <c r="S356">
        <v>3</v>
      </c>
      <c r="T356" t="s">
        <v>114</v>
      </c>
    </row>
    <row r="357" spans="1:20">
      <c r="A357">
        <v>354</v>
      </c>
      <c r="B357" s="1">
        <v>44019</v>
      </c>
      <c r="C357">
        <v>32</v>
      </c>
      <c r="D357" t="s">
        <v>77</v>
      </c>
      <c r="E357" t="s">
        <v>31</v>
      </c>
      <c r="F357" s="8">
        <v>48</v>
      </c>
      <c r="G357" s="7">
        <v>112</v>
      </c>
      <c r="H357" s="7">
        <v>5376</v>
      </c>
      <c r="I357" s="4">
        <v>0.1</v>
      </c>
      <c r="J357" s="7">
        <v>4838.3999999999996</v>
      </c>
      <c r="K357" s="7">
        <f>Tabela1[[#This Row],[Valor Bruto]]-Tabela1[[#This Row],[Valor Venda]]</f>
        <v>537.60000000000036</v>
      </c>
      <c r="L357" s="1">
        <v>44021</v>
      </c>
      <c r="M357" s="1">
        <v>44021</v>
      </c>
      <c r="N357">
        <v>354</v>
      </c>
      <c r="O357">
        <v>3</v>
      </c>
      <c r="P357" t="s">
        <v>43</v>
      </c>
      <c r="Q357">
        <v>0.08</v>
      </c>
      <c r="R357" s="7">
        <v>387.072</v>
      </c>
      <c r="S357">
        <v>4</v>
      </c>
      <c r="T357" t="s">
        <v>114</v>
      </c>
    </row>
    <row r="358" spans="1:20">
      <c r="A358">
        <v>355</v>
      </c>
      <c r="B358" s="1">
        <v>44020</v>
      </c>
      <c r="C358">
        <v>73</v>
      </c>
      <c r="D358" t="s">
        <v>38</v>
      </c>
      <c r="E358" t="s">
        <v>24</v>
      </c>
      <c r="F358" s="8">
        <v>17</v>
      </c>
      <c r="G358" s="7">
        <v>93</v>
      </c>
      <c r="H358" s="7">
        <v>1581</v>
      </c>
      <c r="I358" s="4">
        <v>0.12</v>
      </c>
      <c r="J358" s="7">
        <v>1391.28</v>
      </c>
      <c r="K358" s="7">
        <f>Tabela1[[#This Row],[Valor Bruto]]-Tabela1[[#This Row],[Valor Venda]]</f>
        <v>189.72000000000003</v>
      </c>
      <c r="L358" s="1">
        <v>44038</v>
      </c>
      <c r="M358" s="1">
        <v>44038</v>
      </c>
      <c r="N358">
        <v>355</v>
      </c>
      <c r="O358">
        <v>4</v>
      </c>
      <c r="P358" t="s">
        <v>52</v>
      </c>
      <c r="Q358">
        <v>0.08</v>
      </c>
      <c r="R358" s="7">
        <v>111.30240000000001</v>
      </c>
      <c r="S358">
        <v>5</v>
      </c>
      <c r="T358" t="s">
        <v>114</v>
      </c>
    </row>
    <row r="359" spans="1:20">
      <c r="A359">
        <v>356</v>
      </c>
      <c r="B359" s="1">
        <v>44021</v>
      </c>
      <c r="C359">
        <v>14</v>
      </c>
      <c r="D359" t="s">
        <v>27</v>
      </c>
      <c r="E359" t="s">
        <v>55</v>
      </c>
      <c r="F359" s="8">
        <v>11</v>
      </c>
      <c r="G359" s="7">
        <v>114</v>
      </c>
      <c r="H359" s="7">
        <v>1254</v>
      </c>
      <c r="I359" s="4">
        <v>0.09</v>
      </c>
      <c r="J359" s="7">
        <v>1141.1400000000001</v>
      </c>
      <c r="K359" s="7">
        <f>Tabela1[[#This Row],[Valor Bruto]]-Tabela1[[#This Row],[Valor Venda]]</f>
        <v>112.8599999999999</v>
      </c>
      <c r="L359" s="1">
        <v>44039</v>
      </c>
      <c r="M359" s="1">
        <v>44039</v>
      </c>
      <c r="N359">
        <v>356</v>
      </c>
      <c r="O359">
        <v>5</v>
      </c>
      <c r="P359" t="s">
        <v>69</v>
      </c>
      <c r="Q359">
        <v>0.08</v>
      </c>
      <c r="R359" s="7">
        <v>91.291200000000003</v>
      </c>
      <c r="S359">
        <v>6</v>
      </c>
      <c r="T359" t="s">
        <v>114</v>
      </c>
    </row>
    <row r="360" spans="1:20">
      <c r="A360">
        <v>357</v>
      </c>
      <c r="B360" s="1">
        <v>44022</v>
      </c>
      <c r="C360">
        <v>30</v>
      </c>
      <c r="D360" t="s">
        <v>96</v>
      </c>
      <c r="E360" t="s">
        <v>24</v>
      </c>
      <c r="F360" s="8">
        <v>43</v>
      </c>
      <c r="G360" s="7">
        <v>120</v>
      </c>
      <c r="H360" s="7">
        <v>5160</v>
      </c>
      <c r="I360" s="4">
        <v>0.1</v>
      </c>
      <c r="J360" s="7">
        <v>4644</v>
      </c>
      <c r="K360" s="7">
        <f>Tabela1[[#This Row],[Valor Bruto]]-Tabela1[[#This Row],[Valor Venda]]</f>
        <v>516</v>
      </c>
      <c r="L360" s="1">
        <v>44034</v>
      </c>
      <c r="M360" s="1">
        <v>44034</v>
      </c>
      <c r="N360">
        <v>357</v>
      </c>
      <c r="O360">
        <v>4</v>
      </c>
      <c r="P360" t="s">
        <v>43</v>
      </c>
      <c r="Q360">
        <v>0.09</v>
      </c>
      <c r="R360" s="7">
        <v>417.96</v>
      </c>
      <c r="S360">
        <v>7</v>
      </c>
      <c r="T360" t="s">
        <v>114</v>
      </c>
    </row>
    <row r="361" spans="1:20">
      <c r="A361">
        <v>358</v>
      </c>
      <c r="B361" s="1">
        <v>44023</v>
      </c>
      <c r="C361">
        <v>42</v>
      </c>
      <c r="D361" t="s">
        <v>92</v>
      </c>
      <c r="E361" t="s">
        <v>55</v>
      </c>
      <c r="F361" s="8">
        <v>36</v>
      </c>
      <c r="G361" s="7">
        <v>94</v>
      </c>
      <c r="H361" s="7">
        <v>3384</v>
      </c>
      <c r="I361" s="4">
        <v>0.04</v>
      </c>
      <c r="J361" s="7">
        <v>3248.64</v>
      </c>
      <c r="K361" s="7">
        <f>Tabela1[[#This Row],[Valor Bruto]]-Tabela1[[#This Row],[Valor Venda]]</f>
        <v>135.36000000000013</v>
      </c>
      <c r="L361" s="1">
        <v>44042</v>
      </c>
      <c r="M361" s="1">
        <v>44042</v>
      </c>
      <c r="N361">
        <v>358</v>
      </c>
      <c r="O361">
        <v>1</v>
      </c>
      <c r="P361" t="s">
        <v>25</v>
      </c>
      <c r="Q361">
        <v>0.05</v>
      </c>
      <c r="R361" s="7">
        <v>162.43200000000002</v>
      </c>
      <c r="S361">
        <v>1</v>
      </c>
      <c r="T361" t="s">
        <v>114</v>
      </c>
    </row>
    <row r="362" spans="1:20">
      <c r="A362">
        <v>359</v>
      </c>
      <c r="B362" s="1">
        <v>44023</v>
      </c>
      <c r="C362">
        <v>4</v>
      </c>
      <c r="D362" t="s">
        <v>86</v>
      </c>
      <c r="E362" t="s">
        <v>31</v>
      </c>
      <c r="F362" s="8">
        <v>11</v>
      </c>
      <c r="G362" s="7">
        <v>103</v>
      </c>
      <c r="H362" s="7">
        <v>1133</v>
      </c>
      <c r="I362" s="4">
        <v>0.09</v>
      </c>
      <c r="J362" s="7">
        <v>1031.03</v>
      </c>
      <c r="K362" s="7">
        <f>Tabela1[[#This Row],[Valor Bruto]]-Tabela1[[#This Row],[Valor Venda]]</f>
        <v>101.97000000000003</v>
      </c>
      <c r="L362" s="1">
        <v>44053</v>
      </c>
      <c r="M362" s="1">
        <v>44053</v>
      </c>
      <c r="N362">
        <v>359</v>
      </c>
      <c r="O362">
        <v>6</v>
      </c>
      <c r="P362" t="s">
        <v>22</v>
      </c>
      <c r="Q362">
        <v>0.05</v>
      </c>
      <c r="R362" s="7">
        <v>51.551500000000004</v>
      </c>
      <c r="S362">
        <v>2</v>
      </c>
      <c r="T362" t="s">
        <v>114</v>
      </c>
    </row>
    <row r="363" spans="1:20">
      <c r="A363">
        <v>360</v>
      </c>
      <c r="B363" s="1">
        <v>44023</v>
      </c>
      <c r="C363">
        <v>82</v>
      </c>
      <c r="D363" t="s">
        <v>67</v>
      </c>
      <c r="E363" t="s">
        <v>41</v>
      </c>
      <c r="F363" s="8">
        <v>11</v>
      </c>
      <c r="G363" s="7">
        <v>100</v>
      </c>
      <c r="H363" s="7">
        <v>1100</v>
      </c>
      <c r="I363" s="4">
        <v>7.0000000000000007E-2</v>
      </c>
      <c r="J363" s="7">
        <v>1023</v>
      </c>
      <c r="K363" s="7">
        <f>Tabela1[[#This Row],[Valor Bruto]]-Tabela1[[#This Row],[Valor Venda]]</f>
        <v>77</v>
      </c>
      <c r="L363" s="1">
        <v>44051</v>
      </c>
      <c r="M363" s="1">
        <v>44051</v>
      </c>
      <c r="N363">
        <v>360</v>
      </c>
      <c r="O363">
        <v>2</v>
      </c>
      <c r="P363" t="s">
        <v>69</v>
      </c>
      <c r="Q363">
        <v>0.06</v>
      </c>
      <c r="R363" s="7">
        <v>61.379999999999995</v>
      </c>
      <c r="S363">
        <v>3</v>
      </c>
      <c r="T363" t="s">
        <v>114</v>
      </c>
    </row>
    <row r="364" spans="1:20">
      <c r="A364">
        <v>361</v>
      </c>
      <c r="B364" s="1">
        <v>44024</v>
      </c>
      <c r="C364">
        <v>70</v>
      </c>
      <c r="D364" t="s">
        <v>67</v>
      </c>
      <c r="E364" t="s">
        <v>46</v>
      </c>
      <c r="F364" s="8">
        <v>16</v>
      </c>
      <c r="G364" s="7">
        <v>112</v>
      </c>
      <c r="H364" s="7">
        <v>1792</v>
      </c>
      <c r="I364" s="4">
        <v>7.0000000000000007E-2</v>
      </c>
      <c r="J364" s="7">
        <v>1666.56</v>
      </c>
      <c r="K364" s="7">
        <f>Tabela1[[#This Row],[Valor Bruto]]-Tabela1[[#This Row],[Valor Venda]]</f>
        <v>125.44000000000005</v>
      </c>
      <c r="L364" s="1">
        <v>44028</v>
      </c>
      <c r="M364" s="1">
        <v>44028</v>
      </c>
      <c r="N364">
        <v>361</v>
      </c>
      <c r="O364">
        <v>2</v>
      </c>
      <c r="P364" t="s">
        <v>34</v>
      </c>
      <c r="Q364">
        <v>7.0000000000000007E-2</v>
      </c>
      <c r="R364" s="7">
        <v>116.65920000000001</v>
      </c>
      <c r="S364">
        <v>4</v>
      </c>
      <c r="T364" t="s">
        <v>114</v>
      </c>
    </row>
    <row r="365" spans="1:20">
      <c r="A365">
        <v>362</v>
      </c>
      <c r="B365" s="1">
        <v>44024</v>
      </c>
      <c r="C365">
        <v>78</v>
      </c>
      <c r="D365" t="s">
        <v>36</v>
      </c>
      <c r="E365" t="s">
        <v>46</v>
      </c>
      <c r="F365" s="8">
        <v>10</v>
      </c>
      <c r="G365" s="7">
        <v>103</v>
      </c>
      <c r="H365" s="7">
        <v>1030</v>
      </c>
      <c r="I365" s="4">
        <v>0.05</v>
      </c>
      <c r="J365" s="7">
        <v>978.5</v>
      </c>
      <c r="K365" s="7">
        <f>Tabela1[[#This Row],[Valor Bruto]]-Tabela1[[#This Row],[Valor Venda]]</f>
        <v>51.5</v>
      </c>
      <c r="L365" s="1">
        <v>44025</v>
      </c>
      <c r="M365" s="1">
        <v>44025</v>
      </c>
      <c r="N365">
        <v>362</v>
      </c>
      <c r="O365">
        <v>2</v>
      </c>
      <c r="P365" t="s">
        <v>32</v>
      </c>
      <c r="Q365">
        <v>0.09</v>
      </c>
      <c r="R365" s="7">
        <v>88.064999999999998</v>
      </c>
      <c r="S365">
        <v>5</v>
      </c>
      <c r="T365" t="s">
        <v>114</v>
      </c>
    </row>
    <row r="366" spans="1:20">
      <c r="A366">
        <v>363</v>
      </c>
      <c r="B366" s="1">
        <v>44026</v>
      </c>
      <c r="C366">
        <v>14</v>
      </c>
      <c r="D366" t="s">
        <v>27</v>
      </c>
      <c r="E366" t="s">
        <v>28</v>
      </c>
      <c r="F366" s="8">
        <v>39</v>
      </c>
      <c r="G366" s="7">
        <v>105</v>
      </c>
      <c r="H366" s="7">
        <v>4095</v>
      </c>
      <c r="I366" s="4">
        <v>0.05</v>
      </c>
      <c r="J366" s="7">
        <v>3890.25</v>
      </c>
      <c r="K366" s="7">
        <f>Tabela1[[#This Row],[Valor Bruto]]-Tabela1[[#This Row],[Valor Venda]]</f>
        <v>204.75</v>
      </c>
      <c r="L366" s="1">
        <v>44049</v>
      </c>
      <c r="M366" s="1">
        <v>44049</v>
      </c>
      <c r="N366">
        <v>363</v>
      </c>
      <c r="O366">
        <v>7</v>
      </c>
      <c r="P366" t="s">
        <v>69</v>
      </c>
      <c r="Q366">
        <v>0.1</v>
      </c>
      <c r="R366" s="7">
        <v>389.02500000000003</v>
      </c>
      <c r="S366">
        <v>6</v>
      </c>
      <c r="T366" t="s">
        <v>114</v>
      </c>
    </row>
    <row r="367" spans="1:20">
      <c r="A367">
        <v>364</v>
      </c>
      <c r="B367" s="1">
        <v>44028</v>
      </c>
      <c r="C367">
        <v>17</v>
      </c>
      <c r="D367" t="s">
        <v>67</v>
      </c>
      <c r="E367" t="s">
        <v>55</v>
      </c>
      <c r="F367" s="8">
        <v>40</v>
      </c>
      <c r="G367" s="7">
        <v>112</v>
      </c>
      <c r="H367" s="7">
        <v>4480</v>
      </c>
      <c r="I367" s="4">
        <v>0.04</v>
      </c>
      <c r="J367" s="7">
        <v>4300.8</v>
      </c>
      <c r="K367" s="7">
        <f>Tabela1[[#This Row],[Valor Bruto]]-Tabela1[[#This Row],[Valor Venda]]</f>
        <v>179.19999999999982</v>
      </c>
      <c r="L367" s="1">
        <v>44055</v>
      </c>
      <c r="M367" s="1">
        <v>44055</v>
      </c>
      <c r="N367">
        <v>364</v>
      </c>
      <c r="O367">
        <v>6</v>
      </c>
      <c r="P367" t="s">
        <v>32</v>
      </c>
      <c r="Q367">
        <v>0.1</v>
      </c>
      <c r="R367" s="7">
        <v>430.08000000000004</v>
      </c>
      <c r="S367">
        <v>7</v>
      </c>
      <c r="T367" t="s">
        <v>114</v>
      </c>
    </row>
    <row r="368" spans="1:20">
      <c r="A368">
        <v>365</v>
      </c>
      <c r="B368" s="1">
        <v>44028</v>
      </c>
      <c r="C368">
        <v>22</v>
      </c>
      <c r="D368" t="s">
        <v>51</v>
      </c>
      <c r="E368" t="s">
        <v>41</v>
      </c>
      <c r="F368" s="8">
        <v>22</v>
      </c>
      <c r="G368" s="7">
        <v>111</v>
      </c>
      <c r="H368" s="7">
        <v>2442</v>
      </c>
      <c r="I368" s="4">
        <v>0.11</v>
      </c>
      <c r="J368" s="7">
        <v>2173.38</v>
      </c>
      <c r="K368" s="7">
        <f>Tabela1[[#This Row],[Valor Bruto]]-Tabela1[[#This Row],[Valor Venda]]</f>
        <v>268.61999999999989</v>
      </c>
      <c r="L368" s="1">
        <v>44038</v>
      </c>
      <c r="M368" s="1">
        <v>44038</v>
      </c>
      <c r="N368">
        <v>365</v>
      </c>
      <c r="O368">
        <v>6</v>
      </c>
      <c r="P368" t="s">
        <v>32</v>
      </c>
      <c r="Q368">
        <v>0.08</v>
      </c>
      <c r="R368" s="7">
        <v>173.87040000000002</v>
      </c>
      <c r="S368">
        <v>1</v>
      </c>
      <c r="T368" t="s">
        <v>114</v>
      </c>
    </row>
    <row r="369" spans="1:20">
      <c r="A369">
        <v>366</v>
      </c>
      <c r="B369" s="1">
        <v>44030</v>
      </c>
      <c r="C369">
        <v>56</v>
      </c>
      <c r="D369" t="s">
        <v>67</v>
      </c>
      <c r="E369" t="s">
        <v>41</v>
      </c>
      <c r="F369" s="8">
        <v>26</v>
      </c>
      <c r="G369" s="7">
        <v>96</v>
      </c>
      <c r="H369" s="7">
        <v>2496</v>
      </c>
      <c r="I369" s="4">
        <v>0.08</v>
      </c>
      <c r="J369" s="7">
        <v>2296.3200000000002</v>
      </c>
      <c r="K369" s="7">
        <f>Tabela1[[#This Row],[Valor Bruto]]-Tabela1[[#This Row],[Valor Venda]]</f>
        <v>199.67999999999984</v>
      </c>
      <c r="L369" s="1">
        <v>44040</v>
      </c>
      <c r="M369" s="1">
        <v>44040</v>
      </c>
      <c r="N369">
        <v>366</v>
      </c>
      <c r="O369">
        <v>6</v>
      </c>
      <c r="P369" t="s">
        <v>43</v>
      </c>
      <c r="Q369">
        <v>0.1</v>
      </c>
      <c r="R369" s="7">
        <v>229.63200000000003</v>
      </c>
      <c r="S369">
        <v>2</v>
      </c>
      <c r="T369" t="s">
        <v>114</v>
      </c>
    </row>
    <row r="370" spans="1:20">
      <c r="A370">
        <v>367</v>
      </c>
      <c r="B370" s="1">
        <v>44031</v>
      </c>
      <c r="C370">
        <v>16</v>
      </c>
      <c r="D370" t="s">
        <v>27</v>
      </c>
      <c r="E370" t="s">
        <v>28</v>
      </c>
      <c r="F370" s="8">
        <v>26</v>
      </c>
      <c r="G370" s="7">
        <v>118</v>
      </c>
      <c r="H370" s="7">
        <v>3068</v>
      </c>
      <c r="I370" s="4">
        <v>0.02</v>
      </c>
      <c r="J370" s="7">
        <v>3006.64</v>
      </c>
      <c r="K370" s="7">
        <f>Tabela1[[#This Row],[Valor Bruto]]-Tabela1[[#This Row],[Valor Venda]]</f>
        <v>61.360000000000127</v>
      </c>
      <c r="L370" s="1">
        <v>44060</v>
      </c>
      <c r="M370" s="1">
        <v>44060</v>
      </c>
      <c r="N370">
        <v>367</v>
      </c>
      <c r="O370">
        <v>1</v>
      </c>
      <c r="P370" t="s">
        <v>43</v>
      </c>
      <c r="Q370">
        <v>7.0000000000000007E-2</v>
      </c>
      <c r="R370" s="7">
        <v>210.46480000000003</v>
      </c>
      <c r="S370">
        <v>3</v>
      </c>
      <c r="T370" t="s">
        <v>114</v>
      </c>
    </row>
    <row r="371" spans="1:20">
      <c r="A371">
        <v>368</v>
      </c>
      <c r="B371" s="1">
        <v>44031</v>
      </c>
      <c r="C371">
        <v>72</v>
      </c>
      <c r="D371" t="s">
        <v>38</v>
      </c>
      <c r="E371" t="s">
        <v>59</v>
      </c>
      <c r="F371" s="8">
        <v>38</v>
      </c>
      <c r="G371" s="7">
        <v>104</v>
      </c>
      <c r="H371" s="7">
        <v>3952</v>
      </c>
      <c r="I371" s="4">
        <v>0.01</v>
      </c>
      <c r="J371" s="7">
        <v>3912.48</v>
      </c>
      <c r="K371" s="7">
        <f>Tabela1[[#This Row],[Valor Bruto]]-Tabela1[[#This Row],[Valor Venda]]</f>
        <v>39.519999999999982</v>
      </c>
      <c r="L371" s="1">
        <v>44053</v>
      </c>
      <c r="M371" s="1">
        <v>44053</v>
      </c>
      <c r="N371">
        <v>368</v>
      </c>
      <c r="O371">
        <v>6</v>
      </c>
      <c r="P371" t="s">
        <v>34</v>
      </c>
      <c r="Q371">
        <v>7.0000000000000007E-2</v>
      </c>
      <c r="R371" s="7">
        <v>273.87360000000001</v>
      </c>
      <c r="S371">
        <v>4</v>
      </c>
      <c r="T371" t="s">
        <v>114</v>
      </c>
    </row>
    <row r="372" spans="1:20">
      <c r="A372">
        <v>369</v>
      </c>
      <c r="B372" s="1">
        <v>44031</v>
      </c>
      <c r="C372">
        <v>8</v>
      </c>
      <c r="D372" t="s">
        <v>38</v>
      </c>
      <c r="E372" t="s">
        <v>50</v>
      </c>
      <c r="F372" s="8">
        <v>43</v>
      </c>
      <c r="G372" s="7">
        <v>94</v>
      </c>
      <c r="H372" s="7">
        <v>4042</v>
      </c>
      <c r="I372" s="4">
        <v>0.15</v>
      </c>
      <c r="J372" s="7">
        <v>3435.7</v>
      </c>
      <c r="K372" s="7">
        <f>Tabela1[[#This Row],[Valor Bruto]]-Tabela1[[#This Row],[Valor Venda]]</f>
        <v>606.30000000000018</v>
      </c>
      <c r="L372" s="1">
        <v>44031</v>
      </c>
      <c r="M372" s="1">
        <v>44031</v>
      </c>
      <c r="N372">
        <v>369</v>
      </c>
      <c r="O372">
        <v>6</v>
      </c>
      <c r="P372" t="s">
        <v>52</v>
      </c>
      <c r="Q372">
        <v>0.09</v>
      </c>
      <c r="R372" s="7">
        <v>309.21299999999997</v>
      </c>
      <c r="S372">
        <v>5</v>
      </c>
      <c r="T372" t="s">
        <v>114</v>
      </c>
    </row>
    <row r="373" spans="1:20">
      <c r="A373">
        <v>370</v>
      </c>
      <c r="B373" s="1">
        <v>44032</v>
      </c>
      <c r="C373">
        <v>66</v>
      </c>
      <c r="D373" t="s">
        <v>30</v>
      </c>
      <c r="E373" t="s">
        <v>21</v>
      </c>
      <c r="F373" s="8">
        <v>50</v>
      </c>
      <c r="G373" s="7">
        <v>112</v>
      </c>
      <c r="H373" s="7">
        <v>5600</v>
      </c>
      <c r="I373" s="4">
        <v>0.03</v>
      </c>
      <c r="J373" s="7">
        <v>5432</v>
      </c>
      <c r="K373" s="7">
        <f>Tabela1[[#This Row],[Valor Bruto]]-Tabela1[[#This Row],[Valor Venda]]</f>
        <v>168</v>
      </c>
      <c r="L373" s="1">
        <v>44048</v>
      </c>
      <c r="M373" s="1">
        <v>44048</v>
      </c>
      <c r="N373">
        <v>370</v>
      </c>
      <c r="O373">
        <v>5</v>
      </c>
      <c r="P373" t="s">
        <v>29</v>
      </c>
      <c r="Q373">
        <v>0.06</v>
      </c>
      <c r="R373" s="7">
        <v>325.92</v>
      </c>
      <c r="S373">
        <v>6</v>
      </c>
      <c r="T373" t="s">
        <v>114</v>
      </c>
    </row>
    <row r="374" spans="1:20">
      <c r="A374">
        <v>371</v>
      </c>
      <c r="B374" s="1">
        <v>44032</v>
      </c>
      <c r="C374">
        <v>17</v>
      </c>
      <c r="D374" t="s">
        <v>67</v>
      </c>
      <c r="E374" t="s">
        <v>31</v>
      </c>
      <c r="F374" s="8">
        <v>39</v>
      </c>
      <c r="G374" s="7">
        <v>116</v>
      </c>
      <c r="H374" s="7">
        <v>4524</v>
      </c>
      <c r="I374" s="4">
        <v>0.15</v>
      </c>
      <c r="J374" s="7">
        <v>3845.4</v>
      </c>
      <c r="K374" s="7">
        <f>Tabela1[[#This Row],[Valor Bruto]]-Tabela1[[#This Row],[Valor Venda]]</f>
        <v>678.59999999999991</v>
      </c>
      <c r="L374" s="1">
        <v>44049</v>
      </c>
      <c r="M374" s="1">
        <v>44049</v>
      </c>
      <c r="N374">
        <v>371</v>
      </c>
      <c r="O374">
        <v>3</v>
      </c>
      <c r="P374" t="s">
        <v>34</v>
      </c>
      <c r="Q374">
        <v>0.05</v>
      </c>
      <c r="R374" s="7">
        <v>192.27</v>
      </c>
      <c r="S374">
        <v>7</v>
      </c>
      <c r="T374" t="s">
        <v>114</v>
      </c>
    </row>
    <row r="375" spans="1:20">
      <c r="A375">
        <v>372</v>
      </c>
      <c r="B375" s="1">
        <v>44033</v>
      </c>
      <c r="C375">
        <v>57</v>
      </c>
      <c r="D375" t="s">
        <v>89</v>
      </c>
      <c r="E375" t="s">
        <v>46</v>
      </c>
      <c r="F375" s="8">
        <v>24</v>
      </c>
      <c r="G375" s="7">
        <v>102</v>
      </c>
      <c r="H375" s="7">
        <v>2448</v>
      </c>
      <c r="I375" s="4">
        <v>0.04</v>
      </c>
      <c r="J375" s="7">
        <v>2350.08</v>
      </c>
      <c r="K375" s="7">
        <f>Tabela1[[#This Row],[Valor Bruto]]-Tabela1[[#This Row],[Valor Venda]]</f>
        <v>97.920000000000073</v>
      </c>
      <c r="L375" s="1">
        <v>44063</v>
      </c>
      <c r="M375" s="1">
        <v>44063</v>
      </c>
      <c r="N375">
        <v>372</v>
      </c>
      <c r="O375">
        <v>4</v>
      </c>
      <c r="P375" t="s">
        <v>32</v>
      </c>
      <c r="Q375">
        <v>0.06</v>
      </c>
      <c r="R375" s="7">
        <v>141.00479999999999</v>
      </c>
      <c r="S375">
        <v>1</v>
      </c>
      <c r="T375" t="s">
        <v>114</v>
      </c>
    </row>
    <row r="376" spans="1:20">
      <c r="A376">
        <v>373</v>
      </c>
      <c r="B376" s="1">
        <v>44034</v>
      </c>
      <c r="C376">
        <v>32</v>
      </c>
      <c r="D376" t="s">
        <v>77</v>
      </c>
      <c r="E376" t="s">
        <v>46</v>
      </c>
      <c r="F376" s="8">
        <v>22</v>
      </c>
      <c r="G376" s="7">
        <v>99</v>
      </c>
      <c r="H376" s="7">
        <v>2178</v>
      </c>
      <c r="I376" s="4">
        <v>0.03</v>
      </c>
      <c r="J376" s="7">
        <v>2112.66</v>
      </c>
      <c r="K376" s="7">
        <f>Tabela1[[#This Row],[Valor Bruto]]-Tabela1[[#This Row],[Valor Venda]]</f>
        <v>65.340000000000146</v>
      </c>
      <c r="L376" s="1">
        <v>44052</v>
      </c>
      <c r="M376" s="1">
        <v>44052</v>
      </c>
      <c r="N376">
        <v>373</v>
      </c>
      <c r="O376">
        <v>3</v>
      </c>
      <c r="P376" t="s">
        <v>34</v>
      </c>
      <c r="Q376">
        <v>0.08</v>
      </c>
      <c r="R376" s="7">
        <v>169.0128</v>
      </c>
      <c r="S376">
        <v>2</v>
      </c>
      <c r="T376" t="s">
        <v>114</v>
      </c>
    </row>
    <row r="377" spans="1:20">
      <c r="A377">
        <v>374</v>
      </c>
      <c r="B377" s="1">
        <v>44034</v>
      </c>
      <c r="C377">
        <v>97</v>
      </c>
      <c r="D377" t="s">
        <v>66</v>
      </c>
      <c r="E377" t="s">
        <v>46</v>
      </c>
      <c r="F377" s="8">
        <v>41</v>
      </c>
      <c r="G377" s="7">
        <v>105</v>
      </c>
      <c r="H377" s="7">
        <v>4305</v>
      </c>
      <c r="I377" s="4">
        <v>0.02</v>
      </c>
      <c r="J377" s="7">
        <v>4218.8999999999996</v>
      </c>
      <c r="K377" s="7">
        <f>Tabela1[[#This Row],[Valor Bruto]]-Tabela1[[#This Row],[Valor Venda]]</f>
        <v>86.100000000000364</v>
      </c>
      <c r="L377" s="1">
        <v>44050</v>
      </c>
      <c r="M377" s="1">
        <v>44050</v>
      </c>
      <c r="N377">
        <v>374</v>
      </c>
      <c r="O377">
        <v>5</v>
      </c>
      <c r="P377" t="s">
        <v>25</v>
      </c>
      <c r="Q377">
        <v>7.0000000000000007E-2</v>
      </c>
      <c r="R377" s="7">
        <v>295.32299999999998</v>
      </c>
      <c r="S377">
        <v>3</v>
      </c>
      <c r="T377" t="s">
        <v>114</v>
      </c>
    </row>
    <row r="378" spans="1:20">
      <c r="A378">
        <v>375</v>
      </c>
      <c r="B378" s="1">
        <v>44034</v>
      </c>
      <c r="C378">
        <v>53</v>
      </c>
      <c r="D378" t="s">
        <v>88</v>
      </c>
      <c r="E378" t="s">
        <v>24</v>
      </c>
      <c r="F378" s="8">
        <v>33</v>
      </c>
      <c r="G378" s="7">
        <v>99</v>
      </c>
      <c r="H378" s="7">
        <v>3267</v>
      </c>
      <c r="I378" s="4">
        <v>7.0000000000000007E-2</v>
      </c>
      <c r="J378" s="7">
        <v>3038.31</v>
      </c>
      <c r="K378" s="7">
        <f>Tabela1[[#This Row],[Valor Bruto]]-Tabela1[[#This Row],[Valor Venda]]</f>
        <v>228.69000000000005</v>
      </c>
      <c r="L378" s="1">
        <v>44044</v>
      </c>
      <c r="M378" s="1">
        <v>44044</v>
      </c>
      <c r="N378">
        <v>375</v>
      </c>
      <c r="O378">
        <v>5</v>
      </c>
      <c r="P378" t="s">
        <v>69</v>
      </c>
      <c r="Q378">
        <v>7.0000000000000007E-2</v>
      </c>
      <c r="R378" s="7">
        <v>212.68170000000001</v>
      </c>
      <c r="S378">
        <v>4</v>
      </c>
      <c r="T378" t="s">
        <v>114</v>
      </c>
    </row>
    <row r="379" spans="1:20">
      <c r="A379">
        <v>376</v>
      </c>
      <c r="B379" s="1">
        <v>44035</v>
      </c>
      <c r="C379">
        <v>75</v>
      </c>
      <c r="D379" t="s">
        <v>38</v>
      </c>
      <c r="E379" t="s">
        <v>24</v>
      </c>
      <c r="F379" s="8">
        <v>38</v>
      </c>
      <c r="G379" s="7">
        <v>120</v>
      </c>
      <c r="H379" s="7">
        <v>4560</v>
      </c>
      <c r="I379" s="4">
        <v>0.15</v>
      </c>
      <c r="J379" s="7">
        <v>3876</v>
      </c>
      <c r="K379" s="7">
        <f>Tabela1[[#This Row],[Valor Bruto]]-Tabela1[[#This Row],[Valor Venda]]</f>
        <v>684</v>
      </c>
      <c r="L379" s="1">
        <v>44041</v>
      </c>
      <c r="M379" s="1">
        <v>44041</v>
      </c>
      <c r="N379">
        <v>376</v>
      </c>
      <c r="O379">
        <v>2</v>
      </c>
      <c r="P379" t="s">
        <v>32</v>
      </c>
      <c r="Q379">
        <v>0.06</v>
      </c>
      <c r="R379" s="7">
        <v>232.56</v>
      </c>
      <c r="S379">
        <v>5</v>
      </c>
      <c r="T379" t="s">
        <v>114</v>
      </c>
    </row>
    <row r="380" spans="1:20">
      <c r="A380">
        <v>377</v>
      </c>
      <c r="B380" s="1">
        <v>44035</v>
      </c>
      <c r="C380">
        <v>93</v>
      </c>
      <c r="D380" t="s">
        <v>33</v>
      </c>
      <c r="E380" t="s">
        <v>59</v>
      </c>
      <c r="F380" s="8">
        <v>10</v>
      </c>
      <c r="G380" s="7">
        <v>93</v>
      </c>
      <c r="H380" s="7">
        <v>930</v>
      </c>
      <c r="I380" s="4">
        <v>0.14000000000000001</v>
      </c>
      <c r="J380" s="7">
        <v>799.8</v>
      </c>
      <c r="K380" s="7">
        <f>Tabela1[[#This Row],[Valor Bruto]]-Tabela1[[#This Row],[Valor Venda]]</f>
        <v>130.20000000000005</v>
      </c>
      <c r="L380" s="1">
        <v>44059</v>
      </c>
      <c r="M380" s="1">
        <v>44059</v>
      </c>
      <c r="N380">
        <v>377</v>
      </c>
      <c r="O380">
        <v>3</v>
      </c>
      <c r="P380" t="s">
        <v>25</v>
      </c>
      <c r="Q380">
        <v>7.0000000000000007E-2</v>
      </c>
      <c r="R380" s="7">
        <v>55.986000000000004</v>
      </c>
      <c r="S380">
        <v>6</v>
      </c>
      <c r="T380" t="s">
        <v>114</v>
      </c>
    </row>
    <row r="381" spans="1:20">
      <c r="A381">
        <v>378</v>
      </c>
      <c r="B381" s="1">
        <v>44035</v>
      </c>
      <c r="C381">
        <v>33</v>
      </c>
      <c r="D381" t="s">
        <v>76</v>
      </c>
      <c r="E381" t="s">
        <v>46</v>
      </c>
      <c r="F381" s="8">
        <v>13</v>
      </c>
      <c r="G381" s="7">
        <v>105</v>
      </c>
      <c r="H381" s="7">
        <v>1365</v>
      </c>
      <c r="I381" s="4">
        <v>0.03</v>
      </c>
      <c r="J381" s="7">
        <v>1324.05</v>
      </c>
      <c r="K381" s="7">
        <f>Tabela1[[#This Row],[Valor Bruto]]-Tabela1[[#This Row],[Valor Venda]]</f>
        <v>40.950000000000045</v>
      </c>
      <c r="L381" s="1">
        <v>44042</v>
      </c>
      <c r="M381" s="1">
        <v>44042</v>
      </c>
      <c r="N381">
        <v>378</v>
      </c>
      <c r="O381">
        <v>6</v>
      </c>
      <c r="P381" t="s">
        <v>37</v>
      </c>
      <c r="Q381">
        <v>0.08</v>
      </c>
      <c r="R381" s="7">
        <v>105.92399999999999</v>
      </c>
      <c r="S381">
        <v>7</v>
      </c>
      <c r="T381" t="s">
        <v>114</v>
      </c>
    </row>
    <row r="382" spans="1:20">
      <c r="A382">
        <v>379</v>
      </c>
      <c r="B382" s="1">
        <v>44036</v>
      </c>
      <c r="C382">
        <v>63</v>
      </c>
      <c r="D382" t="s">
        <v>80</v>
      </c>
      <c r="E382" t="s">
        <v>59</v>
      </c>
      <c r="F382" s="8">
        <v>27</v>
      </c>
      <c r="G382" s="7">
        <v>107</v>
      </c>
      <c r="H382" s="7">
        <v>2889</v>
      </c>
      <c r="I382" s="4">
        <v>0.1</v>
      </c>
      <c r="J382" s="7">
        <v>2600.1</v>
      </c>
      <c r="K382" s="7">
        <f>Tabela1[[#This Row],[Valor Bruto]]-Tabela1[[#This Row],[Valor Venda]]</f>
        <v>288.90000000000009</v>
      </c>
      <c r="L382" s="1">
        <v>44061</v>
      </c>
      <c r="M382" s="1">
        <v>44061</v>
      </c>
      <c r="N382">
        <v>379</v>
      </c>
      <c r="O382">
        <v>7</v>
      </c>
      <c r="P382" t="s">
        <v>47</v>
      </c>
      <c r="Q382">
        <v>0.06</v>
      </c>
      <c r="R382" s="7">
        <v>156.006</v>
      </c>
      <c r="S382">
        <v>1</v>
      </c>
      <c r="T382" t="s">
        <v>114</v>
      </c>
    </row>
    <row r="383" spans="1:20">
      <c r="A383">
        <v>380</v>
      </c>
      <c r="B383" s="1">
        <v>44036</v>
      </c>
      <c r="C383">
        <v>59</v>
      </c>
      <c r="D383" t="s">
        <v>97</v>
      </c>
      <c r="E383" t="s">
        <v>24</v>
      </c>
      <c r="F383" s="8">
        <v>25</v>
      </c>
      <c r="G383" s="7">
        <v>92</v>
      </c>
      <c r="H383" s="7">
        <v>2300</v>
      </c>
      <c r="I383" s="4">
        <v>0.04</v>
      </c>
      <c r="J383" s="7">
        <v>2208</v>
      </c>
      <c r="K383" s="7">
        <f>Tabela1[[#This Row],[Valor Bruto]]-Tabela1[[#This Row],[Valor Venda]]</f>
        <v>92</v>
      </c>
      <c r="L383" s="1">
        <v>44039</v>
      </c>
      <c r="M383" s="1">
        <v>44039</v>
      </c>
      <c r="N383">
        <v>380</v>
      </c>
      <c r="O383">
        <v>2</v>
      </c>
      <c r="P383" t="s">
        <v>29</v>
      </c>
      <c r="Q383">
        <v>0.06</v>
      </c>
      <c r="R383" s="7">
        <v>132.47999999999999</v>
      </c>
      <c r="S383">
        <v>2</v>
      </c>
      <c r="T383" t="s">
        <v>114</v>
      </c>
    </row>
    <row r="384" spans="1:20">
      <c r="A384">
        <v>381</v>
      </c>
      <c r="B384" s="1">
        <v>44036</v>
      </c>
      <c r="C384">
        <v>82</v>
      </c>
      <c r="D384" t="s">
        <v>67</v>
      </c>
      <c r="E384" t="s">
        <v>50</v>
      </c>
      <c r="F384" s="8">
        <v>43</v>
      </c>
      <c r="G384" s="7">
        <v>119</v>
      </c>
      <c r="H384" s="7">
        <v>5117</v>
      </c>
      <c r="I384" s="4">
        <v>0</v>
      </c>
      <c r="J384" s="7">
        <v>5117</v>
      </c>
      <c r="K384" s="7">
        <f>Tabela1[[#This Row],[Valor Bruto]]-Tabela1[[#This Row],[Valor Venda]]</f>
        <v>0</v>
      </c>
      <c r="L384" s="1">
        <v>44046</v>
      </c>
      <c r="M384" s="1">
        <v>44046</v>
      </c>
      <c r="N384">
        <v>381</v>
      </c>
      <c r="O384">
        <v>2</v>
      </c>
      <c r="P384" t="s">
        <v>52</v>
      </c>
      <c r="Q384">
        <v>0.06</v>
      </c>
      <c r="R384" s="7">
        <v>307.02</v>
      </c>
      <c r="S384">
        <v>3</v>
      </c>
      <c r="T384" t="s">
        <v>114</v>
      </c>
    </row>
    <row r="385" spans="1:20">
      <c r="A385">
        <v>382</v>
      </c>
      <c r="B385" s="1">
        <v>44037</v>
      </c>
      <c r="C385">
        <v>46</v>
      </c>
      <c r="D385" t="s">
        <v>94</v>
      </c>
      <c r="E385" t="s">
        <v>28</v>
      </c>
      <c r="F385" s="8">
        <v>47</v>
      </c>
      <c r="G385" s="7">
        <v>107</v>
      </c>
      <c r="H385" s="7">
        <v>5029</v>
      </c>
      <c r="I385" s="4">
        <v>0.1</v>
      </c>
      <c r="J385" s="7">
        <v>4526.1000000000004</v>
      </c>
      <c r="K385" s="7">
        <f>Tabela1[[#This Row],[Valor Bruto]]-Tabela1[[#This Row],[Valor Venda]]</f>
        <v>502.89999999999964</v>
      </c>
      <c r="L385" s="1">
        <v>44050</v>
      </c>
      <c r="M385" s="1">
        <v>44050</v>
      </c>
      <c r="N385">
        <v>382</v>
      </c>
      <c r="O385">
        <v>6</v>
      </c>
      <c r="P385" t="s">
        <v>43</v>
      </c>
      <c r="Q385">
        <v>0.1</v>
      </c>
      <c r="R385" s="7">
        <v>452.61000000000007</v>
      </c>
      <c r="S385">
        <v>4</v>
      </c>
      <c r="T385" t="s">
        <v>114</v>
      </c>
    </row>
    <row r="386" spans="1:20">
      <c r="A386">
        <v>383</v>
      </c>
      <c r="B386" s="1">
        <v>44038</v>
      </c>
      <c r="C386">
        <v>98</v>
      </c>
      <c r="D386" t="s">
        <v>26</v>
      </c>
      <c r="E386" t="s">
        <v>31</v>
      </c>
      <c r="F386" s="8">
        <v>11</v>
      </c>
      <c r="G386" s="7">
        <v>95</v>
      </c>
      <c r="H386" s="7">
        <v>1045</v>
      </c>
      <c r="I386" s="4">
        <v>0.08</v>
      </c>
      <c r="J386" s="7">
        <v>961.4</v>
      </c>
      <c r="K386" s="7">
        <f>Tabela1[[#This Row],[Valor Bruto]]-Tabela1[[#This Row],[Valor Venda]]</f>
        <v>83.600000000000023</v>
      </c>
      <c r="L386" s="1">
        <v>44044</v>
      </c>
      <c r="M386" s="1">
        <v>44044</v>
      </c>
      <c r="N386">
        <v>383</v>
      </c>
      <c r="O386">
        <v>2</v>
      </c>
      <c r="P386" t="s">
        <v>25</v>
      </c>
      <c r="Q386">
        <v>7.0000000000000007E-2</v>
      </c>
      <c r="R386" s="7">
        <v>67.298000000000002</v>
      </c>
      <c r="S386">
        <v>5</v>
      </c>
      <c r="T386" t="s">
        <v>114</v>
      </c>
    </row>
    <row r="387" spans="1:20">
      <c r="A387">
        <v>384</v>
      </c>
      <c r="B387" s="1">
        <v>44039</v>
      </c>
      <c r="C387">
        <v>12</v>
      </c>
      <c r="D387" t="s">
        <v>45</v>
      </c>
      <c r="E387" t="s">
        <v>24</v>
      </c>
      <c r="F387" s="8">
        <v>41</v>
      </c>
      <c r="G387" s="7">
        <v>105</v>
      </c>
      <c r="H387" s="7">
        <v>4305</v>
      </c>
      <c r="I387" s="4">
        <v>0</v>
      </c>
      <c r="J387" s="7">
        <v>4305</v>
      </c>
      <c r="K387" s="7">
        <f>Tabela1[[#This Row],[Valor Bruto]]-Tabela1[[#This Row],[Valor Venda]]</f>
        <v>0</v>
      </c>
      <c r="L387" s="1">
        <v>44063</v>
      </c>
      <c r="M387" s="1">
        <v>44063</v>
      </c>
      <c r="N387">
        <v>384</v>
      </c>
      <c r="O387">
        <v>3</v>
      </c>
      <c r="P387" t="s">
        <v>29</v>
      </c>
      <c r="Q387">
        <v>0.08</v>
      </c>
      <c r="R387" s="7">
        <v>344.40000000000003</v>
      </c>
      <c r="S387">
        <v>6</v>
      </c>
      <c r="T387" t="s">
        <v>114</v>
      </c>
    </row>
    <row r="388" spans="1:20">
      <c r="A388">
        <v>385</v>
      </c>
      <c r="B388" s="1">
        <v>44041</v>
      </c>
      <c r="C388">
        <v>80</v>
      </c>
      <c r="D388" t="s">
        <v>38</v>
      </c>
      <c r="E388" t="s">
        <v>21</v>
      </c>
      <c r="F388" s="8">
        <v>49</v>
      </c>
      <c r="G388" s="7">
        <v>109</v>
      </c>
      <c r="H388" s="7">
        <v>5341</v>
      </c>
      <c r="I388" s="4">
        <v>0.15</v>
      </c>
      <c r="J388" s="7">
        <v>4539.8500000000004</v>
      </c>
      <c r="K388" s="7">
        <f>Tabela1[[#This Row],[Valor Bruto]]-Tabela1[[#This Row],[Valor Venda]]</f>
        <v>801.14999999999964</v>
      </c>
      <c r="L388" s="1">
        <v>44042</v>
      </c>
      <c r="M388" s="1">
        <v>44042</v>
      </c>
      <c r="N388">
        <v>385</v>
      </c>
      <c r="O388">
        <v>2</v>
      </c>
      <c r="P388" t="s">
        <v>52</v>
      </c>
      <c r="Q388">
        <v>0.06</v>
      </c>
      <c r="R388" s="7">
        <v>272.39100000000002</v>
      </c>
      <c r="S388">
        <v>7</v>
      </c>
      <c r="T388" t="s">
        <v>114</v>
      </c>
    </row>
    <row r="389" spans="1:20">
      <c r="A389">
        <v>386</v>
      </c>
      <c r="B389" s="1">
        <v>44042</v>
      </c>
      <c r="C389">
        <v>49</v>
      </c>
      <c r="D389" t="s">
        <v>38</v>
      </c>
      <c r="E389" t="s">
        <v>50</v>
      </c>
      <c r="F389" s="8">
        <v>18</v>
      </c>
      <c r="G389" s="7">
        <v>102</v>
      </c>
      <c r="H389" s="7">
        <v>1836</v>
      </c>
      <c r="I389" s="4">
        <v>0.15</v>
      </c>
      <c r="J389" s="7">
        <v>1560.6</v>
      </c>
      <c r="K389" s="7">
        <f>Tabela1[[#This Row],[Valor Bruto]]-Tabela1[[#This Row],[Valor Venda]]</f>
        <v>275.40000000000009</v>
      </c>
      <c r="L389" s="1">
        <v>44051</v>
      </c>
      <c r="M389" s="1">
        <v>44051</v>
      </c>
      <c r="N389">
        <v>386</v>
      </c>
      <c r="O389">
        <v>4</v>
      </c>
      <c r="P389" t="s">
        <v>32</v>
      </c>
      <c r="Q389">
        <v>0.09</v>
      </c>
      <c r="R389" s="7">
        <v>140.45399999999998</v>
      </c>
      <c r="S389">
        <v>1</v>
      </c>
      <c r="T389" t="s">
        <v>114</v>
      </c>
    </row>
    <row r="390" spans="1:20">
      <c r="A390">
        <v>387</v>
      </c>
      <c r="B390" s="1">
        <v>44043</v>
      </c>
      <c r="C390">
        <v>89</v>
      </c>
      <c r="D390" t="s">
        <v>49</v>
      </c>
      <c r="E390" t="s">
        <v>59</v>
      </c>
      <c r="F390" s="8">
        <v>43</v>
      </c>
      <c r="G390" s="7">
        <v>91</v>
      </c>
      <c r="H390" s="7">
        <v>3913</v>
      </c>
      <c r="I390" s="4">
        <v>0.15</v>
      </c>
      <c r="J390" s="7">
        <v>3326.05</v>
      </c>
      <c r="K390" s="7">
        <f>Tabela1[[#This Row],[Valor Bruto]]-Tabela1[[#This Row],[Valor Venda]]</f>
        <v>586.94999999999982</v>
      </c>
      <c r="L390" s="1">
        <v>44052</v>
      </c>
      <c r="M390" s="1">
        <v>44052</v>
      </c>
      <c r="N390">
        <v>387</v>
      </c>
      <c r="O390">
        <v>4</v>
      </c>
      <c r="P390" t="s">
        <v>37</v>
      </c>
      <c r="Q390">
        <v>0.09</v>
      </c>
      <c r="R390" s="7">
        <v>299.34449999999998</v>
      </c>
      <c r="S390">
        <v>2</v>
      </c>
      <c r="T390" t="s">
        <v>114</v>
      </c>
    </row>
    <row r="391" spans="1:20">
      <c r="A391">
        <v>388</v>
      </c>
      <c r="B391" s="1">
        <v>44043</v>
      </c>
      <c r="C391">
        <v>79</v>
      </c>
      <c r="D391" t="s">
        <v>33</v>
      </c>
      <c r="E391" t="s">
        <v>24</v>
      </c>
      <c r="F391" s="8">
        <v>40</v>
      </c>
      <c r="G391" s="7">
        <v>104</v>
      </c>
      <c r="H391" s="7">
        <v>4160</v>
      </c>
      <c r="I391" s="4">
        <v>0.11</v>
      </c>
      <c r="J391" s="7">
        <v>3702.4</v>
      </c>
      <c r="K391" s="7">
        <f>Tabela1[[#This Row],[Valor Bruto]]-Tabela1[[#This Row],[Valor Venda]]</f>
        <v>457.59999999999991</v>
      </c>
      <c r="L391" s="1">
        <v>44063</v>
      </c>
      <c r="M391" s="1">
        <v>44063</v>
      </c>
      <c r="N391">
        <v>388</v>
      </c>
      <c r="O391">
        <v>6</v>
      </c>
      <c r="P391" t="s">
        <v>25</v>
      </c>
      <c r="Q391">
        <v>0.05</v>
      </c>
      <c r="R391" s="7">
        <v>185.12</v>
      </c>
      <c r="S391">
        <v>3</v>
      </c>
      <c r="T391" t="s">
        <v>114</v>
      </c>
    </row>
    <row r="392" spans="1:20">
      <c r="A392">
        <v>389</v>
      </c>
      <c r="B392" s="1">
        <v>44043</v>
      </c>
      <c r="C392">
        <v>58</v>
      </c>
      <c r="D392" t="s">
        <v>72</v>
      </c>
      <c r="E392" t="s">
        <v>46</v>
      </c>
      <c r="F392" s="8">
        <v>31</v>
      </c>
      <c r="G392" s="7">
        <v>90</v>
      </c>
      <c r="H392" s="7">
        <v>2790</v>
      </c>
      <c r="I392" s="4">
        <v>0</v>
      </c>
      <c r="J392" s="7">
        <v>2790</v>
      </c>
      <c r="K392" s="7">
        <f>Tabela1[[#This Row],[Valor Bruto]]-Tabela1[[#This Row],[Valor Venda]]</f>
        <v>0</v>
      </c>
      <c r="L392" s="1">
        <v>44050</v>
      </c>
      <c r="M392" s="1">
        <v>44050</v>
      </c>
      <c r="N392">
        <v>389</v>
      </c>
      <c r="O392">
        <v>5</v>
      </c>
      <c r="P392" t="s">
        <v>52</v>
      </c>
      <c r="Q392">
        <v>0.08</v>
      </c>
      <c r="R392" s="7">
        <v>223.20000000000002</v>
      </c>
      <c r="S392">
        <v>4</v>
      </c>
      <c r="T392" t="s">
        <v>114</v>
      </c>
    </row>
    <row r="393" spans="1:20">
      <c r="A393">
        <v>390</v>
      </c>
      <c r="B393" s="1">
        <v>44044</v>
      </c>
      <c r="C393">
        <v>22</v>
      </c>
      <c r="D393" t="s">
        <v>51</v>
      </c>
      <c r="E393" t="s">
        <v>24</v>
      </c>
      <c r="F393" s="8">
        <v>41</v>
      </c>
      <c r="G393" s="7">
        <v>112</v>
      </c>
      <c r="H393" s="7">
        <v>4592</v>
      </c>
      <c r="I393" s="4">
        <v>0.03</v>
      </c>
      <c r="J393" s="7">
        <v>4454.24</v>
      </c>
      <c r="K393" s="7">
        <f>Tabela1[[#This Row],[Valor Bruto]]-Tabela1[[#This Row],[Valor Venda]]</f>
        <v>137.76000000000022</v>
      </c>
      <c r="L393" s="1">
        <v>44052</v>
      </c>
      <c r="M393" s="1">
        <v>44052</v>
      </c>
      <c r="N393">
        <v>390</v>
      </c>
      <c r="O393">
        <v>3</v>
      </c>
      <c r="P393" t="s">
        <v>52</v>
      </c>
      <c r="Q393">
        <v>7.0000000000000007E-2</v>
      </c>
      <c r="R393" s="7">
        <v>311.79680000000002</v>
      </c>
      <c r="S393">
        <v>5</v>
      </c>
      <c r="T393" t="s">
        <v>115</v>
      </c>
    </row>
    <row r="394" spans="1:20">
      <c r="A394">
        <v>391</v>
      </c>
      <c r="B394" s="1">
        <v>44044</v>
      </c>
      <c r="C394">
        <v>15</v>
      </c>
      <c r="D394" t="s">
        <v>77</v>
      </c>
      <c r="E394" t="s">
        <v>24</v>
      </c>
      <c r="F394" s="8">
        <v>48</v>
      </c>
      <c r="G394" s="7">
        <v>102</v>
      </c>
      <c r="H394" s="7">
        <v>4896</v>
      </c>
      <c r="I394" s="4">
        <v>0.03</v>
      </c>
      <c r="J394" s="7">
        <v>4749.12</v>
      </c>
      <c r="K394" s="7">
        <f>Tabela1[[#This Row],[Valor Bruto]]-Tabela1[[#This Row],[Valor Venda]]</f>
        <v>146.88000000000011</v>
      </c>
      <c r="L394" s="1">
        <v>44057</v>
      </c>
      <c r="M394" s="1">
        <v>44057</v>
      </c>
      <c r="N394">
        <v>391</v>
      </c>
      <c r="O394">
        <v>6</v>
      </c>
      <c r="P394" t="s">
        <v>52</v>
      </c>
      <c r="Q394">
        <v>0.06</v>
      </c>
      <c r="R394" s="7">
        <v>284.94720000000001</v>
      </c>
      <c r="S394">
        <v>6</v>
      </c>
      <c r="T394" t="s">
        <v>115</v>
      </c>
    </row>
    <row r="395" spans="1:20">
      <c r="A395">
        <v>392</v>
      </c>
      <c r="B395" s="1">
        <v>44044</v>
      </c>
      <c r="C395">
        <v>6</v>
      </c>
      <c r="D395" t="s">
        <v>88</v>
      </c>
      <c r="E395" t="s">
        <v>31</v>
      </c>
      <c r="F395" s="8">
        <v>15</v>
      </c>
      <c r="G395" s="7">
        <v>96</v>
      </c>
      <c r="H395" s="7">
        <v>1440</v>
      </c>
      <c r="I395" s="4">
        <v>0.01</v>
      </c>
      <c r="J395" s="7">
        <v>1425.6</v>
      </c>
      <c r="K395" s="7">
        <f>Tabela1[[#This Row],[Valor Bruto]]-Tabela1[[#This Row],[Valor Venda]]</f>
        <v>14.400000000000091</v>
      </c>
      <c r="L395" s="1">
        <v>44049</v>
      </c>
      <c r="M395" s="1">
        <v>44049</v>
      </c>
      <c r="N395">
        <v>392</v>
      </c>
      <c r="O395">
        <v>3</v>
      </c>
      <c r="P395" t="s">
        <v>32</v>
      </c>
      <c r="Q395">
        <v>0.09</v>
      </c>
      <c r="R395" s="7">
        <v>128.30399999999997</v>
      </c>
      <c r="S395">
        <v>7</v>
      </c>
      <c r="T395" t="s">
        <v>115</v>
      </c>
    </row>
    <row r="396" spans="1:20">
      <c r="A396">
        <v>393</v>
      </c>
      <c r="B396" s="1">
        <v>44044</v>
      </c>
      <c r="C396">
        <v>77</v>
      </c>
      <c r="D396" t="s">
        <v>65</v>
      </c>
      <c r="E396" t="s">
        <v>41</v>
      </c>
      <c r="F396" s="8">
        <v>36</v>
      </c>
      <c r="G396" s="7">
        <v>119</v>
      </c>
      <c r="H396" s="7">
        <v>4284</v>
      </c>
      <c r="I396" s="4">
        <v>0.06</v>
      </c>
      <c r="J396" s="7">
        <v>4026.96</v>
      </c>
      <c r="K396" s="7">
        <f>Tabela1[[#This Row],[Valor Bruto]]-Tabela1[[#This Row],[Valor Venda]]</f>
        <v>257.03999999999996</v>
      </c>
      <c r="L396" s="1">
        <v>44044</v>
      </c>
      <c r="M396" s="1">
        <v>44044</v>
      </c>
      <c r="N396">
        <v>393</v>
      </c>
      <c r="O396">
        <v>2</v>
      </c>
      <c r="P396" t="s">
        <v>37</v>
      </c>
      <c r="Q396">
        <v>7.0000000000000007E-2</v>
      </c>
      <c r="R396" s="7">
        <v>281.88720000000001</v>
      </c>
      <c r="S396">
        <v>1</v>
      </c>
      <c r="T396" t="s">
        <v>115</v>
      </c>
    </row>
    <row r="397" spans="1:20">
      <c r="A397">
        <v>394</v>
      </c>
      <c r="B397" s="1">
        <v>44045</v>
      </c>
      <c r="C397">
        <v>17</v>
      </c>
      <c r="D397" t="s">
        <v>67</v>
      </c>
      <c r="E397" t="s">
        <v>46</v>
      </c>
      <c r="F397" s="8">
        <v>22</v>
      </c>
      <c r="G397" s="7">
        <v>95</v>
      </c>
      <c r="H397" s="7">
        <v>2090</v>
      </c>
      <c r="I397" s="4">
        <v>0.1</v>
      </c>
      <c r="J397" s="7">
        <v>1881</v>
      </c>
      <c r="K397" s="7">
        <f>Tabela1[[#This Row],[Valor Bruto]]-Tabela1[[#This Row],[Valor Venda]]</f>
        <v>209</v>
      </c>
      <c r="L397" s="1">
        <v>44063</v>
      </c>
      <c r="M397" s="1">
        <v>44063</v>
      </c>
      <c r="N397">
        <v>394</v>
      </c>
      <c r="O397">
        <v>4</v>
      </c>
      <c r="P397" t="s">
        <v>34</v>
      </c>
      <c r="Q397">
        <v>0.09</v>
      </c>
      <c r="R397" s="7">
        <v>169.29</v>
      </c>
      <c r="S397">
        <v>2</v>
      </c>
      <c r="T397" t="s">
        <v>115</v>
      </c>
    </row>
    <row r="398" spans="1:20">
      <c r="A398">
        <v>395</v>
      </c>
      <c r="B398" s="1">
        <v>44045</v>
      </c>
      <c r="C398">
        <v>18</v>
      </c>
      <c r="D398" t="s">
        <v>83</v>
      </c>
      <c r="E398" t="s">
        <v>21</v>
      </c>
      <c r="F398" s="8">
        <v>13</v>
      </c>
      <c r="G398" s="7">
        <v>107</v>
      </c>
      <c r="H398" s="7">
        <v>1391</v>
      </c>
      <c r="I398" s="4">
        <v>0.02</v>
      </c>
      <c r="J398" s="7">
        <v>1363.18</v>
      </c>
      <c r="K398" s="7">
        <f>Tabela1[[#This Row],[Valor Bruto]]-Tabela1[[#This Row],[Valor Venda]]</f>
        <v>27.819999999999936</v>
      </c>
      <c r="L398" s="1">
        <v>44064</v>
      </c>
      <c r="M398" s="1">
        <v>44064</v>
      </c>
      <c r="N398">
        <v>395</v>
      </c>
      <c r="O398">
        <v>4</v>
      </c>
      <c r="P398" t="s">
        <v>29</v>
      </c>
      <c r="Q398">
        <v>0.08</v>
      </c>
      <c r="R398" s="7">
        <v>109.0544</v>
      </c>
      <c r="S398">
        <v>3</v>
      </c>
      <c r="T398" t="s">
        <v>115</v>
      </c>
    </row>
    <row r="399" spans="1:20">
      <c r="A399">
        <v>396</v>
      </c>
      <c r="B399" s="1">
        <v>44045</v>
      </c>
      <c r="C399">
        <v>28</v>
      </c>
      <c r="D399" t="s">
        <v>86</v>
      </c>
      <c r="E399" t="s">
        <v>24</v>
      </c>
      <c r="F399" s="8">
        <v>40</v>
      </c>
      <c r="G399" s="7">
        <v>90</v>
      </c>
      <c r="H399" s="7">
        <v>3600</v>
      </c>
      <c r="I399" s="4">
        <v>0</v>
      </c>
      <c r="J399" s="7">
        <v>3600</v>
      </c>
      <c r="K399" s="7">
        <f>Tabela1[[#This Row],[Valor Bruto]]-Tabela1[[#This Row],[Valor Venda]]</f>
        <v>0</v>
      </c>
      <c r="L399" s="1">
        <v>44053</v>
      </c>
      <c r="M399" s="1">
        <v>44053</v>
      </c>
      <c r="N399">
        <v>396</v>
      </c>
      <c r="O399">
        <v>4</v>
      </c>
      <c r="P399" t="s">
        <v>29</v>
      </c>
      <c r="Q399">
        <v>0.08</v>
      </c>
      <c r="R399" s="7">
        <v>288</v>
      </c>
      <c r="S399">
        <v>4</v>
      </c>
      <c r="T399" t="s">
        <v>115</v>
      </c>
    </row>
    <row r="400" spans="1:20">
      <c r="A400">
        <v>397</v>
      </c>
      <c r="B400" s="1">
        <v>44046</v>
      </c>
      <c r="C400">
        <v>81</v>
      </c>
      <c r="D400" t="s">
        <v>103</v>
      </c>
      <c r="E400" t="s">
        <v>46</v>
      </c>
      <c r="F400" s="8">
        <v>12</v>
      </c>
      <c r="G400" s="7">
        <v>104</v>
      </c>
      <c r="H400" s="7">
        <v>1248</v>
      </c>
      <c r="I400" s="4">
        <v>0.05</v>
      </c>
      <c r="J400" s="7">
        <v>1185.5999999999999</v>
      </c>
      <c r="K400" s="7">
        <f>Tabela1[[#This Row],[Valor Bruto]]-Tabela1[[#This Row],[Valor Venda]]</f>
        <v>62.400000000000091</v>
      </c>
      <c r="L400" s="1">
        <v>44049</v>
      </c>
      <c r="M400" s="1">
        <v>44049</v>
      </c>
      <c r="N400">
        <v>397</v>
      </c>
      <c r="O400">
        <v>1</v>
      </c>
      <c r="P400" t="s">
        <v>22</v>
      </c>
      <c r="Q400">
        <v>0.09</v>
      </c>
      <c r="R400" s="7">
        <v>106.70399999999999</v>
      </c>
      <c r="S400">
        <v>5</v>
      </c>
      <c r="T400" t="s">
        <v>115</v>
      </c>
    </row>
    <row r="401" spans="1:20">
      <c r="A401">
        <v>398</v>
      </c>
      <c r="B401" s="1">
        <v>44047</v>
      </c>
      <c r="C401">
        <v>35</v>
      </c>
      <c r="D401" t="s">
        <v>38</v>
      </c>
      <c r="E401" t="s">
        <v>24</v>
      </c>
      <c r="F401" s="8">
        <v>18</v>
      </c>
      <c r="G401" s="7">
        <v>109</v>
      </c>
      <c r="H401" s="7">
        <v>1962</v>
      </c>
      <c r="I401" s="4">
        <v>0.13</v>
      </c>
      <c r="J401" s="7">
        <v>1706.94</v>
      </c>
      <c r="K401" s="7">
        <f>Tabela1[[#This Row],[Valor Bruto]]-Tabela1[[#This Row],[Valor Venda]]</f>
        <v>255.05999999999995</v>
      </c>
      <c r="L401" s="1">
        <v>44072</v>
      </c>
      <c r="M401" s="1">
        <v>44072</v>
      </c>
      <c r="N401">
        <v>398</v>
      </c>
      <c r="O401">
        <v>7</v>
      </c>
      <c r="P401" t="s">
        <v>47</v>
      </c>
      <c r="Q401">
        <v>0.09</v>
      </c>
      <c r="R401" s="7">
        <v>153.62459999999999</v>
      </c>
      <c r="S401">
        <v>6</v>
      </c>
      <c r="T401" t="s">
        <v>115</v>
      </c>
    </row>
    <row r="402" spans="1:20">
      <c r="A402">
        <v>399</v>
      </c>
      <c r="B402" s="1">
        <v>44047</v>
      </c>
      <c r="C402">
        <v>49</v>
      </c>
      <c r="D402" t="s">
        <v>38</v>
      </c>
      <c r="E402" t="s">
        <v>59</v>
      </c>
      <c r="F402" s="8">
        <v>25</v>
      </c>
      <c r="G402" s="7">
        <v>104</v>
      </c>
      <c r="H402" s="7">
        <v>2600</v>
      </c>
      <c r="I402" s="4">
        <v>0.04</v>
      </c>
      <c r="J402" s="7">
        <v>2496</v>
      </c>
      <c r="K402" s="7">
        <f>Tabela1[[#This Row],[Valor Bruto]]-Tabela1[[#This Row],[Valor Venda]]</f>
        <v>104</v>
      </c>
      <c r="L402" s="1">
        <v>44077</v>
      </c>
      <c r="M402" s="1">
        <v>44077</v>
      </c>
      <c r="N402">
        <v>399</v>
      </c>
      <c r="O402">
        <v>2</v>
      </c>
      <c r="P402" t="s">
        <v>22</v>
      </c>
      <c r="Q402">
        <v>0.09</v>
      </c>
      <c r="R402" s="7">
        <v>224.64</v>
      </c>
      <c r="S402">
        <v>7</v>
      </c>
      <c r="T402" t="s">
        <v>115</v>
      </c>
    </row>
    <row r="403" spans="1:20">
      <c r="A403">
        <v>400</v>
      </c>
      <c r="B403" s="1">
        <v>44047</v>
      </c>
      <c r="C403">
        <v>43</v>
      </c>
      <c r="D403" t="s">
        <v>99</v>
      </c>
      <c r="E403" t="s">
        <v>41</v>
      </c>
      <c r="F403" s="8">
        <v>10</v>
      </c>
      <c r="G403" s="7">
        <v>106</v>
      </c>
      <c r="H403" s="7">
        <v>1060</v>
      </c>
      <c r="I403" s="4">
        <v>0.04</v>
      </c>
      <c r="J403" s="7">
        <v>1017.6</v>
      </c>
      <c r="K403" s="7">
        <f>Tabela1[[#This Row],[Valor Bruto]]-Tabela1[[#This Row],[Valor Venda]]</f>
        <v>42.399999999999977</v>
      </c>
      <c r="L403" s="1">
        <v>44057</v>
      </c>
      <c r="M403" s="1">
        <v>44057</v>
      </c>
      <c r="N403">
        <v>400</v>
      </c>
      <c r="O403">
        <v>6</v>
      </c>
      <c r="P403" t="s">
        <v>32</v>
      </c>
      <c r="Q403">
        <v>0.08</v>
      </c>
      <c r="R403" s="7">
        <v>81.408000000000001</v>
      </c>
      <c r="S403">
        <v>1</v>
      </c>
      <c r="T403" t="s">
        <v>115</v>
      </c>
    </row>
    <row r="404" spans="1:20">
      <c r="A404">
        <v>401</v>
      </c>
      <c r="B404" s="1">
        <v>44047</v>
      </c>
      <c r="C404">
        <v>27</v>
      </c>
      <c r="D404" t="s">
        <v>101</v>
      </c>
      <c r="E404" t="s">
        <v>31</v>
      </c>
      <c r="F404" s="8">
        <v>47</v>
      </c>
      <c r="G404" s="7">
        <v>119</v>
      </c>
      <c r="H404" s="7">
        <v>5593</v>
      </c>
      <c r="I404" s="4">
        <v>0.1</v>
      </c>
      <c r="J404" s="7">
        <v>5033.7</v>
      </c>
      <c r="K404" s="7">
        <f>Tabela1[[#This Row],[Valor Bruto]]-Tabela1[[#This Row],[Valor Venda]]</f>
        <v>559.30000000000018</v>
      </c>
      <c r="L404" s="1">
        <v>44058</v>
      </c>
      <c r="M404" s="1">
        <v>44058</v>
      </c>
      <c r="N404">
        <v>401</v>
      </c>
      <c r="O404">
        <v>5</v>
      </c>
      <c r="P404" t="s">
        <v>52</v>
      </c>
      <c r="Q404">
        <v>0.08</v>
      </c>
      <c r="R404" s="7">
        <v>402.69599999999997</v>
      </c>
      <c r="S404">
        <v>2</v>
      </c>
      <c r="T404" t="s">
        <v>115</v>
      </c>
    </row>
    <row r="405" spans="1:20">
      <c r="A405">
        <v>402</v>
      </c>
      <c r="B405" s="1">
        <v>44047</v>
      </c>
      <c r="C405">
        <v>52</v>
      </c>
      <c r="D405" t="s">
        <v>23</v>
      </c>
      <c r="E405" t="s">
        <v>50</v>
      </c>
      <c r="F405" s="8">
        <v>21</v>
      </c>
      <c r="G405" s="7">
        <v>92</v>
      </c>
      <c r="H405" s="7">
        <v>1932</v>
      </c>
      <c r="I405" s="4">
        <v>0.02</v>
      </c>
      <c r="J405" s="7">
        <v>1893.36</v>
      </c>
      <c r="K405" s="7">
        <f>Tabela1[[#This Row],[Valor Bruto]]-Tabela1[[#This Row],[Valor Venda]]</f>
        <v>38.6400000000001</v>
      </c>
      <c r="L405" s="1">
        <v>44048</v>
      </c>
      <c r="M405" s="1">
        <v>44048</v>
      </c>
      <c r="N405">
        <v>402</v>
      </c>
      <c r="O405">
        <v>7</v>
      </c>
      <c r="P405" t="s">
        <v>52</v>
      </c>
      <c r="Q405">
        <v>0.09</v>
      </c>
      <c r="R405" s="7">
        <v>170.40239999999997</v>
      </c>
      <c r="S405">
        <v>3</v>
      </c>
      <c r="T405" t="s">
        <v>115</v>
      </c>
    </row>
    <row r="406" spans="1:20">
      <c r="A406">
        <v>403</v>
      </c>
      <c r="B406" s="1">
        <v>44047</v>
      </c>
      <c r="C406">
        <v>78</v>
      </c>
      <c r="D406" t="s">
        <v>36</v>
      </c>
      <c r="E406" t="s">
        <v>50</v>
      </c>
      <c r="F406" s="8">
        <v>18</v>
      </c>
      <c r="G406" s="7">
        <v>104</v>
      </c>
      <c r="H406" s="7">
        <v>1872</v>
      </c>
      <c r="I406" s="4">
        <v>0.11</v>
      </c>
      <c r="J406" s="7">
        <v>1666.08</v>
      </c>
      <c r="K406" s="7">
        <f>Tabela1[[#This Row],[Valor Bruto]]-Tabela1[[#This Row],[Valor Venda]]</f>
        <v>205.92000000000007</v>
      </c>
      <c r="L406" s="1">
        <v>44067</v>
      </c>
      <c r="M406" s="1">
        <v>44067</v>
      </c>
      <c r="N406">
        <v>403</v>
      </c>
      <c r="O406">
        <v>5</v>
      </c>
      <c r="P406" t="s">
        <v>32</v>
      </c>
      <c r="Q406">
        <v>7.0000000000000007E-2</v>
      </c>
      <c r="R406" s="7">
        <v>116.62560000000001</v>
      </c>
      <c r="S406">
        <v>4</v>
      </c>
      <c r="T406" t="s">
        <v>115</v>
      </c>
    </row>
    <row r="407" spans="1:20">
      <c r="A407">
        <v>404</v>
      </c>
      <c r="B407" s="1">
        <v>44048</v>
      </c>
      <c r="C407">
        <v>29</v>
      </c>
      <c r="D407" t="s">
        <v>98</v>
      </c>
      <c r="E407" t="s">
        <v>21</v>
      </c>
      <c r="F407" s="8">
        <v>25</v>
      </c>
      <c r="G407" s="7">
        <v>118</v>
      </c>
      <c r="H407" s="7">
        <v>2950</v>
      </c>
      <c r="I407" s="4">
        <v>0.02</v>
      </c>
      <c r="J407" s="7">
        <v>2891</v>
      </c>
      <c r="K407" s="7">
        <f>Tabela1[[#This Row],[Valor Bruto]]-Tabela1[[#This Row],[Valor Venda]]</f>
        <v>59</v>
      </c>
      <c r="L407" s="1">
        <v>44076</v>
      </c>
      <c r="M407" s="1">
        <v>44076</v>
      </c>
      <c r="N407">
        <v>404</v>
      </c>
      <c r="O407">
        <v>5</v>
      </c>
      <c r="P407" t="s">
        <v>47</v>
      </c>
      <c r="Q407">
        <v>0.08</v>
      </c>
      <c r="R407" s="7">
        <v>231.28</v>
      </c>
      <c r="S407">
        <v>5</v>
      </c>
      <c r="T407" t="s">
        <v>115</v>
      </c>
    </row>
    <row r="408" spans="1:20">
      <c r="A408">
        <v>405</v>
      </c>
      <c r="B408" s="1">
        <v>44048</v>
      </c>
      <c r="C408">
        <v>88</v>
      </c>
      <c r="D408" t="s">
        <v>38</v>
      </c>
      <c r="E408" t="s">
        <v>24</v>
      </c>
      <c r="F408" s="8">
        <v>27</v>
      </c>
      <c r="G408" s="7">
        <v>120</v>
      </c>
      <c r="H408" s="7">
        <v>3240</v>
      </c>
      <c r="I408" s="4">
        <v>7.0000000000000007E-2</v>
      </c>
      <c r="J408" s="7">
        <v>3013.2</v>
      </c>
      <c r="K408" s="7">
        <f>Tabela1[[#This Row],[Valor Bruto]]-Tabela1[[#This Row],[Valor Venda]]</f>
        <v>226.80000000000018</v>
      </c>
      <c r="L408" s="1">
        <v>44072</v>
      </c>
      <c r="M408" s="1">
        <v>44072</v>
      </c>
      <c r="N408">
        <v>405</v>
      </c>
      <c r="O408">
        <v>3</v>
      </c>
      <c r="P408" t="s">
        <v>29</v>
      </c>
      <c r="Q408">
        <v>7.0000000000000007E-2</v>
      </c>
      <c r="R408" s="7">
        <v>210.92400000000001</v>
      </c>
      <c r="S408">
        <v>6</v>
      </c>
      <c r="T408" t="s">
        <v>115</v>
      </c>
    </row>
    <row r="409" spans="1:20">
      <c r="A409">
        <v>406</v>
      </c>
      <c r="B409" s="1">
        <v>44048</v>
      </c>
      <c r="C409">
        <v>69</v>
      </c>
      <c r="D409" t="s">
        <v>67</v>
      </c>
      <c r="E409" t="s">
        <v>46</v>
      </c>
      <c r="F409" s="8">
        <v>49</v>
      </c>
      <c r="G409" s="7">
        <v>93</v>
      </c>
      <c r="H409" s="7">
        <v>4557</v>
      </c>
      <c r="I409" s="4">
        <v>0.13</v>
      </c>
      <c r="J409" s="7">
        <v>3964.59</v>
      </c>
      <c r="K409" s="7">
        <f>Tabela1[[#This Row],[Valor Bruto]]-Tabela1[[#This Row],[Valor Venda]]</f>
        <v>592.40999999999985</v>
      </c>
      <c r="L409" s="1">
        <v>44068</v>
      </c>
      <c r="M409" s="1">
        <v>44068</v>
      </c>
      <c r="N409">
        <v>406</v>
      </c>
      <c r="O409">
        <v>2</v>
      </c>
      <c r="P409" t="s">
        <v>69</v>
      </c>
      <c r="Q409">
        <v>7.0000000000000007E-2</v>
      </c>
      <c r="R409" s="7">
        <v>277.52130000000005</v>
      </c>
      <c r="S409">
        <v>7</v>
      </c>
      <c r="T409" t="s">
        <v>115</v>
      </c>
    </row>
    <row r="410" spans="1:20">
      <c r="A410">
        <v>407</v>
      </c>
      <c r="B410" s="1">
        <v>44048</v>
      </c>
      <c r="C410">
        <v>60</v>
      </c>
      <c r="D410" t="s">
        <v>82</v>
      </c>
      <c r="E410" t="s">
        <v>31</v>
      </c>
      <c r="F410" s="8">
        <v>15</v>
      </c>
      <c r="G410" s="7">
        <v>109</v>
      </c>
      <c r="H410" s="7">
        <v>1635</v>
      </c>
      <c r="I410" s="4">
        <v>0.1</v>
      </c>
      <c r="J410" s="7">
        <v>1471.5</v>
      </c>
      <c r="K410" s="7">
        <f>Tabela1[[#This Row],[Valor Bruto]]-Tabela1[[#This Row],[Valor Venda]]</f>
        <v>163.5</v>
      </c>
      <c r="L410" s="1">
        <v>44051</v>
      </c>
      <c r="M410" s="1">
        <v>44051</v>
      </c>
      <c r="N410">
        <v>407</v>
      </c>
      <c r="O410">
        <v>5</v>
      </c>
      <c r="P410" t="s">
        <v>29</v>
      </c>
      <c r="Q410">
        <v>0.09</v>
      </c>
      <c r="R410" s="7">
        <v>132.435</v>
      </c>
      <c r="S410">
        <v>1</v>
      </c>
      <c r="T410" t="s">
        <v>115</v>
      </c>
    </row>
    <row r="411" spans="1:20">
      <c r="A411">
        <v>408</v>
      </c>
      <c r="B411" s="1">
        <v>44048</v>
      </c>
      <c r="C411">
        <v>62</v>
      </c>
      <c r="D411" t="s">
        <v>38</v>
      </c>
      <c r="E411" t="s">
        <v>21</v>
      </c>
      <c r="F411" s="8">
        <v>30</v>
      </c>
      <c r="G411" s="7">
        <v>109</v>
      </c>
      <c r="H411" s="7">
        <v>3270</v>
      </c>
      <c r="I411" s="4">
        <v>0.13</v>
      </c>
      <c r="J411" s="7">
        <v>2844.9</v>
      </c>
      <c r="K411" s="7">
        <f>Tabela1[[#This Row],[Valor Bruto]]-Tabela1[[#This Row],[Valor Venda]]</f>
        <v>425.09999999999991</v>
      </c>
      <c r="L411" s="1">
        <v>44050</v>
      </c>
      <c r="M411" s="1">
        <v>44050</v>
      </c>
      <c r="N411">
        <v>408</v>
      </c>
      <c r="O411">
        <v>1</v>
      </c>
      <c r="P411" t="s">
        <v>52</v>
      </c>
      <c r="Q411">
        <v>0.09</v>
      </c>
      <c r="R411" s="7">
        <v>256.041</v>
      </c>
      <c r="S411">
        <v>2</v>
      </c>
      <c r="T411" t="s">
        <v>115</v>
      </c>
    </row>
    <row r="412" spans="1:20">
      <c r="A412">
        <v>409</v>
      </c>
      <c r="B412" s="1">
        <v>44049</v>
      </c>
      <c r="C412">
        <v>41</v>
      </c>
      <c r="D412" t="s">
        <v>68</v>
      </c>
      <c r="E412" t="s">
        <v>24</v>
      </c>
      <c r="F412" s="8">
        <v>21</v>
      </c>
      <c r="G412" s="7">
        <v>101</v>
      </c>
      <c r="H412" s="7">
        <v>2121</v>
      </c>
      <c r="I412" s="4">
        <v>0.1</v>
      </c>
      <c r="J412" s="7">
        <v>1908.9</v>
      </c>
      <c r="K412" s="7">
        <f>Tabela1[[#This Row],[Valor Bruto]]-Tabela1[[#This Row],[Valor Venda]]</f>
        <v>212.09999999999991</v>
      </c>
      <c r="L412" s="1">
        <v>44059</v>
      </c>
      <c r="M412" s="1">
        <v>44059</v>
      </c>
      <c r="N412">
        <v>409</v>
      </c>
      <c r="O412">
        <v>5</v>
      </c>
      <c r="P412" t="s">
        <v>52</v>
      </c>
      <c r="Q412">
        <v>0.09</v>
      </c>
      <c r="R412" s="7">
        <v>171.80099999999999</v>
      </c>
      <c r="S412">
        <v>3</v>
      </c>
      <c r="T412" t="s">
        <v>115</v>
      </c>
    </row>
    <row r="413" spans="1:20">
      <c r="A413">
        <v>410</v>
      </c>
      <c r="B413" s="1">
        <v>44050</v>
      </c>
      <c r="C413">
        <v>1</v>
      </c>
      <c r="D413" t="s">
        <v>93</v>
      </c>
      <c r="E413" t="s">
        <v>50</v>
      </c>
      <c r="F413" s="8">
        <v>15</v>
      </c>
      <c r="G413" s="7">
        <v>107</v>
      </c>
      <c r="H413" s="7">
        <v>1605</v>
      </c>
      <c r="I413" s="4">
        <v>0.05</v>
      </c>
      <c r="J413" s="7">
        <v>1524.75</v>
      </c>
      <c r="K413" s="7">
        <f>Tabela1[[#This Row],[Valor Bruto]]-Tabela1[[#This Row],[Valor Venda]]</f>
        <v>80.25</v>
      </c>
      <c r="L413" s="1">
        <v>44059</v>
      </c>
      <c r="M413" s="1">
        <v>44059</v>
      </c>
      <c r="N413">
        <v>410</v>
      </c>
      <c r="O413">
        <v>5</v>
      </c>
      <c r="P413" t="s">
        <v>25</v>
      </c>
      <c r="Q413">
        <v>0.09</v>
      </c>
      <c r="R413" s="7">
        <v>137.22749999999999</v>
      </c>
      <c r="S413">
        <v>4</v>
      </c>
      <c r="T413" t="s">
        <v>115</v>
      </c>
    </row>
    <row r="414" spans="1:20">
      <c r="A414">
        <v>411</v>
      </c>
      <c r="B414" s="1">
        <v>44050</v>
      </c>
      <c r="C414">
        <v>8</v>
      </c>
      <c r="D414" t="s">
        <v>38</v>
      </c>
      <c r="E414" t="s">
        <v>50</v>
      </c>
      <c r="F414" s="8">
        <v>21</v>
      </c>
      <c r="G414" s="7">
        <v>92</v>
      </c>
      <c r="H414" s="7">
        <v>1932</v>
      </c>
      <c r="I414" s="4">
        <v>0.06</v>
      </c>
      <c r="J414" s="7">
        <v>1816.08</v>
      </c>
      <c r="K414" s="7">
        <f>Tabela1[[#This Row],[Valor Bruto]]-Tabela1[[#This Row],[Valor Venda]]</f>
        <v>115.92000000000007</v>
      </c>
      <c r="L414" s="1">
        <v>44064</v>
      </c>
      <c r="M414" s="1">
        <v>44064</v>
      </c>
      <c r="N414">
        <v>411</v>
      </c>
      <c r="O414">
        <v>2</v>
      </c>
      <c r="P414" t="s">
        <v>29</v>
      </c>
      <c r="Q414">
        <v>0.1</v>
      </c>
      <c r="R414" s="7">
        <v>181.608</v>
      </c>
      <c r="S414">
        <v>5</v>
      </c>
      <c r="T414" t="s">
        <v>115</v>
      </c>
    </row>
    <row r="415" spans="1:20">
      <c r="A415">
        <v>412</v>
      </c>
      <c r="B415" s="1">
        <v>44050</v>
      </c>
      <c r="C415">
        <v>52</v>
      </c>
      <c r="D415" t="s">
        <v>23</v>
      </c>
      <c r="E415" t="s">
        <v>50</v>
      </c>
      <c r="F415" s="8">
        <v>39</v>
      </c>
      <c r="G415" s="7">
        <v>105</v>
      </c>
      <c r="H415" s="7">
        <v>4095</v>
      </c>
      <c r="I415" s="4">
        <v>0.08</v>
      </c>
      <c r="J415" s="7">
        <v>3767.4</v>
      </c>
      <c r="K415" s="7">
        <f>Tabela1[[#This Row],[Valor Bruto]]-Tabela1[[#This Row],[Valor Venda]]</f>
        <v>327.59999999999991</v>
      </c>
      <c r="L415" s="1">
        <v>44065</v>
      </c>
      <c r="M415" s="1">
        <v>44065</v>
      </c>
      <c r="N415">
        <v>412</v>
      </c>
      <c r="O415">
        <v>5</v>
      </c>
      <c r="P415" t="s">
        <v>32</v>
      </c>
      <c r="Q415">
        <v>0.09</v>
      </c>
      <c r="R415" s="7">
        <v>339.06599999999997</v>
      </c>
      <c r="S415">
        <v>6</v>
      </c>
      <c r="T415" t="s">
        <v>115</v>
      </c>
    </row>
    <row r="416" spans="1:20">
      <c r="A416">
        <v>413</v>
      </c>
      <c r="B416" s="1">
        <v>44050</v>
      </c>
      <c r="C416">
        <v>39</v>
      </c>
      <c r="D416" t="s">
        <v>38</v>
      </c>
      <c r="E416" t="s">
        <v>50</v>
      </c>
      <c r="F416" s="8">
        <v>45</v>
      </c>
      <c r="G416" s="7">
        <v>113</v>
      </c>
      <c r="H416" s="7">
        <v>5085</v>
      </c>
      <c r="I416" s="4">
        <v>0</v>
      </c>
      <c r="J416" s="7">
        <v>5085</v>
      </c>
      <c r="K416" s="7">
        <f>Tabela1[[#This Row],[Valor Bruto]]-Tabela1[[#This Row],[Valor Venda]]</f>
        <v>0</v>
      </c>
      <c r="L416" s="1">
        <v>44053</v>
      </c>
      <c r="M416" s="1">
        <v>44053</v>
      </c>
      <c r="N416">
        <v>413</v>
      </c>
      <c r="O416">
        <v>7</v>
      </c>
      <c r="P416" t="s">
        <v>34</v>
      </c>
      <c r="Q416">
        <v>7.0000000000000007E-2</v>
      </c>
      <c r="R416" s="7">
        <v>355.95000000000005</v>
      </c>
      <c r="S416">
        <v>7</v>
      </c>
      <c r="T416" t="s">
        <v>115</v>
      </c>
    </row>
    <row r="417" spans="1:20">
      <c r="A417">
        <v>414</v>
      </c>
      <c r="B417" s="1">
        <v>44053</v>
      </c>
      <c r="C417">
        <v>87</v>
      </c>
      <c r="D417" t="s">
        <v>40</v>
      </c>
      <c r="E417" t="s">
        <v>50</v>
      </c>
      <c r="F417" s="8">
        <v>15</v>
      </c>
      <c r="G417" s="7">
        <v>91</v>
      </c>
      <c r="H417" s="7">
        <v>1365</v>
      </c>
      <c r="I417" s="4">
        <v>0.06</v>
      </c>
      <c r="J417" s="7">
        <v>1283.0999999999999</v>
      </c>
      <c r="K417" s="7">
        <f>Tabela1[[#This Row],[Valor Bruto]]-Tabela1[[#This Row],[Valor Venda]]</f>
        <v>81.900000000000091</v>
      </c>
      <c r="L417" s="1">
        <v>44066</v>
      </c>
      <c r="M417" s="1">
        <v>44066</v>
      </c>
      <c r="N417">
        <v>414</v>
      </c>
      <c r="O417">
        <v>3</v>
      </c>
      <c r="P417" t="s">
        <v>43</v>
      </c>
      <c r="Q417">
        <v>0.05</v>
      </c>
      <c r="R417" s="7">
        <v>64.155000000000001</v>
      </c>
      <c r="S417">
        <v>1</v>
      </c>
      <c r="T417" t="s">
        <v>115</v>
      </c>
    </row>
    <row r="418" spans="1:20">
      <c r="A418">
        <v>415</v>
      </c>
      <c r="B418" s="1">
        <v>44053</v>
      </c>
      <c r="C418">
        <v>24</v>
      </c>
      <c r="D418" t="s">
        <v>74</v>
      </c>
      <c r="E418" t="s">
        <v>31</v>
      </c>
      <c r="F418" s="8">
        <v>15</v>
      </c>
      <c r="G418" s="7">
        <v>110</v>
      </c>
      <c r="H418" s="7">
        <v>1650</v>
      </c>
      <c r="I418" s="4">
        <v>0.01</v>
      </c>
      <c r="J418" s="7">
        <v>1633.5</v>
      </c>
      <c r="K418" s="7">
        <f>Tabela1[[#This Row],[Valor Bruto]]-Tabela1[[#This Row],[Valor Venda]]</f>
        <v>16.5</v>
      </c>
      <c r="L418" s="1">
        <v>44079</v>
      </c>
      <c r="M418" s="1">
        <v>44079</v>
      </c>
      <c r="N418">
        <v>415</v>
      </c>
      <c r="O418">
        <v>2</v>
      </c>
      <c r="P418" t="s">
        <v>37</v>
      </c>
      <c r="Q418">
        <v>0.09</v>
      </c>
      <c r="R418" s="7">
        <v>147.01499999999999</v>
      </c>
      <c r="S418">
        <v>2</v>
      </c>
      <c r="T418" t="s">
        <v>115</v>
      </c>
    </row>
    <row r="419" spans="1:20">
      <c r="A419">
        <v>416</v>
      </c>
      <c r="B419" s="1">
        <v>44054</v>
      </c>
      <c r="C419">
        <v>13</v>
      </c>
      <c r="D419" t="s">
        <v>75</v>
      </c>
      <c r="E419" t="s">
        <v>46</v>
      </c>
      <c r="F419" s="8">
        <v>38</v>
      </c>
      <c r="G419" s="7">
        <v>111</v>
      </c>
      <c r="H419" s="7">
        <v>4218</v>
      </c>
      <c r="I419" s="4">
        <v>0.08</v>
      </c>
      <c r="J419" s="7">
        <v>3880.56</v>
      </c>
      <c r="K419" s="7">
        <f>Tabela1[[#This Row],[Valor Bruto]]-Tabela1[[#This Row],[Valor Venda]]</f>
        <v>337.44000000000005</v>
      </c>
      <c r="L419" s="1">
        <v>44082</v>
      </c>
      <c r="M419" s="1">
        <v>44082</v>
      </c>
      <c r="N419">
        <v>416</v>
      </c>
      <c r="O419">
        <v>4</v>
      </c>
      <c r="P419" t="s">
        <v>47</v>
      </c>
      <c r="Q419">
        <v>0.06</v>
      </c>
      <c r="R419" s="7">
        <v>232.83359999999999</v>
      </c>
      <c r="S419">
        <v>3</v>
      </c>
      <c r="T419" t="s">
        <v>115</v>
      </c>
    </row>
    <row r="420" spans="1:20">
      <c r="A420">
        <v>417</v>
      </c>
      <c r="B420" s="1">
        <v>44056</v>
      </c>
      <c r="C420">
        <v>25</v>
      </c>
      <c r="D420" t="s">
        <v>63</v>
      </c>
      <c r="E420" t="s">
        <v>28</v>
      </c>
      <c r="F420" s="8">
        <v>13</v>
      </c>
      <c r="G420" s="7">
        <v>115</v>
      </c>
      <c r="H420" s="7">
        <v>1495</v>
      </c>
      <c r="I420" s="4">
        <v>0.14000000000000001</v>
      </c>
      <c r="J420" s="7">
        <v>1285.7</v>
      </c>
      <c r="K420" s="7">
        <f>Tabela1[[#This Row],[Valor Bruto]]-Tabela1[[#This Row],[Valor Venda]]</f>
        <v>209.29999999999995</v>
      </c>
      <c r="L420" s="1">
        <v>44076</v>
      </c>
      <c r="M420" s="1">
        <v>44076</v>
      </c>
      <c r="N420">
        <v>417</v>
      </c>
      <c r="O420">
        <v>7</v>
      </c>
      <c r="P420" t="s">
        <v>29</v>
      </c>
      <c r="Q420">
        <v>0.1</v>
      </c>
      <c r="R420" s="7">
        <v>128.57000000000002</v>
      </c>
      <c r="S420">
        <v>4</v>
      </c>
      <c r="T420" t="s">
        <v>115</v>
      </c>
    </row>
    <row r="421" spans="1:20">
      <c r="A421">
        <v>418</v>
      </c>
      <c r="B421" s="1">
        <v>44056</v>
      </c>
      <c r="C421">
        <v>88</v>
      </c>
      <c r="D421" t="s">
        <v>38</v>
      </c>
      <c r="E421" t="s">
        <v>24</v>
      </c>
      <c r="F421" s="8">
        <v>39</v>
      </c>
      <c r="G421" s="7">
        <v>112</v>
      </c>
      <c r="H421" s="7">
        <v>4368</v>
      </c>
      <c r="I421" s="4">
        <v>0.04</v>
      </c>
      <c r="J421" s="7">
        <v>4193.28</v>
      </c>
      <c r="K421" s="7">
        <f>Tabela1[[#This Row],[Valor Bruto]]-Tabela1[[#This Row],[Valor Venda]]</f>
        <v>174.72000000000025</v>
      </c>
      <c r="L421" s="1">
        <v>44063</v>
      </c>
      <c r="M421" s="1">
        <v>44063</v>
      </c>
      <c r="N421">
        <v>418</v>
      </c>
      <c r="O421">
        <v>5</v>
      </c>
      <c r="P421" t="s">
        <v>22</v>
      </c>
      <c r="Q421">
        <v>0.09</v>
      </c>
      <c r="R421" s="7">
        <v>377.39519999999999</v>
      </c>
      <c r="S421">
        <v>5</v>
      </c>
      <c r="T421" t="s">
        <v>115</v>
      </c>
    </row>
    <row r="422" spans="1:20">
      <c r="A422">
        <v>419</v>
      </c>
      <c r="B422" s="1">
        <v>44056</v>
      </c>
      <c r="C422">
        <v>78</v>
      </c>
      <c r="D422" t="s">
        <v>36</v>
      </c>
      <c r="E422" t="s">
        <v>54</v>
      </c>
      <c r="F422" s="8">
        <v>19</v>
      </c>
      <c r="G422" s="7">
        <v>103</v>
      </c>
      <c r="H422" s="7">
        <v>1957</v>
      </c>
      <c r="I422" s="4">
        <v>0.01</v>
      </c>
      <c r="J422" s="7">
        <v>1937.43</v>
      </c>
      <c r="K422" s="7">
        <f>Tabela1[[#This Row],[Valor Bruto]]-Tabela1[[#This Row],[Valor Venda]]</f>
        <v>19.569999999999936</v>
      </c>
      <c r="L422" s="1">
        <v>44080</v>
      </c>
      <c r="M422" s="1">
        <v>44080</v>
      </c>
      <c r="N422">
        <v>419</v>
      </c>
      <c r="O422">
        <v>5</v>
      </c>
      <c r="P422" t="s">
        <v>43</v>
      </c>
      <c r="Q422">
        <v>0.06</v>
      </c>
      <c r="R422" s="7">
        <v>116.2458</v>
      </c>
      <c r="S422">
        <v>6</v>
      </c>
      <c r="T422" t="s">
        <v>115</v>
      </c>
    </row>
    <row r="423" spans="1:20">
      <c r="A423">
        <v>420</v>
      </c>
      <c r="B423" s="1">
        <v>44056</v>
      </c>
      <c r="C423">
        <v>32</v>
      </c>
      <c r="D423" t="s">
        <v>77</v>
      </c>
      <c r="E423" t="s">
        <v>24</v>
      </c>
      <c r="F423" s="8">
        <v>46</v>
      </c>
      <c r="G423" s="7">
        <v>95</v>
      </c>
      <c r="H423" s="7">
        <v>4370</v>
      </c>
      <c r="I423" s="4">
        <v>0.05</v>
      </c>
      <c r="J423" s="7">
        <v>4151.5</v>
      </c>
      <c r="K423" s="7">
        <f>Tabela1[[#This Row],[Valor Bruto]]-Tabela1[[#This Row],[Valor Venda]]</f>
        <v>218.5</v>
      </c>
      <c r="L423" s="1">
        <v>44070</v>
      </c>
      <c r="M423" s="1">
        <v>44070</v>
      </c>
      <c r="N423">
        <v>420</v>
      </c>
      <c r="O423">
        <v>7</v>
      </c>
      <c r="P423" t="s">
        <v>69</v>
      </c>
      <c r="Q423">
        <v>0.05</v>
      </c>
      <c r="R423" s="7">
        <v>207.57500000000002</v>
      </c>
      <c r="S423">
        <v>7</v>
      </c>
      <c r="T423" t="s">
        <v>115</v>
      </c>
    </row>
    <row r="424" spans="1:20">
      <c r="A424">
        <v>421</v>
      </c>
      <c r="B424" s="1">
        <v>44057</v>
      </c>
      <c r="C424">
        <v>39</v>
      </c>
      <c r="D424" t="s">
        <v>38</v>
      </c>
      <c r="E424" t="s">
        <v>24</v>
      </c>
      <c r="F424" s="8">
        <v>47</v>
      </c>
      <c r="G424" s="7">
        <v>110</v>
      </c>
      <c r="H424" s="7">
        <v>5170</v>
      </c>
      <c r="I424" s="4">
        <v>0.12</v>
      </c>
      <c r="J424" s="7">
        <v>4549.6000000000004</v>
      </c>
      <c r="K424" s="7">
        <f>Tabela1[[#This Row],[Valor Bruto]]-Tabela1[[#This Row],[Valor Venda]]</f>
        <v>620.39999999999964</v>
      </c>
      <c r="L424" s="1">
        <v>44067</v>
      </c>
      <c r="M424" s="1">
        <v>44067</v>
      </c>
      <c r="N424">
        <v>421</v>
      </c>
      <c r="O424">
        <v>7</v>
      </c>
      <c r="P424" t="s">
        <v>43</v>
      </c>
      <c r="Q424">
        <v>0.1</v>
      </c>
      <c r="R424" s="7">
        <v>454.96000000000004</v>
      </c>
      <c r="S424">
        <v>1</v>
      </c>
      <c r="T424" t="s">
        <v>115</v>
      </c>
    </row>
    <row r="425" spans="1:20">
      <c r="A425">
        <v>422</v>
      </c>
      <c r="B425" s="1">
        <v>44057</v>
      </c>
      <c r="C425">
        <v>77</v>
      </c>
      <c r="D425" t="s">
        <v>65</v>
      </c>
      <c r="E425" t="s">
        <v>28</v>
      </c>
      <c r="F425" s="8">
        <v>21</v>
      </c>
      <c r="G425" s="7">
        <v>103</v>
      </c>
      <c r="H425" s="7">
        <v>2163</v>
      </c>
      <c r="I425" s="4">
        <v>0.12</v>
      </c>
      <c r="J425" s="7">
        <v>1903.44</v>
      </c>
      <c r="K425" s="7">
        <f>Tabela1[[#This Row],[Valor Bruto]]-Tabela1[[#This Row],[Valor Venda]]</f>
        <v>259.55999999999995</v>
      </c>
      <c r="L425" s="1">
        <v>44075</v>
      </c>
      <c r="M425" s="1">
        <v>44075</v>
      </c>
      <c r="N425">
        <v>422</v>
      </c>
      <c r="O425">
        <v>4</v>
      </c>
      <c r="P425" t="s">
        <v>43</v>
      </c>
      <c r="Q425">
        <v>0.1</v>
      </c>
      <c r="R425" s="7">
        <v>190.34400000000002</v>
      </c>
      <c r="S425">
        <v>2</v>
      </c>
      <c r="T425" t="s">
        <v>115</v>
      </c>
    </row>
    <row r="426" spans="1:20">
      <c r="A426">
        <v>423</v>
      </c>
      <c r="B426" s="1">
        <v>44058</v>
      </c>
      <c r="C426">
        <v>94</v>
      </c>
      <c r="D426" t="s">
        <v>49</v>
      </c>
      <c r="E426" t="s">
        <v>28</v>
      </c>
      <c r="F426" s="8">
        <v>22</v>
      </c>
      <c r="G426" s="7">
        <v>113</v>
      </c>
      <c r="H426" s="7">
        <v>2486</v>
      </c>
      <c r="I426" s="4">
        <v>0.13</v>
      </c>
      <c r="J426" s="7">
        <v>2162.8200000000002</v>
      </c>
      <c r="K426" s="7">
        <f>Tabela1[[#This Row],[Valor Bruto]]-Tabela1[[#This Row],[Valor Venda]]</f>
        <v>323.17999999999984</v>
      </c>
      <c r="L426" s="1">
        <v>44079</v>
      </c>
      <c r="M426" s="1">
        <v>44079</v>
      </c>
      <c r="N426">
        <v>423</v>
      </c>
      <c r="O426">
        <v>1</v>
      </c>
      <c r="P426" t="s">
        <v>47</v>
      </c>
      <c r="Q426">
        <v>0.05</v>
      </c>
      <c r="R426" s="7">
        <v>108.14100000000002</v>
      </c>
      <c r="S426">
        <v>3</v>
      </c>
      <c r="T426" t="s">
        <v>115</v>
      </c>
    </row>
    <row r="427" spans="1:20">
      <c r="A427">
        <v>424</v>
      </c>
      <c r="B427" s="1">
        <v>44058</v>
      </c>
      <c r="C427">
        <v>93</v>
      </c>
      <c r="D427" t="s">
        <v>33</v>
      </c>
      <c r="E427" t="s">
        <v>46</v>
      </c>
      <c r="F427" s="8">
        <v>36</v>
      </c>
      <c r="G427" s="7">
        <v>109</v>
      </c>
      <c r="H427" s="7">
        <v>3924</v>
      </c>
      <c r="I427" s="4">
        <v>0.03</v>
      </c>
      <c r="J427" s="7">
        <v>3806.28</v>
      </c>
      <c r="K427" s="7">
        <f>Tabela1[[#This Row],[Valor Bruto]]-Tabela1[[#This Row],[Valor Venda]]</f>
        <v>117.7199999999998</v>
      </c>
      <c r="L427" s="1">
        <v>44085</v>
      </c>
      <c r="M427" s="1">
        <v>44085</v>
      </c>
      <c r="N427">
        <v>424</v>
      </c>
      <c r="O427">
        <v>3</v>
      </c>
      <c r="P427" t="s">
        <v>52</v>
      </c>
      <c r="Q427">
        <v>0.06</v>
      </c>
      <c r="R427" s="7">
        <v>228.3768</v>
      </c>
      <c r="S427">
        <v>4</v>
      </c>
      <c r="T427" t="s">
        <v>115</v>
      </c>
    </row>
    <row r="428" spans="1:20">
      <c r="A428">
        <v>425</v>
      </c>
      <c r="B428" s="1">
        <v>44059</v>
      </c>
      <c r="C428">
        <v>32</v>
      </c>
      <c r="D428" t="s">
        <v>77</v>
      </c>
      <c r="E428" t="s">
        <v>31</v>
      </c>
      <c r="F428" s="8">
        <v>17</v>
      </c>
      <c r="G428" s="7">
        <v>116</v>
      </c>
      <c r="H428" s="7">
        <v>1972</v>
      </c>
      <c r="I428" s="4">
        <v>0.05</v>
      </c>
      <c r="J428" s="7">
        <v>1873.4</v>
      </c>
      <c r="K428" s="7">
        <f>Tabela1[[#This Row],[Valor Bruto]]-Tabela1[[#This Row],[Valor Venda]]</f>
        <v>98.599999999999909</v>
      </c>
      <c r="L428" s="1">
        <v>44060</v>
      </c>
      <c r="M428" s="1">
        <v>44060</v>
      </c>
      <c r="N428">
        <v>425</v>
      </c>
      <c r="O428">
        <v>3</v>
      </c>
      <c r="P428" t="s">
        <v>47</v>
      </c>
      <c r="Q428">
        <v>0.05</v>
      </c>
      <c r="R428" s="7">
        <v>93.670000000000016</v>
      </c>
      <c r="S428">
        <v>5</v>
      </c>
      <c r="T428" t="s">
        <v>115</v>
      </c>
    </row>
    <row r="429" spans="1:20">
      <c r="A429">
        <v>426</v>
      </c>
      <c r="B429" s="1">
        <v>44059</v>
      </c>
      <c r="C429">
        <v>14</v>
      </c>
      <c r="D429" t="s">
        <v>27</v>
      </c>
      <c r="E429" t="s">
        <v>28</v>
      </c>
      <c r="F429" s="8">
        <v>46</v>
      </c>
      <c r="G429" s="7">
        <v>100</v>
      </c>
      <c r="H429" s="7">
        <v>4600</v>
      </c>
      <c r="I429" s="4">
        <v>0.04</v>
      </c>
      <c r="J429" s="7">
        <v>4416</v>
      </c>
      <c r="K429" s="7">
        <f>Tabela1[[#This Row],[Valor Bruto]]-Tabela1[[#This Row],[Valor Venda]]</f>
        <v>184</v>
      </c>
      <c r="L429" s="1">
        <v>44083</v>
      </c>
      <c r="M429" s="1">
        <v>44083</v>
      </c>
      <c r="N429">
        <v>426</v>
      </c>
      <c r="O429">
        <v>4</v>
      </c>
      <c r="P429" t="s">
        <v>29</v>
      </c>
      <c r="Q429">
        <v>0.09</v>
      </c>
      <c r="R429" s="7">
        <v>397.44</v>
      </c>
      <c r="S429">
        <v>6</v>
      </c>
      <c r="T429" t="s">
        <v>115</v>
      </c>
    </row>
    <row r="430" spans="1:20">
      <c r="A430">
        <v>427</v>
      </c>
      <c r="B430" s="1">
        <v>44060</v>
      </c>
      <c r="C430">
        <v>79</v>
      </c>
      <c r="D430" t="s">
        <v>33</v>
      </c>
      <c r="E430" t="s">
        <v>28</v>
      </c>
      <c r="F430" s="8">
        <v>20</v>
      </c>
      <c r="G430" s="7">
        <v>103</v>
      </c>
      <c r="H430" s="7">
        <v>2060</v>
      </c>
      <c r="I430" s="4">
        <v>7.0000000000000007E-2</v>
      </c>
      <c r="J430" s="7">
        <v>1915.8</v>
      </c>
      <c r="K430" s="7">
        <f>Tabela1[[#This Row],[Valor Bruto]]-Tabela1[[#This Row],[Valor Venda]]</f>
        <v>144.20000000000005</v>
      </c>
      <c r="L430" s="1">
        <v>44066</v>
      </c>
      <c r="M430" s="1">
        <v>44066</v>
      </c>
      <c r="N430">
        <v>427</v>
      </c>
      <c r="O430">
        <v>2</v>
      </c>
      <c r="P430" t="s">
        <v>37</v>
      </c>
      <c r="Q430">
        <v>0.1</v>
      </c>
      <c r="R430" s="7">
        <v>191.58</v>
      </c>
      <c r="S430">
        <v>7</v>
      </c>
      <c r="T430" t="s">
        <v>115</v>
      </c>
    </row>
    <row r="431" spans="1:20">
      <c r="A431">
        <v>428</v>
      </c>
      <c r="B431" s="1">
        <v>44060</v>
      </c>
      <c r="C431">
        <v>31</v>
      </c>
      <c r="D431" t="s">
        <v>85</v>
      </c>
      <c r="E431" t="s">
        <v>59</v>
      </c>
      <c r="F431" s="8">
        <v>10</v>
      </c>
      <c r="G431" s="7">
        <v>94</v>
      </c>
      <c r="H431" s="7">
        <v>940</v>
      </c>
      <c r="I431" s="4">
        <v>0.04</v>
      </c>
      <c r="J431" s="7">
        <v>902.4</v>
      </c>
      <c r="K431" s="7">
        <f>Tabela1[[#This Row],[Valor Bruto]]-Tabela1[[#This Row],[Valor Venda]]</f>
        <v>37.600000000000023</v>
      </c>
      <c r="L431" s="1">
        <v>44071</v>
      </c>
      <c r="M431" s="1">
        <v>44071</v>
      </c>
      <c r="N431">
        <v>428</v>
      </c>
      <c r="O431">
        <v>5</v>
      </c>
      <c r="P431" t="s">
        <v>69</v>
      </c>
      <c r="Q431">
        <v>0.05</v>
      </c>
      <c r="R431" s="7">
        <v>45.120000000000005</v>
      </c>
      <c r="S431">
        <v>1</v>
      </c>
      <c r="T431" t="s">
        <v>115</v>
      </c>
    </row>
    <row r="432" spans="1:20">
      <c r="A432">
        <v>429</v>
      </c>
      <c r="B432" s="1">
        <v>44060</v>
      </c>
      <c r="C432">
        <v>76</v>
      </c>
      <c r="D432" t="s">
        <v>104</v>
      </c>
      <c r="E432" t="s">
        <v>28</v>
      </c>
      <c r="F432" s="8">
        <v>37</v>
      </c>
      <c r="G432" s="7">
        <v>93</v>
      </c>
      <c r="H432" s="7">
        <v>3441</v>
      </c>
      <c r="I432" s="4">
        <v>0.06</v>
      </c>
      <c r="J432" s="7">
        <v>3234.54</v>
      </c>
      <c r="K432" s="7">
        <f>Tabela1[[#This Row],[Valor Bruto]]-Tabela1[[#This Row],[Valor Venda]]</f>
        <v>206.46000000000004</v>
      </c>
      <c r="L432" s="1">
        <v>44088</v>
      </c>
      <c r="M432" s="1">
        <v>44088</v>
      </c>
      <c r="N432">
        <v>429</v>
      </c>
      <c r="O432">
        <v>1</v>
      </c>
      <c r="P432" t="s">
        <v>32</v>
      </c>
      <c r="Q432">
        <v>0.1</v>
      </c>
      <c r="R432" s="7">
        <v>323.45400000000001</v>
      </c>
      <c r="S432">
        <v>2</v>
      </c>
      <c r="T432" t="s">
        <v>115</v>
      </c>
    </row>
    <row r="433" spans="1:20">
      <c r="A433">
        <v>430</v>
      </c>
      <c r="B433" s="1">
        <v>44061</v>
      </c>
      <c r="C433">
        <v>32</v>
      </c>
      <c r="D433" t="s">
        <v>77</v>
      </c>
      <c r="E433" t="s">
        <v>59</v>
      </c>
      <c r="F433" s="8">
        <v>25</v>
      </c>
      <c r="G433" s="7">
        <v>111</v>
      </c>
      <c r="H433" s="7">
        <v>2775</v>
      </c>
      <c r="I433" s="4">
        <v>7.0000000000000007E-2</v>
      </c>
      <c r="J433" s="7">
        <v>2580.75</v>
      </c>
      <c r="K433" s="7">
        <f>Tabela1[[#This Row],[Valor Bruto]]-Tabela1[[#This Row],[Valor Venda]]</f>
        <v>194.25</v>
      </c>
      <c r="L433" s="1">
        <v>44090</v>
      </c>
      <c r="M433" s="1">
        <v>44090</v>
      </c>
      <c r="N433">
        <v>430</v>
      </c>
      <c r="O433">
        <v>4</v>
      </c>
      <c r="P433" t="s">
        <v>47</v>
      </c>
      <c r="Q433">
        <v>0.05</v>
      </c>
      <c r="R433" s="7">
        <v>129.03749999999999</v>
      </c>
      <c r="S433">
        <v>3</v>
      </c>
      <c r="T433" t="s">
        <v>115</v>
      </c>
    </row>
    <row r="434" spans="1:20">
      <c r="A434">
        <v>431</v>
      </c>
      <c r="B434" s="1">
        <v>44061</v>
      </c>
      <c r="C434">
        <v>38</v>
      </c>
      <c r="D434" t="s">
        <v>73</v>
      </c>
      <c r="E434" t="s">
        <v>46</v>
      </c>
      <c r="F434" s="8">
        <v>25</v>
      </c>
      <c r="G434" s="7">
        <v>93</v>
      </c>
      <c r="H434" s="7">
        <v>2325</v>
      </c>
      <c r="I434" s="4">
        <v>0.04</v>
      </c>
      <c r="J434" s="7">
        <v>2232</v>
      </c>
      <c r="K434" s="7">
        <f>Tabela1[[#This Row],[Valor Bruto]]-Tabela1[[#This Row],[Valor Venda]]</f>
        <v>93</v>
      </c>
      <c r="L434" s="1">
        <v>44077</v>
      </c>
      <c r="M434" s="1">
        <v>44077</v>
      </c>
      <c r="N434">
        <v>431</v>
      </c>
      <c r="O434">
        <v>7</v>
      </c>
      <c r="P434" t="s">
        <v>52</v>
      </c>
      <c r="Q434">
        <v>0.05</v>
      </c>
      <c r="R434" s="7">
        <v>111.60000000000001</v>
      </c>
      <c r="S434">
        <v>4</v>
      </c>
      <c r="T434" t="s">
        <v>115</v>
      </c>
    </row>
    <row r="435" spans="1:20">
      <c r="A435">
        <v>432</v>
      </c>
      <c r="B435" s="1">
        <v>44062</v>
      </c>
      <c r="C435">
        <v>72</v>
      </c>
      <c r="D435" t="s">
        <v>38</v>
      </c>
      <c r="E435" t="s">
        <v>50</v>
      </c>
      <c r="F435" s="8">
        <v>28</v>
      </c>
      <c r="G435" s="7">
        <v>111</v>
      </c>
      <c r="H435" s="7">
        <v>3108</v>
      </c>
      <c r="I435" s="4">
        <v>0.04</v>
      </c>
      <c r="J435" s="7">
        <v>2983.68</v>
      </c>
      <c r="K435" s="7">
        <f>Tabela1[[#This Row],[Valor Bruto]]-Tabela1[[#This Row],[Valor Venda]]</f>
        <v>124.32000000000016</v>
      </c>
      <c r="L435" s="1">
        <v>44087</v>
      </c>
      <c r="M435" s="1">
        <v>44087</v>
      </c>
      <c r="N435">
        <v>432</v>
      </c>
      <c r="O435">
        <v>2</v>
      </c>
      <c r="P435" t="s">
        <v>47</v>
      </c>
      <c r="Q435">
        <v>0.08</v>
      </c>
      <c r="R435" s="7">
        <v>238.6944</v>
      </c>
      <c r="S435">
        <v>5</v>
      </c>
      <c r="T435" t="s">
        <v>115</v>
      </c>
    </row>
    <row r="436" spans="1:20">
      <c r="A436">
        <v>433</v>
      </c>
      <c r="B436" s="1">
        <v>44063</v>
      </c>
      <c r="C436">
        <v>38</v>
      </c>
      <c r="D436" t="s">
        <v>73</v>
      </c>
      <c r="E436" t="s">
        <v>31</v>
      </c>
      <c r="F436" s="8">
        <v>32</v>
      </c>
      <c r="G436" s="7">
        <v>90</v>
      </c>
      <c r="H436" s="7">
        <v>2880</v>
      </c>
      <c r="I436" s="4">
        <v>0.03</v>
      </c>
      <c r="J436" s="7">
        <v>2793.6</v>
      </c>
      <c r="K436" s="7">
        <f>Tabela1[[#This Row],[Valor Bruto]]-Tabela1[[#This Row],[Valor Venda]]</f>
        <v>86.400000000000091</v>
      </c>
      <c r="L436" s="1">
        <v>44087</v>
      </c>
      <c r="M436" s="1">
        <v>44087</v>
      </c>
      <c r="N436">
        <v>433</v>
      </c>
      <c r="O436">
        <v>7</v>
      </c>
      <c r="P436" t="s">
        <v>47</v>
      </c>
      <c r="Q436">
        <v>0.09</v>
      </c>
      <c r="R436" s="7">
        <v>251.42399999999998</v>
      </c>
      <c r="S436">
        <v>6</v>
      </c>
      <c r="T436" t="s">
        <v>115</v>
      </c>
    </row>
    <row r="437" spans="1:20">
      <c r="A437">
        <v>434</v>
      </c>
      <c r="B437" s="1">
        <v>44064</v>
      </c>
      <c r="C437">
        <v>84</v>
      </c>
      <c r="D437" t="s">
        <v>44</v>
      </c>
      <c r="E437" t="s">
        <v>31</v>
      </c>
      <c r="F437" s="8">
        <v>15</v>
      </c>
      <c r="G437" s="7">
        <v>112</v>
      </c>
      <c r="H437" s="7">
        <v>1680</v>
      </c>
      <c r="I437" s="4">
        <v>0.12</v>
      </c>
      <c r="J437" s="7">
        <v>1478.4</v>
      </c>
      <c r="K437" s="7">
        <f>Tabela1[[#This Row],[Valor Bruto]]-Tabela1[[#This Row],[Valor Venda]]</f>
        <v>201.59999999999991</v>
      </c>
      <c r="L437" s="1">
        <v>44064</v>
      </c>
      <c r="M437" s="1">
        <v>44064</v>
      </c>
      <c r="N437">
        <v>434</v>
      </c>
      <c r="O437">
        <v>2</v>
      </c>
      <c r="P437" t="s">
        <v>34</v>
      </c>
      <c r="Q437">
        <v>0.05</v>
      </c>
      <c r="R437" s="7">
        <v>73.92</v>
      </c>
      <c r="S437">
        <v>7</v>
      </c>
      <c r="T437" t="s">
        <v>115</v>
      </c>
    </row>
    <row r="438" spans="1:20">
      <c r="A438">
        <v>435</v>
      </c>
      <c r="B438" s="1">
        <v>44064</v>
      </c>
      <c r="C438">
        <v>95</v>
      </c>
      <c r="D438" t="s">
        <v>38</v>
      </c>
      <c r="E438" t="s">
        <v>28</v>
      </c>
      <c r="F438" s="8">
        <v>40</v>
      </c>
      <c r="G438" s="7">
        <v>120</v>
      </c>
      <c r="H438" s="7">
        <v>4800</v>
      </c>
      <c r="I438" s="4">
        <v>0.13</v>
      </c>
      <c r="J438" s="7">
        <v>4176</v>
      </c>
      <c r="K438" s="7">
        <f>Tabela1[[#This Row],[Valor Bruto]]-Tabela1[[#This Row],[Valor Venda]]</f>
        <v>624</v>
      </c>
      <c r="L438" s="1">
        <v>44070</v>
      </c>
      <c r="M438" s="1">
        <v>44070</v>
      </c>
      <c r="N438">
        <v>435</v>
      </c>
      <c r="O438">
        <v>3</v>
      </c>
      <c r="P438" t="s">
        <v>43</v>
      </c>
      <c r="Q438">
        <v>0.06</v>
      </c>
      <c r="R438" s="7">
        <v>250.56</v>
      </c>
      <c r="S438">
        <v>1</v>
      </c>
      <c r="T438" t="s">
        <v>115</v>
      </c>
    </row>
    <row r="439" spans="1:20">
      <c r="A439">
        <v>436</v>
      </c>
      <c r="B439" s="1">
        <v>44064</v>
      </c>
      <c r="C439">
        <v>71</v>
      </c>
      <c r="D439" t="s">
        <v>20</v>
      </c>
      <c r="E439" t="s">
        <v>50</v>
      </c>
      <c r="F439" s="8">
        <v>28</v>
      </c>
      <c r="G439" s="7">
        <v>91</v>
      </c>
      <c r="H439" s="7">
        <v>2548</v>
      </c>
      <c r="I439" s="4">
        <v>0.04</v>
      </c>
      <c r="J439" s="7">
        <v>2446.08</v>
      </c>
      <c r="K439" s="7">
        <f>Tabela1[[#This Row],[Valor Bruto]]-Tabela1[[#This Row],[Valor Venda]]</f>
        <v>101.92000000000007</v>
      </c>
      <c r="L439" s="1">
        <v>44086</v>
      </c>
      <c r="M439" s="1">
        <v>44086</v>
      </c>
      <c r="N439">
        <v>436</v>
      </c>
      <c r="O439">
        <v>1</v>
      </c>
      <c r="P439" t="s">
        <v>52</v>
      </c>
      <c r="Q439">
        <v>7.0000000000000007E-2</v>
      </c>
      <c r="R439" s="7">
        <v>171.22560000000001</v>
      </c>
      <c r="S439">
        <v>2</v>
      </c>
      <c r="T439" t="s">
        <v>115</v>
      </c>
    </row>
    <row r="440" spans="1:20">
      <c r="A440">
        <v>437</v>
      </c>
      <c r="B440" s="1">
        <v>44064</v>
      </c>
      <c r="C440">
        <v>31</v>
      </c>
      <c r="D440" t="s">
        <v>85</v>
      </c>
      <c r="E440" t="s">
        <v>41</v>
      </c>
      <c r="F440" s="8">
        <v>13</v>
      </c>
      <c r="G440" s="7">
        <v>114</v>
      </c>
      <c r="H440" s="7">
        <v>1482</v>
      </c>
      <c r="I440" s="4">
        <v>0.14000000000000001</v>
      </c>
      <c r="J440" s="7">
        <v>1274.52</v>
      </c>
      <c r="K440" s="7">
        <f>Tabela1[[#This Row],[Valor Bruto]]-Tabela1[[#This Row],[Valor Venda]]</f>
        <v>207.48000000000002</v>
      </c>
      <c r="L440" s="1">
        <v>44076</v>
      </c>
      <c r="M440" s="1">
        <v>44076</v>
      </c>
      <c r="N440">
        <v>437</v>
      </c>
      <c r="O440">
        <v>4</v>
      </c>
      <c r="P440" t="s">
        <v>29</v>
      </c>
      <c r="Q440">
        <v>7.0000000000000007E-2</v>
      </c>
      <c r="R440" s="7">
        <v>89.216400000000007</v>
      </c>
      <c r="S440">
        <v>3</v>
      </c>
      <c r="T440" t="s">
        <v>115</v>
      </c>
    </row>
    <row r="441" spans="1:20">
      <c r="A441">
        <v>438</v>
      </c>
      <c r="B441" s="1">
        <v>44065</v>
      </c>
      <c r="C441">
        <v>44</v>
      </c>
      <c r="D441" t="s">
        <v>71</v>
      </c>
      <c r="E441" t="s">
        <v>50</v>
      </c>
      <c r="F441" s="8">
        <v>28</v>
      </c>
      <c r="G441" s="7">
        <v>104</v>
      </c>
      <c r="H441" s="7">
        <v>2912</v>
      </c>
      <c r="I441" s="4">
        <v>0.12</v>
      </c>
      <c r="J441" s="7">
        <v>2562.56</v>
      </c>
      <c r="K441" s="7">
        <f>Tabela1[[#This Row],[Valor Bruto]]-Tabela1[[#This Row],[Valor Venda]]</f>
        <v>349.44000000000005</v>
      </c>
      <c r="L441" s="1">
        <v>44086</v>
      </c>
      <c r="M441" s="1">
        <v>44086</v>
      </c>
      <c r="N441">
        <v>438</v>
      </c>
      <c r="O441">
        <v>2</v>
      </c>
      <c r="P441" t="s">
        <v>25</v>
      </c>
      <c r="Q441">
        <v>0.08</v>
      </c>
      <c r="R441" s="7">
        <v>205.00479999999999</v>
      </c>
      <c r="S441">
        <v>4</v>
      </c>
      <c r="T441" t="s">
        <v>115</v>
      </c>
    </row>
    <row r="442" spans="1:20">
      <c r="A442">
        <v>439</v>
      </c>
      <c r="B442" s="1">
        <v>44065</v>
      </c>
      <c r="C442">
        <v>54</v>
      </c>
      <c r="D442" t="s">
        <v>79</v>
      </c>
      <c r="E442" t="s">
        <v>28</v>
      </c>
      <c r="F442" s="8">
        <v>16</v>
      </c>
      <c r="G442" s="7">
        <v>104</v>
      </c>
      <c r="H442" s="7">
        <v>1664</v>
      </c>
      <c r="I442" s="4">
        <v>0.15</v>
      </c>
      <c r="J442" s="7">
        <v>1414.4</v>
      </c>
      <c r="K442" s="7">
        <f>Tabela1[[#This Row],[Valor Bruto]]-Tabela1[[#This Row],[Valor Venda]]</f>
        <v>249.59999999999991</v>
      </c>
      <c r="L442" s="1">
        <v>44086</v>
      </c>
      <c r="M442" s="1">
        <v>44086</v>
      </c>
      <c r="N442">
        <v>439</v>
      </c>
      <c r="O442">
        <v>4</v>
      </c>
      <c r="P442" t="s">
        <v>25</v>
      </c>
      <c r="Q442">
        <v>0.1</v>
      </c>
      <c r="R442" s="7">
        <v>141.44000000000003</v>
      </c>
      <c r="S442">
        <v>5</v>
      </c>
      <c r="T442" t="s">
        <v>115</v>
      </c>
    </row>
    <row r="443" spans="1:20">
      <c r="A443">
        <v>440</v>
      </c>
      <c r="B443" s="1">
        <v>44066</v>
      </c>
      <c r="C443">
        <v>24</v>
      </c>
      <c r="D443" t="s">
        <v>74</v>
      </c>
      <c r="E443" t="s">
        <v>46</v>
      </c>
      <c r="F443" s="8">
        <v>35</v>
      </c>
      <c r="G443" s="7">
        <v>90</v>
      </c>
      <c r="H443" s="7">
        <v>3150</v>
      </c>
      <c r="I443" s="4">
        <v>0.01</v>
      </c>
      <c r="J443" s="7">
        <v>3118.5</v>
      </c>
      <c r="K443" s="7">
        <f>Tabela1[[#This Row],[Valor Bruto]]-Tabela1[[#This Row],[Valor Venda]]</f>
        <v>31.5</v>
      </c>
      <c r="L443" s="1">
        <v>44076</v>
      </c>
      <c r="M443" s="1">
        <v>44076</v>
      </c>
      <c r="N443">
        <v>440</v>
      </c>
      <c r="O443">
        <v>2</v>
      </c>
      <c r="P443" t="s">
        <v>52</v>
      </c>
      <c r="Q443">
        <v>0.05</v>
      </c>
      <c r="R443" s="7">
        <v>155.92500000000001</v>
      </c>
      <c r="S443">
        <v>6</v>
      </c>
      <c r="T443" t="s">
        <v>115</v>
      </c>
    </row>
    <row r="444" spans="1:20">
      <c r="A444">
        <v>441</v>
      </c>
      <c r="B444" s="1">
        <v>44066</v>
      </c>
      <c r="C444">
        <v>71</v>
      </c>
      <c r="D444" t="s">
        <v>20</v>
      </c>
      <c r="E444" t="s">
        <v>24</v>
      </c>
      <c r="F444" s="8">
        <v>21</v>
      </c>
      <c r="G444" s="7">
        <v>92</v>
      </c>
      <c r="H444" s="7">
        <v>1932</v>
      </c>
      <c r="I444" s="4">
        <v>0.12</v>
      </c>
      <c r="J444" s="7">
        <v>1700.16</v>
      </c>
      <c r="K444" s="7">
        <f>Tabela1[[#This Row],[Valor Bruto]]-Tabela1[[#This Row],[Valor Venda]]</f>
        <v>231.83999999999992</v>
      </c>
      <c r="L444" s="1">
        <v>44079</v>
      </c>
      <c r="M444" s="1">
        <v>44079</v>
      </c>
      <c r="N444">
        <v>441</v>
      </c>
      <c r="O444">
        <v>3</v>
      </c>
      <c r="P444" t="s">
        <v>34</v>
      </c>
      <c r="Q444">
        <v>0.08</v>
      </c>
      <c r="R444" s="7">
        <v>136.0128</v>
      </c>
      <c r="S444">
        <v>7</v>
      </c>
      <c r="T444" t="s">
        <v>115</v>
      </c>
    </row>
    <row r="445" spans="1:20">
      <c r="A445">
        <v>442</v>
      </c>
      <c r="B445" s="1">
        <v>44066</v>
      </c>
      <c r="C445">
        <v>30</v>
      </c>
      <c r="D445" t="s">
        <v>96</v>
      </c>
      <c r="E445" t="s">
        <v>31</v>
      </c>
      <c r="F445" s="8">
        <v>29</v>
      </c>
      <c r="G445" s="7">
        <v>95</v>
      </c>
      <c r="H445" s="7">
        <v>2755</v>
      </c>
      <c r="I445" s="4">
        <v>0.06</v>
      </c>
      <c r="J445" s="7">
        <v>2589.6999999999998</v>
      </c>
      <c r="K445" s="7">
        <f>Tabela1[[#This Row],[Valor Bruto]]-Tabela1[[#This Row],[Valor Venda]]</f>
        <v>165.30000000000018</v>
      </c>
      <c r="L445" s="1">
        <v>44073</v>
      </c>
      <c r="M445" s="1">
        <v>44073</v>
      </c>
      <c r="N445">
        <v>442</v>
      </c>
      <c r="O445">
        <v>2</v>
      </c>
      <c r="P445" t="s">
        <v>69</v>
      </c>
      <c r="Q445">
        <v>0.06</v>
      </c>
      <c r="R445" s="7">
        <v>155.38199999999998</v>
      </c>
      <c r="S445">
        <v>1</v>
      </c>
      <c r="T445" t="s">
        <v>115</v>
      </c>
    </row>
    <row r="446" spans="1:20">
      <c r="A446">
        <v>443</v>
      </c>
      <c r="B446" s="1">
        <v>44067</v>
      </c>
      <c r="C446">
        <v>62</v>
      </c>
      <c r="D446" t="s">
        <v>38</v>
      </c>
      <c r="E446" t="s">
        <v>31</v>
      </c>
      <c r="F446" s="8">
        <v>32</v>
      </c>
      <c r="G446" s="7">
        <v>113</v>
      </c>
      <c r="H446" s="7">
        <v>3616</v>
      </c>
      <c r="I446" s="4">
        <v>0.1</v>
      </c>
      <c r="J446" s="7">
        <v>3254.4</v>
      </c>
      <c r="K446" s="7">
        <f>Tabela1[[#This Row],[Valor Bruto]]-Tabela1[[#This Row],[Valor Venda]]</f>
        <v>361.59999999999991</v>
      </c>
      <c r="L446" s="1">
        <v>44082</v>
      </c>
      <c r="M446" s="1">
        <v>44082</v>
      </c>
      <c r="N446">
        <v>443</v>
      </c>
      <c r="O446">
        <v>4</v>
      </c>
      <c r="P446" t="s">
        <v>25</v>
      </c>
      <c r="Q446">
        <v>0.1</v>
      </c>
      <c r="R446" s="7">
        <v>325.44000000000005</v>
      </c>
      <c r="S446">
        <v>2</v>
      </c>
      <c r="T446" t="s">
        <v>115</v>
      </c>
    </row>
    <row r="447" spans="1:20">
      <c r="A447">
        <v>444</v>
      </c>
      <c r="B447" s="1">
        <v>44068</v>
      </c>
      <c r="C447">
        <v>100</v>
      </c>
      <c r="D447" t="s">
        <v>38</v>
      </c>
      <c r="E447" t="s">
        <v>31</v>
      </c>
      <c r="F447" s="8">
        <v>14</v>
      </c>
      <c r="G447" s="7">
        <v>102</v>
      </c>
      <c r="H447" s="7">
        <v>1428</v>
      </c>
      <c r="I447" s="4">
        <v>0.08</v>
      </c>
      <c r="J447" s="7">
        <v>1313.76</v>
      </c>
      <c r="K447" s="7">
        <f>Tabela1[[#This Row],[Valor Bruto]]-Tabela1[[#This Row],[Valor Venda]]</f>
        <v>114.24000000000001</v>
      </c>
      <c r="L447" s="1">
        <v>44078</v>
      </c>
      <c r="M447" s="1">
        <v>44078</v>
      </c>
      <c r="N447">
        <v>444</v>
      </c>
      <c r="O447">
        <v>1</v>
      </c>
      <c r="P447" t="s">
        <v>43</v>
      </c>
      <c r="Q447">
        <v>0.1</v>
      </c>
      <c r="R447" s="7">
        <v>131.376</v>
      </c>
      <c r="S447">
        <v>3</v>
      </c>
      <c r="T447" t="s">
        <v>115</v>
      </c>
    </row>
    <row r="448" spans="1:20">
      <c r="A448">
        <v>445</v>
      </c>
      <c r="B448" s="1">
        <v>44068</v>
      </c>
      <c r="C448">
        <v>84</v>
      </c>
      <c r="D448" t="s">
        <v>44</v>
      </c>
      <c r="E448" t="s">
        <v>24</v>
      </c>
      <c r="F448" s="8">
        <v>15</v>
      </c>
      <c r="G448" s="7">
        <v>111</v>
      </c>
      <c r="H448" s="7">
        <v>1665</v>
      </c>
      <c r="I448" s="4">
        <v>0.13</v>
      </c>
      <c r="J448" s="7">
        <v>1448.55</v>
      </c>
      <c r="K448" s="7">
        <f>Tabela1[[#This Row],[Valor Bruto]]-Tabela1[[#This Row],[Valor Venda]]</f>
        <v>216.45000000000005</v>
      </c>
      <c r="L448" s="1">
        <v>44085</v>
      </c>
      <c r="M448" s="1">
        <v>44085</v>
      </c>
      <c r="N448">
        <v>445</v>
      </c>
      <c r="O448">
        <v>7</v>
      </c>
      <c r="P448" t="s">
        <v>37</v>
      </c>
      <c r="Q448">
        <v>0.08</v>
      </c>
      <c r="R448" s="7">
        <v>115.884</v>
      </c>
      <c r="S448">
        <v>4</v>
      </c>
      <c r="T448" t="s">
        <v>115</v>
      </c>
    </row>
    <row r="449" spans="1:20">
      <c r="A449">
        <v>446</v>
      </c>
      <c r="B449" s="1">
        <v>44068</v>
      </c>
      <c r="C449">
        <v>63</v>
      </c>
      <c r="D449" t="s">
        <v>80</v>
      </c>
      <c r="E449" t="s">
        <v>28</v>
      </c>
      <c r="F449" s="8">
        <v>39</v>
      </c>
      <c r="G449" s="7">
        <v>102</v>
      </c>
      <c r="H449" s="7">
        <v>3978</v>
      </c>
      <c r="I449" s="4">
        <v>0</v>
      </c>
      <c r="J449" s="7">
        <v>3978</v>
      </c>
      <c r="K449" s="7">
        <f>Tabela1[[#This Row],[Valor Bruto]]-Tabela1[[#This Row],[Valor Venda]]</f>
        <v>0</v>
      </c>
      <c r="L449" s="1">
        <v>44092</v>
      </c>
      <c r="M449" s="1">
        <v>44092</v>
      </c>
      <c r="N449">
        <v>446</v>
      </c>
      <c r="O449">
        <v>3</v>
      </c>
      <c r="P449" t="s">
        <v>32</v>
      </c>
      <c r="Q449">
        <v>0.09</v>
      </c>
      <c r="R449" s="7">
        <v>358.02</v>
      </c>
      <c r="S449">
        <v>5</v>
      </c>
      <c r="T449" t="s">
        <v>115</v>
      </c>
    </row>
    <row r="450" spans="1:20">
      <c r="A450">
        <v>447</v>
      </c>
      <c r="B450" s="1">
        <v>44069</v>
      </c>
      <c r="C450">
        <v>81</v>
      </c>
      <c r="D450" t="s">
        <v>103</v>
      </c>
      <c r="E450" t="s">
        <v>24</v>
      </c>
      <c r="F450" s="8">
        <v>20</v>
      </c>
      <c r="G450" s="7">
        <v>112</v>
      </c>
      <c r="H450" s="7">
        <v>2240</v>
      </c>
      <c r="I450" s="4">
        <v>0.14000000000000001</v>
      </c>
      <c r="J450" s="7">
        <v>1926.4</v>
      </c>
      <c r="K450" s="7">
        <f>Tabela1[[#This Row],[Valor Bruto]]-Tabela1[[#This Row],[Valor Venda]]</f>
        <v>313.59999999999991</v>
      </c>
      <c r="L450" s="1">
        <v>44093</v>
      </c>
      <c r="M450" s="1">
        <v>44093</v>
      </c>
      <c r="N450">
        <v>447</v>
      </c>
      <c r="O450">
        <v>6</v>
      </c>
      <c r="P450" t="s">
        <v>32</v>
      </c>
      <c r="Q450">
        <v>0.06</v>
      </c>
      <c r="R450" s="7">
        <v>115.584</v>
      </c>
      <c r="S450">
        <v>6</v>
      </c>
      <c r="T450" t="s">
        <v>115</v>
      </c>
    </row>
    <row r="451" spans="1:20">
      <c r="A451">
        <v>448</v>
      </c>
      <c r="B451" s="1">
        <v>44069</v>
      </c>
      <c r="C451">
        <v>43</v>
      </c>
      <c r="D451" t="s">
        <v>99</v>
      </c>
      <c r="E451" t="s">
        <v>31</v>
      </c>
      <c r="F451" s="8">
        <v>37</v>
      </c>
      <c r="G451" s="7">
        <v>107</v>
      </c>
      <c r="H451" s="7">
        <v>3959</v>
      </c>
      <c r="I451" s="4">
        <v>0.01</v>
      </c>
      <c r="J451" s="7">
        <v>3919.41</v>
      </c>
      <c r="K451" s="7">
        <f>Tabela1[[#This Row],[Valor Bruto]]-Tabela1[[#This Row],[Valor Venda]]</f>
        <v>39.590000000000146</v>
      </c>
      <c r="L451" s="1">
        <v>44084</v>
      </c>
      <c r="M451" s="1">
        <v>44084</v>
      </c>
      <c r="N451">
        <v>448</v>
      </c>
      <c r="O451">
        <v>5</v>
      </c>
      <c r="P451" t="s">
        <v>34</v>
      </c>
      <c r="Q451">
        <v>7.0000000000000007E-2</v>
      </c>
      <c r="R451" s="7">
        <v>274.3587</v>
      </c>
      <c r="S451">
        <v>7</v>
      </c>
      <c r="T451" t="s">
        <v>115</v>
      </c>
    </row>
    <row r="452" spans="1:20">
      <c r="A452">
        <v>449</v>
      </c>
      <c r="B452" s="1">
        <v>44070</v>
      </c>
      <c r="C452">
        <v>7</v>
      </c>
      <c r="D452" t="s">
        <v>102</v>
      </c>
      <c r="E452" t="s">
        <v>41</v>
      </c>
      <c r="F452" s="8">
        <v>42</v>
      </c>
      <c r="G452" s="7">
        <v>113</v>
      </c>
      <c r="H452" s="7">
        <v>4746</v>
      </c>
      <c r="I452" s="4">
        <v>0.12</v>
      </c>
      <c r="J452" s="7">
        <v>4176.4799999999996</v>
      </c>
      <c r="K452" s="7">
        <f>Tabela1[[#This Row],[Valor Bruto]]-Tabela1[[#This Row],[Valor Venda]]</f>
        <v>569.52000000000044</v>
      </c>
      <c r="L452" s="1">
        <v>44087</v>
      </c>
      <c r="M452" s="1">
        <v>44087</v>
      </c>
      <c r="N452">
        <v>449</v>
      </c>
      <c r="O452">
        <v>1</v>
      </c>
      <c r="P452" t="s">
        <v>29</v>
      </c>
      <c r="Q452">
        <v>0.08</v>
      </c>
      <c r="R452" s="7">
        <v>334.11839999999995</v>
      </c>
      <c r="S452">
        <v>1</v>
      </c>
      <c r="T452" t="s">
        <v>115</v>
      </c>
    </row>
    <row r="453" spans="1:20">
      <c r="A453">
        <v>450</v>
      </c>
      <c r="B453" s="1">
        <v>44070</v>
      </c>
      <c r="C453">
        <v>66</v>
      </c>
      <c r="D453" t="s">
        <v>30</v>
      </c>
      <c r="E453" t="s">
        <v>59</v>
      </c>
      <c r="F453" s="8">
        <v>44</v>
      </c>
      <c r="G453" s="7">
        <v>109</v>
      </c>
      <c r="H453" s="7">
        <v>4796</v>
      </c>
      <c r="I453" s="4">
        <v>0.02</v>
      </c>
      <c r="J453" s="7">
        <v>4700.08</v>
      </c>
      <c r="K453" s="7">
        <f>Tabela1[[#This Row],[Valor Bruto]]-Tabela1[[#This Row],[Valor Venda]]</f>
        <v>95.920000000000073</v>
      </c>
      <c r="L453" s="1">
        <v>44075</v>
      </c>
      <c r="M453" s="1">
        <v>44075</v>
      </c>
      <c r="N453">
        <v>450</v>
      </c>
      <c r="O453">
        <v>4</v>
      </c>
      <c r="P453" t="s">
        <v>43</v>
      </c>
      <c r="Q453">
        <v>0.06</v>
      </c>
      <c r="R453" s="7">
        <v>282.00479999999999</v>
      </c>
      <c r="S453">
        <v>2</v>
      </c>
      <c r="T453" t="s">
        <v>115</v>
      </c>
    </row>
    <row r="454" spans="1:20">
      <c r="A454">
        <v>451</v>
      </c>
      <c r="B454" s="1">
        <v>44070</v>
      </c>
      <c r="C454">
        <v>76</v>
      </c>
      <c r="D454" t="s">
        <v>104</v>
      </c>
      <c r="E454" t="s">
        <v>46</v>
      </c>
      <c r="F454" s="8">
        <v>33</v>
      </c>
      <c r="G454" s="7">
        <v>97</v>
      </c>
      <c r="H454" s="7">
        <v>3201</v>
      </c>
      <c r="I454" s="4">
        <v>0.1</v>
      </c>
      <c r="J454" s="7">
        <v>2880.9</v>
      </c>
      <c r="K454" s="7">
        <f>Tabela1[[#This Row],[Valor Bruto]]-Tabela1[[#This Row],[Valor Venda]]</f>
        <v>320.09999999999991</v>
      </c>
      <c r="L454" s="1">
        <v>44085</v>
      </c>
      <c r="M454" s="1">
        <v>44085</v>
      </c>
      <c r="N454">
        <v>451</v>
      </c>
      <c r="O454">
        <v>5</v>
      </c>
      <c r="P454" t="s">
        <v>32</v>
      </c>
      <c r="Q454">
        <v>0.08</v>
      </c>
      <c r="R454" s="7">
        <v>230.47200000000001</v>
      </c>
      <c r="S454">
        <v>3</v>
      </c>
      <c r="T454" t="s">
        <v>115</v>
      </c>
    </row>
    <row r="455" spans="1:20">
      <c r="A455">
        <v>452</v>
      </c>
      <c r="B455" s="1">
        <v>44071</v>
      </c>
      <c r="C455">
        <v>37</v>
      </c>
      <c r="D455" t="s">
        <v>48</v>
      </c>
      <c r="E455" t="s">
        <v>31</v>
      </c>
      <c r="F455" s="8">
        <v>29</v>
      </c>
      <c r="G455" s="7">
        <v>116</v>
      </c>
      <c r="H455" s="7">
        <v>3364</v>
      </c>
      <c r="I455" s="4">
        <v>0</v>
      </c>
      <c r="J455" s="7">
        <v>3364</v>
      </c>
      <c r="K455" s="7">
        <f>Tabela1[[#This Row],[Valor Bruto]]-Tabela1[[#This Row],[Valor Venda]]</f>
        <v>0</v>
      </c>
      <c r="L455" s="1">
        <v>44097</v>
      </c>
      <c r="M455" s="1">
        <v>44097</v>
      </c>
      <c r="N455">
        <v>452</v>
      </c>
      <c r="O455">
        <v>4</v>
      </c>
      <c r="P455" t="s">
        <v>29</v>
      </c>
      <c r="Q455">
        <v>0.06</v>
      </c>
      <c r="R455" s="7">
        <v>201.84</v>
      </c>
      <c r="S455">
        <v>4</v>
      </c>
      <c r="T455" t="s">
        <v>115</v>
      </c>
    </row>
    <row r="456" spans="1:20">
      <c r="A456">
        <v>453</v>
      </c>
      <c r="B456" s="1">
        <v>44071</v>
      </c>
      <c r="C456">
        <v>13</v>
      </c>
      <c r="D456" t="s">
        <v>75</v>
      </c>
      <c r="E456" t="s">
        <v>54</v>
      </c>
      <c r="F456" s="8">
        <v>32</v>
      </c>
      <c r="G456" s="7">
        <v>108</v>
      </c>
      <c r="H456" s="7">
        <v>3456</v>
      </c>
      <c r="I456" s="4">
        <v>0.11</v>
      </c>
      <c r="J456" s="7">
        <v>3075.84</v>
      </c>
      <c r="K456" s="7">
        <f>Tabela1[[#This Row],[Valor Bruto]]-Tabela1[[#This Row],[Valor Venda]]</f>
        <v>380.15999999999985</v>
      </c>
      <c r="L456" s="1">
        <v>44087</v>
      </c>
      <c r="M456" s="1">
        <v>44087</v>
      </c>
      <c r="N456">
        <v>453</v>
      </c>
      <c r="O456">
        <v>5</v>
      </c>
      <c r="P456" t="s">
        <v>29</v>
      </c>
      <c r="Q456">
        <v>7.0000000000000007E-2</v>
      </c>
      <c r="R456" s="7">
        <v>215.30880000000002</v>
      </c>
      <c r="S456">
        <v>5</v>
      </c>
      <c r="T456" t="s">
        <v>115</v>
      </c>
    </row>
    <row r="457" spans="1:20">
      <c r="A457">
        <v>454</v>
      </c>
      <c r="B457" s="1">
        <v>44072</v>
      </c>
      <c r="C457">
        <v>30</v>
      </c>
      <c r="D457" t="s">
        <v>96</v>
      </c>
      <c r="E457" t="s">
        <v>21</v>
      </c>
      <c r="F457" s="8">
        <v>40</v>
      </c>
      <c r="G457" s="7">
        <v>106</v>
      </c>
      <c r="H457" s="7">
        <v>4240</v>
      </c>
      <c r="I457" s="4">
        <v>0.11</v>
      </c>
      <c r="J457" s="7">
        <v>3773.6</v>
      </c>
      <c r="K457" s="7">
        <f>Tabela1[[#This Row],[Valor Bruto]]-Tabela1[[#This Row],[Valor Venda]]</f>
        <v>466.40000000000009</v>
      </c>
      <c r="L457" s="1">
        <v>44093</v>
      </c>
      <c r="M457" s="1">
        <v>44093</v>
      </c>
      <c r="N457">
        <v>454</v>
      </c>
      <c r="O457">
        <v>1</v>
      </c>
      <c r="P457" t="s">
        <v>43</v>
      </c>
      <c r="Q457">
        <v>0.06</v>
      </c>
      <c r="R457" s="7">
        <v>226.416</v>
      </c>
      <c r="S457">
        <v>6</v>
      </c>
      <c r="T457" t="s">
        <v>115</v>
      </c>
    </row>
    <row r="458" spans="1:20">
      <c r="A458">
        <v>455</v>
      </c>
      <c r="B458" s="1">
        <v>44072</v>
      </c>
      <c r="C458">
        <v>52</v>
      </c>
      <c r="D458" t="s">
        <v>23</v>
      </c>
      <c r="E458" t="s">
        <v>41</v>
      </c>
      <c r="F458" s="8">
        <v>49</v>
      </c>
      <c r="G458" s="7">
        <v>92</v>
      </c>
      <c r="H458" s="7">
        <v>4508</v>
      </c>
      <c r="I458" s="4">
        <v>7.0000000000000007E-2</v>
      </c>
      <c r="J458" s="7">
        <v>4192.4399999999996</v>
      </c>
      <c r="K458" s="7">
        <f>Tabela1[[#This Row],[Valor Bruto]]-Tabela1[[#This Row],[Valor Venda]]</f>
        <v>315.5600000000004</v>
      </c>
      <c r="L458" s="1">
        <v>44089</v>
      </c>
      <c r="M458" s="1">
        <v>44089</v>
      </c>
      <c r="N458">
        <v>455</v>
      </c>
      <c r="O458">
        <v>3</v>
      </c>
      <c r="P458" t="s">
        <v>52</v>
      </c>
      <c r="Q458">
        <v>0.1</v>
      </c>
      <c r="R458" s="7">
        <v>419.24399999999997</v>
      </c>
      <c r="S458">
        <v>7</v>
      </c>
      <c r="T458" t="s">
        <v>115</v>
      </c>
    </row>
    <row r="459" spans="1:20">
      <c r="A459">
        <v>456</v>
      </c>
      <c r="B459" s="1">
        <v>44072</v>
      </c>
      <c r="C459">
        <v>3</v>
      </c>
      <c r="D459" t="s">
        <v>91</v>
      </c>
      <c r="E459" t="s">
        <v>28</v>
      </c>
      <c r="F459" s="8">
        <v>26</v>
      </c>
      <c r="G459" s="7">
        <v>93</v>
      </c>
      <c r="H459" s="7">
        <v>2418</v>
      </c>
      <c r="I459" s="4">
        <v>0.15</v>
      </c>
      <c r="J459" s="7">
        <v>2055.3000000000002</v>
      </c>
      <c r="K459" s="7">
        <f>Tabela1[[#This Row],[Valor Bruto]]-Tabela1[[#This Row],[Valor Venda]]</f>
        <v>362.69999999999982</v>
      </c>
      <c r="L459" s="1">
        <v>44092</v>
      </c>
      <c r="M459" s="1">
        <v>44092</v>
      </c>
      <c r="N459">
        <v>456</v>
      </c>
      <c r="O459">
        <v>4</v>
      </c>
      <c r="P459" t="s">
        <v>22</v>
      </c>
      <c r="Q459">
        <v>0.1</v>
      </c>
      <c r="R459" s="7">
        <v>205.53000000000003</v>
      </c>
      <c r="S459">
        <v>1</v>
      </c>
      <c r="T459" t="s">
        <v>115</v>
      </c>
    </row>
    <row r="460" spans="1:20">
      <c r="A460">
        <v>457</v>
      </c>
      <c r="B460" s="1">
        <v>44073</v>
      </c>
      <c r="C460">
        <v>37</v>
      </c>
      <c r="D460" t="s">
        <v>48</v>
      </c>
      <c r="E460" t="s">
        <v>28</v>
      </c>
      <c r="F460" s="8">
        <v>39</v>
      </c>
      <c r="G460" s="7">
        <v>96</v>
      </c>
      <c r="H460" s="7">
        <v>3744</v>
      </c>
      <c r="I460" s="4">
        <v>7.0000000000000007E-2</v>
      </c>
      <c r="J460" s="7">
        <v>3481.92</v>
      </c>
      <c r="K460" s="7">
        <f>Tabela1[[#This Row],[Valor Bruto]]-Tabela1[[#This Row],[Valor Venda]]</f>
        <v>262.07999999999993</v>
      </c>
      <c r="L460" s="1">
        <v>44090</v>
      </c>
      <c r="M460" s="1">
        <v>44090</v>
      </c>
      <c r="N460">
        <v>457</v>
      </c>
      <c r="O460">
        <v>2</v>
      </c>
      <c r="P460" t="s">
        <v>37</v>
      </c>
      <c r="Q460">
        <v>0.05</v>
      </c>
      <c r="R460" s="7">
        <v>174.096</v>
      </c>
      <c r="S460">
        <v>2</v>
      </c>
      <c r="T460" t="s">
        <v>115</v>
      </c>
    </row>
    <row r="461" spans="1:20">
      <c r="A461">
        <v>458</v>
      </c>
      <c r="B461" s="1">
        <v>44073</v>
      </c>
      <c r="C461">
        <v>23</v>
      </c>
      <c r="D461" t="s">
        <v>105</v>
      </c>
      <c r="E461" t="s">
        <v>24</v>
      </c>
      <c r="F461" s="8">
        <v>45</v>
      </c>
      <c r="G461" s="7">
        <v>114</v>
      </c>
      <c r="H461" s="7">
        <v>5130</v>
      </c>
      <c r="I461" s="4">
        <v>0.03</v>
      </c>
      <c r="J461" s="7">
        <v>4976.1000000000004</v>
      </c>
      <c r="K461" s="7">
        <f>Tabela1[[#This Row],[Valor Bruto]]-Tabela1[[#This Row],[Valor Venda]]</f>
        <v>153.89999999999964</v>
      </c>
      <c r="L461" s="1">
        <v>44101</v>
      </c>
      <c r="M461" s="1">
        <v>44101</v>
      </c>
      <c r="N461">
        <v>458</v>
      </c>
      <c r="O461">
        <v>4</v>
      </c>
      <c r="P461" t="s">
        <v>32</v>
      </c>
      <c r="Q461">
        <v>0.1</v>
      </c>
      <c r="R461" s="7">
        <v>497.61000000000007</v>
      </c>
      <c r="S461">
        <v>3</v>
      </c>
      <c r="T461" t="s">
        <v>115</v>
      </c>
    </row>
    <row r="462" spans="1:20">
      <c r="A462">
        <v>459</v>
      </c>
      <c r="B462" s="1">
        <v>44073</v>
      </c>
      <c r="C462">
        <v>7</v>
      </c>
      <c r="D462" t="s">
        <v>102</v>
      </c>
      <c r="E462" t="s">
        <v>21</v>
      </c>
      <c r="F462" s="8">
        <v>48</v>
      </c>
      <c r="G462" s="7">
        <v>100</v>
      </c>
      <c r="H462" s="7">
        <v>4800</v>
      </c>
      <c r="I462" s="4">
        <v>0.03</v>
      </c>
      <c r="J462" s="7">
        <v>4656</v>
      </c>
      <c r="K462" s="7">
        <f>Tabela1[[#This Row],[Valor Bruto]]-Tabela1[[#This Row],[Valor Venda]]</f>
        <v>144</v>
      </c>
      <c r="L462" s="1">
        <v>44102</v>
      </c>
      <c r="M462" s="1">
        <v>44102</v>
      </c>
      <c r="N462">
        <v>459</v>
      </c>
      <c r="O462">
        <v>1</v>
      </c>
      <c r="P462" t="s">
        <v>69</v>
      </c>
      <c r="Q462">
        <v>0.05</v>
      </c>
      <c r="R462" s="7">
        <v>232.8</v>
      </c>
      <c r="S462">
        <v>4</v>
      </c>
      <c r="T462" t="s">
        <v>115</v>
      </c>
    </row>
    <row r="463" spans="1:20">
      <c r="A463">
        <v>460</v>
      </c>
      <c r="B463" s="1">
        <v>44073</v>
      </c>
      <c r="C463">
        <v>87</v>
      </c>
      <c r="D463" t="s">
        <v>40</v>
      </c>
      <c r="E463" t="s">
        <v>24</v>
      </c>
      <c r="F463" s="8">
        <v>45</v>
      </c>
      <c r="G463" s="7">
        <v>109</v>
      </c>
      <c r="H463" s="7">
        <v>4905</v>
      </c>
      <c r="I463" s="4">
        <v>0.03</v>
      </c>
      <c r="J463" s="7">
        <v>4757.8500000000004</v>
      </c>
      <c r="K463" s="7">
        <f>Tabela1[[#This Row],[Valor Bruto]]-Tabela1[[#This Row],[Valor Venda]]</f>
        <v>147.14999999999964</v>
      </c>
      <c r="L463" s="1">
        <v>44079</v>
      </c>
      <c r="M463" s="1">
        <v>44079</v>
      </c>
      <c r="N463">
        <v>460</v>
      </c>
      <c r="O463">
        <v>2</v>
      </c>
      <c r="P463" t="s">
        <v>47</v>
      </c>
      <c r="Q463">
        <v>0.05</v>
      </c>
      <c r="R463" s="7">
        <v>237.89250000000004</v>
      </c>
      <c r="S463">
        <v>5</v>
      </c>
      <c r="T463" t="s">
        <v>115</v>
      </c>
    </row>
    <row r="464" spans="1:20">
      <c r="A464">
        <v>461</v>
      </c>
      <c r="B464" s="1">
        <v>44074</v>
      </c>
      <c r="C464">
        <v>98</v>
      </c>
      <c r="D464" t="s">
        <v>26</v>
      </c>
      <c r="E464" t="s">
        <v>50</v>
      </c>
      <c r="F464" s="8">
        <v>31</v>
      </c>
      <c r="G464" s="7">
        <v>99</v>
      </c>
      <c r="H464" s="7">
        <v>3069</v>
      </c>
      <c r="I464" s="4">
        <v>0.11</v>
      </c>
      <c r="J464" s="7">
        <v>2731.41</v>
      </c>
      <c r="K464" s="7">
        <f>Tabela1[[#This Row],[Valor Bruto]]-Tabela1[[#This Row],[Valor Venda]]</f>
        <v>337.59000000000015</v>
      </c>
      <c r="L464" s="1">
        <v>44081</v>
      </c>
      <c r="M464" s="1">
        <v>44081</v>
      </c>
      <c r="N464">
        <v>461</v>
      </c>
      <c r="O464">
        <v>7</v>
      </c>
      <c r="P464" t="s">
        <v>43</v>
      </c>
      <c r="Q464">
        <v>0.09</v>
      </c>
      <c r="R464" s="7">
        <v>245.82689999999997</v>
      </c>
      <c r="S464">
        <v>6</v>
      </c>
      <c r="T464" t="s">
        <v>115</v>
      </c>
    </row>
    <row r="465" spans="1:20">
      <c r="A465">
        <v>462</v>
      </c>
      <c r="B465" s="1">
        <v>44075</v>
      </c>
      <c r="C465">
        <v>41</v>
      </c>
      <c r="D465" t="s">
        <v>68</v>
      </c>
      <c r="E465" t="s">
        <v>54</v>
      </c>
      <c r="F465" s="8">
        <v>36</v>
      </c>
      <c r="G465" s="7">
        <v>108</v>
      </c>
      <c r="H465" s="7">
        <v>3888</v>
      </c>
      <c r="I465" s="4">
        <v>0.02</v>
      </c>
      <c r="J465" s="7">
        <v>3810.24</v>
      </c>
      <c r="K465" s="7">
        <f>Tabela1[[#This Row],[Valor Bruto]]-Tabela1[[#This Row],[Valor Venda]]</f>
        <v>77.760000000000218</v>
      </c>
      <c r="L465" s="1">
        <v>44094</v>
      </c>
      <c r="M465" s="1">
        <v>44094</v>
      </c>
      <c r="N465">
        <v>462</v>
      </c>
      <c r="O465">
        <v>4</v>
      </c>
      <c r="P465" t="s">
        <v>32</v>
      </c>
      <c r="Q465">
        <v>7.0000000000000007E-2</v>
      </c>
      <c r="R465" s="7">
        <v>266.71680000000003</v>
      </c>
      <c r="S465">
        <v>7</v>
      </c>
      <c r="T465" t="s">
        <v>116</v>
      </c>
    </row>
    <row r="466" spans="1:20">
      <c r="A466">
        <v>463</v>
      </c>
      <c r="B466" s="1">
        <v>44075</v>
      </c>
      <c r="C466">
        <v>51</v>
      </c>
      <c r="D466" t="s">
        <v>53</v>
      </c>
      <c r="E466" t="s">
        <v>24</v>
      </c>
      <c r="F466" s="8">
        <v>17</v>
      </c>
      <c r="G466" s="7">
        <v>99</v>
      </c>
      <c r="H466" s="7">
        <v>1683</v>
      </c>
      <c r="I466" s="4">
        <v>0.12</v>
      </c>
      <c r="J466" s="7">
        <v>1481.04</v>
      </c>
      <c r="K466" s="7">
        <f>Tabela1[[#This Row],[Valor Bruto]]-Tabela1[[#This Row],[Valor Venda]]</f>
        <v>201.96000000000004</v>
      </c>
      <c r="L466" s="1">
        <v>44080</v>
      </c>
      <c r="M466" s="1">
        <v>44080</v>
      </c>
      <c r="N466">
        <v>463</v>
      </c>
      <c r="O466">
        <v>3</v>
      </c>
      <c r="P466" t="s">
        <v>32</v>
      </c>
      <c r="Q466">
        <v>0.05</v>
      </c>
      <c r="R466" s="7">
        <v>74.052000000000007</v>
      </c>
      <c r="S466">
        <v>1</v>
      </c>
      <c r="T466" t="s">
        <v>116</v>
      </c>
    </row>
    <row r="467" spans="1:20">
      <c r="A467">
        <v>464</v>
      </c>
      <c r="B467" s="1">
        <v>44075</v>
      </c>
      <c r="C467">
        <v>10</v>
      </c>
      <c r="D467" t="s">
        <v>89</v>
      </c>
      <c r="E467" t="s">
        <v>31</v>
      </c>
      <c r="F467" s="8">
        <v>16</v>
      </c>
      <c r="G467" s="7">
        <v>114</v>
      </c>
      <c r="H467" s="7">
        <v>1824</v>
      </c>
      <c r="I467" s="4">
        <v>0.08</v>
      </c>
      <c r="J467" s="7">
        <v>1678.08</v>
      </c>
      <c r="K467" s="7">
        <f>Tabela1[[#This Row],[Valor Bruto]]-Tabela1[[#This Row],[Valor Venda]]</f>
        <v>145.92000000000007</v>
      </c>
      <c r="L467" s="1">
        <v>44094</v>
      </c>
      <c r="M467" s="1">
        <v>44094</v>
      </c>
      <c r="N467">
        <v>464</v>
      </c>
      <c r="O467">
        <v>4</v>
      </c>
      <c r="P467" t="s">
        <v>52</v>
      </c>
      <c r="Q467">
        <v>0.09</v>
      </c>
      <c r="R467" s="7">
        <v>151.02719999999999</v>
      </c>
      <c r="S467">
        <v>2</v>
      </c>
      <c r="T467" t="s">
        <v>116</v>
      </c>
    </row>
    <row r="468" spans="1:20">
      <c r="A468">
        <v>465</v>
      </c>
      <c r="B468" s="1">
        <v>44075</v>
      </c>
      <c r="C468">
        <v>96</v>
      </c>
      <c r="D468" t="s">
        <v>42</v>
      </c>
      <c r="E468" t="s">
        <v>21</v>
      </c>
      <c r="F468" s="8">
        <v>12</v>
      </c>
      <c r="G468" s="7">
        <v>91</v>
      </c>
      <c r="H468" s="7">
        <v>1092</v>
      </c>
      <c r="I468" s="4">
        <v>0.12</v>
      </c>
      <c r="J468" s="7">
        <v>960.96</v>
      </c>
      <c r="K468" s="7">
        <f>Tabela1[[#This Row],[Valor Bruto]]-Tabela1[[#This Row],[Valor Venda]]</f>
        <v>131.03999999999996</v>
      </c>
      <c r="L468" s="1">
        <v>44079</v>
      </c>
      <c r="M468" s="1">
        <v>44079</v>
      </c>
      <c r="N468">
        <v>465</v>
      </c>
      <c r="O468">
        <v>4</v>
      </c>
      <c r="P468" t="s">
        <v>34</v>
      </c>
      <c r="Q468">
        <v>0.08</v>
      </c>
      <c r="R468" s="7">
        <v>76.876800000000003</v>
      </c>
      <c r="S468">
        <v>3</v>
      </c>
      <c r="T468" t="s">
        <v>116</v>
      </c>
    </row>
    <row r="469" spans="1:20">
      <c r="A469">
        <v>466</v>
      </c>
      <c r="B469" s="1">
        <v>44076</v>
      </c>
      <c r="C469">
        <v>100</v>
      </c>
      <c r="D469" t="s">
        <v>38</v>
      </c>
      <c r="E469" t="s">
        <v>41</v>
      </c>
      <c r="F469" s="8">
        <v>28</v>
      </c>
      <c r="G469" s="7">
        <v>95</v>
      </c>
      <c r="H469" s="7">
        <v>2660</v>
      </c>
      <c r="I469" s="4">
        <v>0</v>
      </c>
      <c r="J469" s="7">
        <v>2660</v>
      </c>
      <c r="K469" s="7">
        <f>Tabela1[[#This Row],[Valor Bruto]]-Tabela1[[#This Row],[Valor Venda]]</f>
        <v>0</v>
      </c>
      <c r="L469" s="1">
        <v>44099</v>
      </c>
      <c r="M469" s="1">
        <v>44099</v>
      </c>
      <c r="N469">
        <v>466</v>
      </c>
      <c r="O469">
        <v>4</v>
      </c>
      <c r="P469" t="s">
        <v>47</v>
      </c>
      <c r="Q469">
        <v>0.06</v>
      </c>
      <c r="R469" s="7">
        <v>159.6</v>
      </c>
      <c r="S469">
        <v>4</v>
      </c>
      <c r="T469" t="s">
        <v>116</v>
      </c>
    </row>
    <row r="470" spans="1:20">
      <c r="A470">
        <v>467</v>
      </c>
      <c r="B470" s="1">
        <v>44076</v>
      </c>
      <c r="C470">
        <v>52</v>
      </c>
      <c r="D470" t="s">
        <v>23</v>
      </c>
      <c r="E470" t="s">
        <v>28</v>
      </c>
      <c r="F470" s="8">
        <v>34</v>
      </c>
      <c r="G470" s="7">
        <v>99</v>
      </c>
      <c r="H470" s="7">
        <v>3366</v>
      </c>
      <c r="I470" s="4">
        <v>0.11</v>
      </c>
      <c r="J470" s="7">
        <v>2995.74</v>
      </c>
      <c r="K470" s="7">
        <f>Tabela1[[#This Row],[Valor Bruto]]-Tabela1[[#This Row],[Valor Venda]]</f>
        <v>370.26000000000022</v>
      </c>
      <c r="L470" s="1">
        <v>44082</v>
      </c>
      <c r="M470" s="1">
        <v>44082</v>
      </c>
      <c r="N470">
        <v>467</v>
      </c>
      <c r="O470">
        <v>4</v>
      </c>
      <c r="P470" t="s">
        <v>47</v>
      </c>
      <c r="Q470">
        <v>0.05</v>
      </c>
      <c r="R470" s="7">
        <v>149.78700000000001</v>
      </c>
      <c r="S470">
        <v>5</v>
      </c>
      <c r="T470" t="s">
        <v>116</v>
      </c>
    </row>
    <row r="471" spans="1:20">
      <c r="A471">
        <v>468</v>
      </c>
      <c r="B471" s="1">
        <v>44077</v>
      </c>
      <c r="C471">
        <v>40</v>
      </c>
      <c r="D471" t="s">
        <v>49</v>
      </c>
      <c r="E471" t="s">
        <v>21</v>
      </c>
      <c r="F471" s="8">
        <v>48</v>
      </c>
      <c r="G471" s="7">
        <v>112</v>
      </c>
      <c r="H471" s="7">
        <v>5376</v>
      </c>
      <c r="I471" s="4">
        <v>0.01</v>
      </c>
      <c r="J471" s="7">
        <v>5322.24</v>
      </c>
      <c r="K471" s="7">
        <f>Tabela1[[#This Row],[Valor Bruto]]-Tabela1[[#This Row],[Valor Venda]]</f>
        <v>53.760000000000218</v>
      </c>
      <c r="L471" s="1">
        <v>44107</v>
      </c>
      <c r="M471" s="1">
        <v>44107</v>
      </c>
      <c r="N471">
        <v>468</v>
      </c>
      <c r="O471">
        <v>4</v>
      </c>
      <c r="P471" t="s">
        <v>22</v>
      </c>
      <c r="Q471">
        <v>0.05</v>
      </c>
      <c r="R471" s="7">
        <v>266.11200000000002</v>
      </c>
      <c r="S471">
        <v>6</v>
      </c>
      <c r="T471" t="s">
        <v>116</v>
      </c>
    </row>
    <row r="472" spans="1:20">
      <c r="A472">
        <v>469</v>
      </c>
      <c r="B472" s="1">
        <v>44077</v>
      </c>
      <c r="C472">
        <v>6</v>
      </c>
      <c r="D472" t="s">
        <v>88</v>
      </c>
      <c r="E472" t="s">
        <v>28</v>
      </c>
      <c r="F472" s="8">
        <v>45</v>
      </c>
      <c r="G472" s="7">
        <v>118</v>
      </c>
      <c r="H472" s="7">
        <v>5310</v>
      </c>
      <c r="I472" s="4">
        <v>0.01</v>
      </c>
      <c r="J472" s="7">
        <v>5256.9</v>
      </c>
      <c r="K472" s="7">
        <f>Tabela1[[#This Row],[Valor Bruto]]-Tabela1[[#This Row],[Valor Venda]]</f>
        <v>53.100000000000364</v>
      </c>
      <c r="L472" s="1">
        <v>44080</v>
      </c>
      <c r="M472" s="1">
        <v>44080</v>
      </c>
      <c r="N472">
        <v>469</v>
      </c>
      <c r="O472">
        <v>4</v>
      </c>
      <c r="P472" t="s">
        <v>25</v>
      </c>
      <c r="Q472">
        <v>0.05</v>
      </c>
      <c r="R472" s="7">
        <v>262.84499999999997</v>
      </c>
      <c r="S472">
        <v>7</v>
      </c>
      <c r="T472" t="s">
        <v>116</v>
      </c>
    </row>
    <row r="473" spans="1:20">
      <c r="A473">
        <v>470</v>
      </c>
      <c r="B473" s="1">
        <v>44079</v>
      </c>
      <c r="C473">
        <v>59</v>
      </c>
      <c r="D473" t="s">
        <v>97</v>
      </c>
      <c r="E473" t="s">
        <v>24</v>
      </c>
      <c r="F473" s="8">
        <v>19</v>
      </c>
      <c r="G473" s="7">
        <v>108</v>
      </c>
      <c r="H473" s="7">
        <v>2052</v>
      </c>
      <c r="I473" s="4">
        <v>0.09</v>
      </c>
      <c r="J473" s="7">
        <v>1867.32</v>
      </c>
      <c r="K473" s="7">
        <f>Tabela1[[#This Row],[Valor Bruto]]-Tabela1[[#This Row],[Valor Venda]]</f>
        <v>184.68000000000006</v>
      </c>
      <c r="L473" s="1">
        <v>44097</v>
      </c>
      <c r="M473" s="1">
        <v>44097</v>
      </c>
      <c r="N473">
        <v>470</v>
      </c>
      <c r="O473">
        <v>3</v>
      </c>
      <c r="P473" t="s">
        <v>22</v>
      </c>
      <c r="Q473">
        <v>7.0000000000000007E-2</v>
      </c>
      <c r="R473" s="7">
        <v>130.7124</v>
      </c>
      <c r="S473">
        <v>1</v>
      </c>
      <c r="T473" t="s">
        <v>116</v>
      </c>
    </row>
    <row r="474" spans="1:20">
      <c r="A474">
        <v>471</v>
      </c>
      <c r="B474" s="1">
        <v>44080</v>
      </c>
      <c r="C474">
        <v>20</v>
      </c>
      <c r="D474" t="s">
        <v>39</v>
      </c>
      <c r="E474" t="s">
        <v>46</v>
      </c>
      <c r="F474" s="8">
        <v>47</v>
      </c>
      <c r="G474" s="7">
        <v>91</v>
      </c>
      <c r="H474" s="7">
        <v>4277</v>
      </c>
      <c r="I474" s="4">
        <v>0.13</v>
      </c>
      <c r="J474" s="7">
        <v>3720.99</v>
      </c>
      <c r="K474" s="7">
        <f>Tabela1[[#This Row],[Valor Bruto]]-Tabela1[[#This Row],[Valor Venda]]</f>
        <v>556.01000000000022</v>
      </c>
      <c r="L474" s="1">
        <v>44080</v>
      </c>
      <c r="M474" s="1">
        <v>44080</v>
      </c>
      <c r="N474">
        <v>471</v>
      </c>
      <c r="O474">
        <v>5</v>
      </c>
      <c r="P474" t="s">
        <v>25</v>
      </c>
      <c r="Q474">
        <v>7.0000000000000007E-2</v>
      </c>
      <c r="R474" s="7">
        <v>260.46930000000003</v>
      </c>
      <c r="S474">
        <v>2</v>
      </c>
      <c r="T474" t="s">
        <v>116</v>
      </c>
    </row>
    <row r="475" spans="1:20">
      <c r="A475">
        <v>472</v>
      </c>
      <c r="B475" s="1">
        <v>44080</v>
      </c>
      <c r="C475">
        <v>49</v>
      </c>
      <c r="D475" t="s">
        <v>38</v>
      </c>
      <c r="E475" t="s">
        <v>41</v>
      </c>
      <c r="F475" s="8">
        <v>20</v>
      </c>
      <c r="G475" s="7">
        <v>100</v>
      </c>
      <c r="H475" s="7">
        <v>2000</v>
      </c>
      <c r="I475" s="4">
        <v>0.14000000000000001</v>
      </c>
      <c r="J475" s="7">
        <v>1720</v>
      </c>
      <c r="K475" s="7">
        <f>Tabela1[[#This Row],[Valor Bruto]]-Tabela1[[#This Row],[Valor Venda]]</f>
        <v>280</v>
      </c>
      <c r="L475" s="1">
        <v>44102</v>
      </c>
      <c r="M475" s="1">
        <v>44102</v>
      </c>
      <c r="N475">
        <v>472</v>
      </c>
      <c r="O475">
        <v>4</v>
      </c>
      <c r="P475" t="s">
        <v>47</v>
      </c>
      <c r="Q475">
        <v>0.09</v>
      </c>
      <c r="R475" s="7">
        <v>154.79999999999998</v>
      </c>
      <c r="S475">
        <v>3</v>
      </c>
      <c r="T475" t="s">
        <v>116</v>
      </c>
    </row>
    <row r="476" spans="1:20">
      <c r="A476">
        <v>473</v>
      </c>
      <c r="B476" s="1">
        <v>44081</v>
      </c>
      <c r="C476">
        <v>29</v>
      </c>
      <c r="D476" t="s">
        <v>98</v>
      </c>
      <c r="E476" t="s">
        <v>28</v>
      </c>
      <c r="F476" s="8">
        <v>37</v>
      </c>
      <c r="G476" s="7">
        <v>117</v>
      </c>
      <c r="H476" s="7">
        <v>4329</v>
      </c>
      <c r="I476" s="4">
        <v>0.11</v>
      </c>
      <c r="J476" s="7">
        <v>3852.81</v>
      </c>
      <c r="K476" s="7">
        <f>Tabela1[[#This Row],[Valor Bruto]]-Tabela1[[#This Row],[Valor Venda]]</f>
        <v>476.19000000000005</v>
      </c>
      <c r="L476" s="1">
        <v>44097</v>
      </c>
      <c r="M476" s="1">
        <v>44097</v>
      </c>
      <c r="N476">
        <v>473</v>
      </c>
      <c r="O476">
        <v>4</v>
      </c>
      <c r="P476" t="s">
        <v>37</v>
      </c>
      <c r="Q476">
        <v>7.0000000000000007E-2</v>
      </c>
      <c r="R476" s="7">
        <v>269.69670000000002</v>
      </c>
      <c r="S476">
        <v>4</v>
      </c>
      <c r="T476" t="s">
        <v>116</v>
      </c>
    </row>
    <row r="477" spans="1:20">
      <c r="A477">
        <v>474</v>
      </c>
      <c r="B477" s="1">
        <v>44082</v>
      </c>
      <c r="C477">
        <v>45</v>
      </c>
      <c r="D477" t="s">
        <v>38</v>
      </c>
      <c r="E477" t="s">
        <v>31</v>
      </c>
      <c r="F477" s="8">
        <v>49</v>
      </c>
      <c r="G477" s="7">
        <v>93</v>
      </c>
      <c r="H477" s="7">
        <v>4557</v>
      </c>
      <c r="I477" s="4">
        <v>0</v>
      </c>
      <c r="J477" s="7">
        <v>4557</v>
      </c>
      <c r="K477" s="7">
        <f>Tabela1[[#This Row],[Valor Bruto]]-Tabela1[[#This Row],[Valor Venda]]</f>
        <v>0</v>
      </c>
      <c r="L477" s="1">
        <v>44103</v>
      </c>
      <c r="M477" s="1">
        <v>44103</v>
      </c>
      <c r="N477">
        <v>474</v>
      </c>
      <c r="O477">
        <v>4</v>
      </c>
      <c r="P477" t="s">
        <v>52</v>
      </c>
      <c r="Q477">
        <v>0.1</v>
      </c>
      <c r="R477" s="7">
        <v>455.70000000000005</v>
      </c>
      <c r="S477">
        <v>5</v>
      </c>
      <c r="T477" t="s">
        <v>116</v>
      </c>
    </row>
    <row r="478" spans="1:20">
      <c r="A478">
        <v>475</v>
      </c>
      <c r="B478" s="1">
        <v>44083</v>
      </c>
      <c r="C478">
        <v>8</v>
      </c>
      <c r="D478" t="s">
        <v>38</v>
      </c>
      <c r="E478" t="s">
        <v>31</v>
      </c>
      <c r="F478" s="8">
        <v>21</v>
      </c>
      <c r="G478" s="7">
        <v>117</v>
      </c>
      <c r="H478" s="7">
        <v>2457</v>
      </c>
      <c r="I478" s="4">
        <v>0.12</v>
      </c>
      <c r="J478" s="7">
        <v>2162.16</v>
      </c>
      <c r="K478" s="7">
        <f>Tabela1[[#This Row],[Valor Bruto]]-Tabela1[[#This Row],[Valor Venda]]</f>
        <v>294.84000000000015</v>
      </c>
      <c r="L478" s="1">
        <v>44098</v>
      </c>
      <c r="M478" s="1">
        <v>44098</v>
      </c>
      <c r="N478">
        <v>475</v>
      </c>
      <c r="O478">
        <v>4</v>
      </c>
      <c r="P478" t="s">
        <v>25</v>
      </c>
      <c r="Q478">
        <v>0.08</v>
      </c>
      <c r="R478" s="7">
        <v>172.97279999999998</v>
      </c>
      <c r="S478">
        <v>6</v>
      </c>
      <c r="T478" t="s">
        <v>116</v>
      </c>
    </row>
    <row r="479" spans="1:20">
      <c r="A479">
        <v>476</v>
      </c>
      <c r="B479" s="1">
        <v>44083</v>
      </c>
      <c r="C479">
        <v>71</v>
      </c>
      <c r="D479" t="s">
        <v>20</v>
      </c>
      <c r="E479" t="s">
        <v>28</v>
      </c>
      <c r="F479" s="8">
        <v>27</v>
      </c>
      <c r="G479" s="7">
        <v>111</v>
      </c>
      <c r="H479" s="7">
        <v>2997</v>
      </c>
      <c r="I479" s="4">
        <v>0.15</v>
      </c>
      <c r="J479" s="7">
        <v>2547.4499999999998</v>
      </c>
      <c r="K479" s="7">
        <f>Tabela1[[#This Row],[Valor Bruto]]-Tabela1[[#This Row],[Valor Venda]]</f>
        <v>449.55000000000018</v>
      </c>
      <c r="L479" s="1">
        <v>44103</v>
      </c>
      <c r="M479" s="1">
        <v>44103</v>
      </c>
      <c r="N479">
        <v>476</v>
      </c>
      <c r="O479">
        <v>7</v>
      </c>
      <c r="P479" t="s">
        <v>52</v>
      </c>
      <c r="Q479">
        <v>0.05</v>
      </c>
      <c r="R479" s="7">
        <v>127.3725</v>
      </c>
      <c r="S479">
        <v>7</v>
      </c>
      <c r="T479" t="s">
        <v>116</v>
      </c>
    </row>
    <row r="480" spans="1:20">
      <c r="A480">
        <v>477</v>
      </c>
      <c r="B480" s="1">
        <v>44083</v>
      </c>
      <c r="C480">
        <v>17</v>
      </c>
      <c r="D480" t="s">
        <v>67</v>
      </c>
      <c r="E480" t="s">
        <v>24</v>
      </c>
      <c r="F480" s="8">
        <v>34</v>
      </c>
      <c r="G480" s="7">
        <v>98</v>
      </c>
      <c r="H480" s="7">
        <v>3332</v>
      </c>
      <c r="I480" s="4">
        <v>0.15</v>
      </c>
      <c r="J480" s="7">
        <v>2832.2</v>
      </c>
      <c r="K480" s="7">
        <f>Tabela1[[#This Row],[Valor Bruto]]-Tabela1[[#This Row],[Valor Venda]]</f>
        <v>499.80000000000018</v>
      </c>
      <c r="L480" s="1">
        <v>44093</v>
      </c>
      <c r="M480" s="1">
        <v>44093</v>
      </c>
      <c r="N480">
        <v>477</v>
      </c>
      <c r="O480">
        <v>7</v>
      </c>
      <c r="P480" t="s">
        <v>47</v>
      </c>
      <c r="Q480">
        <v>0.1</v>
      </c>
      <c r="R480" s="7">
        <v>283.21999999999997</v>
      </c>
      <c r="S480">
        <v>1</v>
      </c>
      <c r="T480" t="s">
        <v>116</v>
      </c>
    </row>
    <row r="481" spans="1:20">
      <c r="A481">
        <v>478</v>
      </c>
      <c r="B481" s="1">
        <v>44084</v>
      </c>
      <c r="C481">
        <v>22</v>
      </c>
      <c r="D481" t="s">
        <v>51</v>
      </c>
      <c r="E481" t="s">
        <v>50</v>
      </c>
      <c r="F481" s="8">
        <v>35</v>
      </c>
      <c r="G481" s="7">
        <v>118</v>
      </c>
      <c r="H481" s="7">
        <v>4130</v>
      </c>
      <c r="I481" s="4">
        <v>0.15</v>
      </c>
      <c r="J481" s="7">
        <v>3510.5</v>
      </c>
      <c r="K481" s="7">
        <f>Tabela1[[#This Row],[Valor Bruto]]-Tabela1[[#This Row],[Valor Venda]]</f>
        <v>619.5</v>
      </c>
      <c r="L481" s="1">
        <v>44104</v>
      </c>
      <c r="M481" s="1">
        <v>44104</v>
      </c>
      <c r="N481">
        <v>478</v>
      </c>
      <c r="O481">
        <v>7</v>
      </c>
      <c r="P481" t="s">
        <v>47</v>
      </c>
      <c r="Q481">
        <v>0.09</v>
      </c>
      <c r="R481" s="7">
        <v>315.94499999999999</v>
      </c>
      <c r="S481">
        <v>2</v>
      </c>
      <c r="T481" t="s">
        <v>116</v>
      </c>
    </row>
    <row r="482" spans="1:20">
      <c r="A482">
        <v>479</v>
      </c>
      <c r="B482" s="1">
        <v>44084</v>
      </c>
      <c r="C482">
        <v>3</v>
      </c>
      <c r="D482" t="s">
        <v>91</v>
      </c>
      <c r="E482" t="s">
        <v>24</v>
      </c>
      <c r="F482" s="8">
        <v>34</v>
      </c>
      <c r="G482" s="7">
        <v>96</v>
      </c>
      <c r="H482" s="7">
        <v>3264</v>
      </c>
      <c r="I482" s="4">
        <v>0.1</v>
      </c>
      <c r="J482" s="7">
        <v>2937.6</v>
      </c>
      <c r="K482" s="7">
        <f>Tabela1[[#This Row],[Valor Bruto]]-Tabela1[[#This Row],[Valor Venda]]</f>
        <v>326.40000000000009</v>
      </c>
      <c r="L482" s="1">
        <v>44091</v>
      </c>
      <c r="M482" s="1">
        <v>44091</v>
      </c>
      <c r="N482">
        <v>479</v>
      </c>
      <c r="O482">
        <v>7</v>
      </c>
      <c r="P482" t="s">
        <v>22</v>
      </c>
      <c r="Q482">
        <v>0.1</v>
      </c>
      <c r="R482" s="7">
        <v>293.76</v>
      </c>
      <c r="S482">
        <v>3</v>
      </c>
      <c r="T482" t="s">
        <v>116</v>
      </c>
    </row>
    <row r="483" spans="1:20">
      <c r="A483">
        <v>480</v>
      </c>
      <c r="B483" s="1">
        <v>44085</v>
      </c>
      <c r="C483">
        <v>19</v>
      </c>
      <c r="D483" t="s">
        <v>38</v>
      </c>
      <c r="E483" t="s">
        <v>28</v>
      </c>
      <c r="F483" s="8">
        <v>12</v>
      </c>
      <c r="G483" s="7">
        <v>106</v>
      </c>
      <c r="H483" s="7">
        <v>1272</v>
      </c>
      <c r="I483" s="4">
        <v>0.12</v>
      </c>
      <c r="J483" s="7">
        <v>1119.3600000000001</v>
      </c>
      <c r="K483" s="7">
        <f>Tabela1[[#This Row],[Valor Bruto]]-Tabela1[[#This Row],[Valor Venda]]</f>
        <v>152.63999999999987</v>
      </c>
      <c r="L483" s="1">
        <v>44115</v>
      </c>
      <c r="M483" s="1">
        <v>44115</v>
      </c>
      <c r="N483">
        <v>480</v>
      </c>
      <c r="O483">
        <v>1</v>
      </c>
      <c r="P483" t="s">
        <v>37</v>
      </c>
      <c r="Q483">
        <v>0.1</v>
      </c>
      <c r="R483" s="7">
        <v>111.93600000000002</v>
      </c>
      <c r="S483">
        <v>4</v>
      </c>
      <c r="T483" t="s">
        <v>116</v>
      </c>
    </row>
    <row r="484" spans="1:20">
      <c r="A484">
        <v>481</v>
      </c>
      <c r="B484" s="1">
        <v>44085</v>
      </c>
      <c r="C484">
        <v>18</v>
      </c>
      <c r="D484" t="s">
        <v>83</v>
      </c>
      <c r="E484" t="s">
        <v>50</v>
      </c>
      <c r="F484" s="8">
        <v>46</v>
      </c>
      <c r="G484" s="7">
        <v>105</v>
      </c>
      <c r="H484" s="7">
        <v>4830</v>
      </c>
      <c r="I484" s="4">
        <v>0.06</v>
      </c>
      <c r="J484" s="7">
        <v>4540.2</v>
      </c>
      <c r="K484" s="7">
        <f>Tabela1[[#This Row],[Valor Bruto]]-Tabela1[[#This Row],[Valor Venda]]</f>
        <v>289.80000000000018</v>
      </c>
      <c r="L484" s="1">
        <v>44114</v>
      </c>
      <c r="M484" s="1">
        <v>44114</v>
      </c>
      <c r="N484">
        <v>481</v>
      </c>
      <c r="O484">
        <v>1</v>
      </c>
      <c r="P484" t="s">
        <v>37</v>
      </c>
      <c r="Q484">
        <v>7.0000000000000007E-2</v>
      </c>
      <c r="R484" s="7">
        <v>317.81400000000002</v>
      </c>
      <c r="S484">
        <v>5</v>
      </c>
      <c r="T484" t="s">
        <v>116</v>
      </c>
    </row>
    <row r="485" spans="1:20">
      <c r="A485">
        <v>482</v>
      </c>
      <c r="B485" s="1">
        <v>44086</v>
      </c>
      <c r="C485">
        <v>27</v>
      </c>
      <c r="D485" t="s">
        <v>101</v>
      </c>
      <c r="E485" t="s">
        <v>55</v>
      </c>
      <c r="F485" s="8">
        <v>42</v>
      </c>
      <c r="G485" s="7">
        <v>95</v>
      </c>
      <c r="H485" s="7">
        <v>3990</v>
      </c>
      <c r="I485" s="4">
        <v>0.02</v>
      </c>
      <c r="J485" s="7">
        <v>3910.2</v>
      </c>
      <c r="K485" s="7">
        <f>Tabela1[[#This Row],[Valor Bruto]]-Tabela1[[#This Row],[Valor Venda]]</f>
        <v>79.800000000000182</v>
      </c>
      <c r="L485" s="1">
        <v>44095</v>
      </c>
      <c r="M485" s="1">
        <v>44095</v>
      </c>
      <c r="N485">
        <v>482</v>
      </c>
      <c r="O485">
        <v>4</v>
      </c>
      <c r="P485" t="s">
        <v>43</v>
      </c>
      <c r="Q485">
        <v>0.05</v>
      </c>
      <c r="R485" s="7">
        <v>195.51</v>
      </c>
      <c r="S485">
        <v>6</v>
      </c>
      <c r="T485" t="s">
        <v>116</v>
      </c>
    </row>
    <row r="486" spans="1:20">
      <c r="A486">
        <v>483</v>
      </c>
      <c r="B486" s="1">
        <v>44086</v>
      </c>
      <c r="C486">
        <v>61</v>
      </c>
      <c r="D486" t="s">
        <v>56</v>
      </c>
      <c r="E486" t="s">
        <v>46</v>
      </c>
      <c r="F486" s="8">
        <v>36</v>
      </c>
      <c r="G486" s="7">
        <v>104</v>
      </c>
      <c r="H486" s="7">
        <v>3744</v>
      </c>
      <c r="I486" s="4">
        <v>0.13</v>
      </c>
      <c r="J486" s="7">
        <v>3257.2799999999997</v>
      </c>
      <c r="K486" s="7">
        <f>Tabela1[[#This Row],[Valor Bruto]]-Tabela1[[#This Row],[Valor Venda]]</f>
        <v>486.72000000000025</v>
      </c>
      <c r="L486" s="1">
        <v>44097</v>
      </c>
      <c r="M486" s="1">
        <v>44097</v>
      </c>
      <c r="N486">
        <v>483</v>
      </c>
      <c r="O486">
        <v>6</v>
      </c>
      <c r="P486" t="s">
        <v>25</v>
      </c>
      <c r="Q486">
        <v>0.09</v>
      </c>
      <c r="R486" s="7">
        <v>293.15519999999998</v>
      </c>
      <c r="S486">
        <v>7</v>
      </c>
      <c r="T486" t="s">
        <v>116</v>
      </c>
    </row>
    <row r="487" spans="1:20">
      <c r="A487">
        <v>484</v>
      </c>
      <c r="B487" s="1">
        <v>44086</v>
      </c>
      <c r="C487">
        <v>72</v>
      </c>
      <c r="D487" t="s">
        <v>38</v>
      </c>
      <c r="E487" t="s">
        <v>50</v>
      </c>
      <c r="F487" s="8">
        <v>24</v>
      </c>
      <c r="G487" s="7">
        <v>112</v>
      </c>
      <c r="H487" s="7">
        <v>2688</v>
      </c>
      <c r="I487" s="4">
        <v>7.0000000000000007E-2</v>
      </c>
      <c r="J487" s="7">
        <v>2499.84</v>
      </c>
      <c r="K487" s="7">
        <f>Tabela1[[#This Row],[Valor Bruto]]-Tabela1[[#This Row],[Valor Venda]]</f>
        <v>188.15999999999985</v>
      </c>
      <c r="L487" s="1">
        <v>44109</v>
      </c>
      <c r="M487" s="1">
        <v>44109</v>
      </c>
      <c r="N487">
        <v>484</v>
      </c>
      <c r="O487">
        <v>7</v>
      </c>
      <c r="P487" t="s">
        <v>32</v>
      </c>
      <c r="Q487">
        <v>0.08</v>
      </c>
      <c r="R487" s="7">
        <v>199.98720000000003</v>
      </c>
      <c r="S487">
        <v>1</v>
      </c>
      <c r="T487" t="s">
        <v>116</v>
      </c>
    </row>
    <row r="488" spans="1:20">
      <c r="A488">
        <v>485</v>
      </c>
      <c r="B488" s="1">
        <v>44087</v>
      </c>
      <c r="C488">
        <v>77</v>
      </c>
      <c r="D488" t="s">
        <v>65</v>
      </c>
      <c r="E488" t="s">
        <v>46</v>
      </c>
      <c r="F488" s="8">
        <v>11</v>
      </c>
      <c r="G488" s="7">
        <v>90</v>
      </c>
      <c r="H488" s="7">
        <v>990</v>
      </c>
      <c r="I488" s="4">
        <v>0.08</v>
      </c>
      <c r="J488" s="7">
        <v>910.8</v>
      </c>
      <c r="K488" s="7">
        <f>Tabela1[[#This Row],[Valor Bruto]]-Tabela1[[#This Row],[Valor Venda]]</f>
        <v>79.200000000000045</v>
      </c>
      <c r="L488" s="1">
        <v>44102</v>
      </c>
      <c r="M488" s="1">
        <v>44102</v>
      </c>
      <c r="N488">
        <v>485</v>
      </c>
      <c r="O488">
        <v>5</v>
      </c>
      <c r="P488" t="s">
        <v>34</v>
      </c>
      <c r="Q488">
        <v>0.09</v>
      </c>
      <c r="R488" s="7">
        <v>81.971999999999994</v>
      </c>
      <c r="S488">
        <v>2</v>
      </c>
      <c r="T488" t="s">
        <v>116</v>
      </c>
    </row>
    <row r="489" spans="1:20">
      <c r="A489">
        <v>486</v>
      </c>
      <c r="B489" s="1">
        <v>44088</v>
      </c>
      <c r="C489">
        <v>77</v>
      </c>
      <c r="D489" t="s">
        <v>65</v>
      </c>
      <c r="E489" t="s">
        <v>31</v>
      </c>
      <c r="F489" s="8">
        <v>44</v>
      </c>
      <c r="G489" s="7">
        <v>98</v>
      </c>
      <c r="H489" s="7">
        <v>4312</v>
      </c>
      <c r="I489" s="4">
        <v>0.13</v>
      </c>
      <c r="J489" s="7">
        <v>3751.44</v>
      </c>
      <c r="K489" s="7">
        <f>Tabela1[[#This Row],[Valor Bruto]]-Tabela1[[#This Row],[Valor Venda]]</f>
        <v>560.55999999999995</v>
      </c>
      <c r="L489" s="1">
        <v>44106</v>
      </c>
      <c r="M489" s="1">
        <v>44106</v>
      </c>
      <c r="N489">
        <v>486</v>
      </c>
      <c r="O489">
        <v>4</v>
      </c>
      <c r="P489" t="s">
        <v>47</v>
      </c>
      <c r="Q489">
        <v>0.05</v>
      </c>
      <c r="R489" s="7">
        <v>187.572</v>
      </c>
      <c r="S489">
        <v>3</v>
      </c>
      <c r="T489" t="s">
        <v>116</v>
      </c>
    </row>
    <row r="490" spans="1:20">
      <c r="A490">
        <v>487</v>
      </c>
      <c r="B490" s="1">
        <v>44088</v>
      </c>
      <c r="C490">
        <v>70</v>
      </c>
      <c r="D490" t="s">
        <v>67</v>
      </c>
      <c r="E490" t="s">
        <v>28</v>
      </c>
      <c r="F490" s="8">
        <v>41</v>
      </c>
      <c r="G490" s="7">
        <v>99</v>
      </c>
      <c r="H490" s="7">
        <v>4059</v>
      </c>
      <c r="I490" s="4">
        <v>0.01</v>
      </c>
      <c r="J490" s="7">
        <v>4018.41</v>
      </c>
      <c r="K490" s="7">
        <f>Tabela1[[#This Row],[Valor Bruto]]-Tabela1[[#This Row],[Valor Venda]]</f>
        <v>40.590000000000146</v>
      </c>
      <c r="L490" s="1">
        <v>44109</v>
      </c>
      <c r="M490" s="1">
        <v>44109</v>
      </c>
      <c r="N490">
        <v>487</v>
      </c>
      <c r="O490">
        <v>1</v>
      </c>
      <c r="P490" t="s">
        <v>69</v>
      </c>
      <c r="Q490">
        <v>0.08</v>
      </c>
      <c r="R490" s="7">
        <v>321.47280000000001</v>
      </c>
      <c r="S490">
        <v>4</v>
      </c>
      <c r="T490" t="s">
        <v>116</v>
      </c>
    </row>
    <row r="491" spans="1:20">
      <c r="A491">
        <v>488</v>
      </c>
      <c r="B491" s="1">
        <v>44088</v>
      </c>
      <c r="C491">
        <v>35</v>
      </c>
      <c r="D491" t="s">
        <v>38</v>
      </c>
      <c r="E491" t="s">
        <v>41</v>
      </c>
      <c r="F491" s="8">
        <v>45</v>
      </c>
      <c r="G491" s="7">
        <v>117</v>
      </c>
      <c r="H491" s="7">
        <v>5265</v>
      </c>
      <c r="I491" s="4">
        <v>0.09</v>
      </c>
      <c r="J491" s="7">
        <v>4791.1499999999996</v>
      </c>
      <c r="K491" s="7">
        <f>Tabela1[[#This Row],[Valor Bruto]]-Tabela1[[#This Row],[Valor Venda]]</f>
        <v>473.85000000000036</v>
      </c>
      <c r="L491" s="1">
        <v>44108</v>
      </c>
      <c r="M491" s="1">
        <v>44108</v>
      </c>
      <c r="N491">
        <v>488</v>
      </c>
      <c r="O491">
        <v>2</v>
      </c>
      <c r="P491" t="s">
        <v>69</v>
      </c>
      <c r="Q491">
        <v>0.1</v>
      </c>
      <c r="R491" s="7">
        <v>479.11500000000001</v>
      </c>
      <c r="S491">
        <v>5</v>
      </c>
      <c r="T491" t="s">
        <v>116</v>
      </c>
    </row>
    <row r="492" spans="1:20">
      <c r="A492">
        <v>489</v>
      </c>
      <c r="B492" s="1">
        <v>44089</v>
      </c>
      <c r="C492">
        <v>89</v>
      </c>
      <c r="D492" t="s">
        <v>49</v>
      </c>
      <c r="E492" t="s">
        <v>50</v>
      </c>
      <c r="F492" s="8">
        <v>21</v>
      </c>
      <c r="G492" s="7">
        <v>95</v>
      </c>
      <c r="H492" s="7">
        <v>1995</v>
      </c>
      <c r="I492" s="4">
        <v>0.01</v>
      </c>
      <c r="J492" s="7">
        <v>1975.05</v>
      </c>
      <c r="K492" s="7">
        <f>Tabela1[[#This Row],[Valor Bruto]]-Tabela1[[#This Row],[Valor Venda]]</f>
        <v>19.950000000000045</v>
      </c>
      <c r="L492" s="1">
        <v>44113</v>
      </c>
      <c r="M492" s="1">
        <v>44113</v>
      </c>
      <c r="N492">
        <v>489</v>
      </c>
      <c r="O492">
        <v>3</v>
      </c>
      <c r="P492" t="s">
        <v>69</v>
      </c>
      <c r="Q492">
        <v>0.08</v>
      </c>
      <c r="R492" s="7">
        <v>158.00399999999999</v>
      </c>
      <c r="S492">
        <v>6</v>
      </c>
      <c r="T492" t="s">
        <v>116</v>
      </c>
    </row>
    <row r="493" spans="1:20">
      <c r="A493">
        <v>490</v>
      </c>
      <c r="B493" s="1">
        <v>44090</v>
      </c>
      <c r="C493">
        <v>85</v>
      </c>
      <c r="D493" t="s">
        <v>57</v>
      </c>
      <c r="E493" t="s">
        <v>46</v>
      </c>
      <c r="F493" s="8">
        <v>17</v>
      </c>
      <c r="G493" s="7">
        <v>114</v>
      </c>
      <c r="H493" s="7">
        <v>1938</v>
      </c>
      <c r="I493" s="4">
        <v>0.06</v>
      </c>
      <c r="J493" s="7">
        <v>1821.72</v>
      </c>
      <c r="K493" s="7">
        <f>Tabela1[[#This Row],[Valor Bruto]]-Tabela1[[#This Row],[Valor Venda]]</f>
        <v>116.27999999999997</v>
      </c>
      <c r="L493" s="1">
        <v>44093</v>
      </c>
      <c r="M493" s="1">
        <v>44093</v>
      </c>
      <c r="N493">
        <v>490</v>
      </c>
      <c r="O493">
        <v>6</v>
      </c>
      <c r="P493" t="s">
        <v>32</v>
      </c>
      <c r="Q493">
        <v>0.1</v>
      </c>
      <c r="R493" s="7">
        <v>182.17200000000003</v>
      </c>
      <c r="S493">
        <v>7</v>
      </c>
      <c r="T493" t="s">
        <v>116</v>
      </c>
    </row>
    <row r="494" spans="1:20">
      <c r="A494">
        <v>491</v>
      </c>
      <c r="B494" s="1">
        <v>44091</v>
      </c>
      <c r="C494">
        <v>84</v>
      </c>
      <c r="D494" t="s">
        <v>44</v>
      </c>
      <c r="E494" t="s">
        <v>46</v>
      </c>
      <c r="F494" s="8">
        <v>44</v>
      </c>
      <c r="G494" s="7">
        <v>93</v>
      </c>
      <c r="H494" s="7">
        <v>4092</v>
      </c>
      <c r="I494" s="4">
        <v>0.13</v>
      </c>
      <c r="J494" s="7">
        <v>3560.04</v>
      </c>
      <c r="K494" s="7">
        <f>Tabela1[[#This Row],[Valor Bruto]]-Tabela1[[#This Row],[Valor Venda]]</f>
        <v>531.96</v>
      </c>
      <c r="L494" s="1">
        <v>44113</v>
      </c>
      <c r="M494" s="1">
        <v>44113</v>
      </c>
      <c r="N494">
        <v>491</v>
      </c>
      <c r="O494">
        <v>5</v>
      </c>
      <c r="P494" t="s">
        <v>43</v>
      </c>
      <c r="Q494">
        <v>0.1</v>
      </c>
      <c r="R494" s="7">
        <v>356.00400000000002</v>
      </c>
      <c r="S494">
        <v>1</v>
      </c>
      <c r="T494" t="s">
        <v>116</v>
      </c>
    </row>
    <row r="495" spans="1:20">
      <c r="A495">
        <v>492</v>
      </c>
      <c r="B495" s="1">
        <v>44091</v>
      </c>
      <c r="C495">
        <v>83</v>
      </c>
      <c r="D495" t="s">
        <v>100</v>
      </c>
      <c r="E495" t="s">
        <v>54</v>
      </c>
      <c r="F495" s="8">
        <v>16</v>
      </c>
      <c r="G495" s="7">
        <v>119</v>
      </c>
      <c r="H495" s="7">
        <v>1904</v>
      </c>
      <c r="I495" s="4">
        <v>0.02</v>
      </c>
      <c r="J495" s="7">
        <v>1865.92</v>
      </c>
      <c r="K495" s="7">
        <f>Tabela1[[#This Row],[Valor Bruto]]-Tabela1[[#This Row],[Valor Venda]]</f>
        <v>38.079999999999927</v>
      </c>
      <c r="L495" s="1">
        <v>44094</v>
      </c>
      <c r="M495" s="1">
        <v>44094</v>
      </c>
      <c r="N495">
        <v>492</v>
      </c>
      <c r="O495">
        <v>5</v>
      </c>
      <c r="P495" t="s">
        <v>34</v>
      </c>
      <c r="Q495">
        <v>0.1</v>
      </c>
      <c r="R495" s="7">
        <v>186.59200000000001</v>
      </c>
      <c r="S495">
        <v>2</v>
      </c>
      <c r="T495" t="s">
        <v>116</v>
      </c>
    </row>
    <row r="496" spans="1:20">
      <c r="A496">
        <v>493</v>
      </c>
      <c r="B496" s="1">
        <v>44092</v>
      </c>
      <c r="C496">
        <v>6</v>
      </c>
      <c r="D496" t="s">
        <v>88</v>
      </c>
      <c r="E496" t="s">
        <v>50</v>
      </c>
      <c r="F496" s="8">
        <v>49</v>
      </c>
      <c r="G496" s="7">
        <v>112</v>
      </c>
      <c r="H496" s="7">
        <v>5488</v>
      </c>
      <c r="I496" s="4">
        <v>0.01</v>
      </c>
      <c r="J496" s="7">
        <v>5433.12</v>
      </c>
      <c r="K496" s="7">
        <f>Tabela1[[#This Row],[Valor Bruto]]-Tabela1[[#This Row],[Valor Venda]]</f>
        <v>54.880000000000109</v>
      </c>
      <c r="L496" s="1">
        <v>44111</v>
      </c>
      <c r="M496" s="1">
        <v>44111</v>
      </c>
      <c r="N496">
        <v>493</v>
      </c>
      <c r="O496">
        <v>5</v>
      </c>
      <c r="P496" t="s">
        <v>29</v>
      </c>
      <c r="Q496">
        <v>0.05</v>
      </c>
      <c r="R496" s="7">
        <v>271.65600000000001</v>
      </c>
      <c r="S496">
        <v>3</v>
      </c>
      <c r="T496" t="s">
        <v>116</v>
      </c>
    </row>
    <row r="497" spans="1:20">
      <c r="A497">
        <v>494</v>
      </c>
      <c r="B497" s="1">
        <v>44092</v>
      </c>
      <c r="C497">
        <v>94</v>
      </c>
      <c r="D497" t="s">
        <v>49</v>
      </c>
      <c r="E497" t="s">
        <v>55</v>
      </c>
      <c r="F497" s="8">
        <v>33</v>
      </c>
      <c r="G497" s="7">
        <v>115</v>
      </c>
      <c r="H497" s="7">
        <v>3795</v>
      </c>
      <c r="I497" s="4">
        <v>0.02</v>
      </c>
      <c r="J497" s="7">
        <v>3719.1</v>
      </c>
      <c r="K497" s="7">
        <f>Tabela1[[#This Row],[Valor Bruto]]-Tabela1[[#This Row],[Valor Venda]]</f>
        <v>75.900000000000091</v>
      </c>
      <c r="L497" s="1">
        <v>44117</v>
      </c>
      <c r="M497" s="1">
        <v>44117</v>
      </c>
      <c r="N497">
        <v>494</v>
      </c>
      <c r="O497">
        <v>7</v>
      </c>
      <c r="P497" t="s">
        <v>47</v>
      </c>
      <c r="Q497">
        <v>0.1</v>
      </c>
      <c r="R497" s="7">
        <v>371.91</v>
      </c>
      <c r="S497">
        <v>4</v>
      </c>
      <c r="T497" t="s">
        <v>116</v>
      </c>
    </row>
    <row r="498" spans="1:20">
      <c r="A498">
        <v>495</v>
      </c>
      <c r="B498" s="1">
        <v>44093</v>
      </c>
      <c r="C498">
        <v>97</v>
      </c>
      <c r="D498" t="s">
        <v>66</v>
      </c>
      <c r="E498" t="s">
        <v>54</v>
      </c>
      <c r="F498" s="8">
        <v>33</v>
      </c>
      <c r="G498" s="7">
        <v>102</v>
      </c>
      <c r="H498" s="7">
        <v>3366</v>
      </c>
      <c r="I498" s="4">
        <v>0.14000000000000001</v>
      </c>
      <c r="J498" s="7">
        <v>2894.7599999999998</v>
      </c>
      <c r="K498" s="7">
        <f>Tabela1[[#This Row],[Valor Bruto]]-Tabela1[[#This Row],[Valor Venda]]</f>
        <v>471.24000000000024</v>
      </c>
      <c r="L498" s="1">
        <v>44095</v>
      </c>
      <c r="M498" s="1">
        <v>44095</v>
      </c>
      <c r="N498">
        <v>495</v>
      </c>
      <c r="O498">
        <v>7</v>
      </c>
      <c r="P498" t="s">
        <v>47</v>
      </c>
      <c r="Q498">
        <v>7.0000000000000007E-2</v>
      </c>
      <c r="R498" s="7">
        <v>202.63320000000002</v>
      </c>
      <c r="S498">
        <v>5</v>
      </c>
      <c r="T498" t="s">
        <v>116</v>
      </c>
    </row>
    <row r="499" spans="1:20">
      <c r="A499">
        <v>496</v>
      </c>
      <c r="B499" s="1">
        <v>44094</v>
      </c>
      <c r="C499">
        <v>74</v>
      </c>
      <c r="D499" t="s">
        <v>38</v>
      </c>
      <c r="E499" t="s">
        <v>59</v>
      </c>
      <c r="F499" s="8">
        <v>15</v>
      </c>
      <c r="G499" s="7">
        <v>116</v>
      </c>
      <c r="H499" s="7">
        <v>1740</v>
      </c>
      <c r="I499" s="4">
        <v>0.05</v>
      </c>
      <c r="J499" s="7">
        <v>1653</v>
      </c>
      <c r="K499" s="7">
        <f>Tabela1[[#This Row],[Valor Bruto]]-Tabela1[[#This Row],[Valor Venda]]</f>
        <v>87</v>
      </c>
      <c r="L499" s="1">
        <v>44113</v>
      </c>
      <c r="M499" s="1">
        <v>44113</v>
      </c>
      <c r="N499">
        <v>496</v>
      </c>
      <c r="O499">
        <v>5</v>
      </c>
      <c r="P499" t="s">
        <v>47</v>
      </c>
      <c r="Q499">
        <v>0.06</v>
      </c>
      <c r="R499" s="7">
        <v>99.179999999999993</v>
      </c>
      <c r="S499">
        <v>6</v>
      </c>
      <c r="T499" t="s">
        <v>116</v>
      </c>
    </row>
    <row r="500" spans="1:20">
      <c r="A500">
        <v>497</v>
      </c>
      <c r="B500" s="1">
        <v>44094</v>
      </c>
      <c r="C500">
        <v>89</v>
      </c>
      <c r="D500" t="s">
        <v>49</v>
      </c>
      <c r="E500" t="s">
        <v>50</v>
      </c>
      <c r="F500" s="8">
        <v>14</v>
      </c>
      <c r="G500" s="7">
        <v>113</v>
      </c>
      <c r="H500" s="7">
        <v>1582</v>
      </c>
      <c r="I500" s="4">
        <v>0.13</v>
      </c>
      <c r="J500" s="7">
        <v>1376.34</v>
      </c>
      <c r="K500" s="7">
        <f>Tabela1[[#This Row],[Valor Bruto]]-Tabela1[[#This Row],[Valor Venda]]</f>
        <v>205.66000000000008</v>
      </c>
      <c r="L500" s="1">
        <v>44106</v>
      </c>
      <c r="M500" s="1">
        <v>44106</v>
      </c>
      <c r="N500">
        <v>497</v>
      </c>
      <c r="O500">
        <v>6</v>
      </c>
      <c r="P500" t="s">
        <v>69</v>
      </c>
      <c r="Q500">
        <v>0.09</v>
      </c>
      <c r="R500" s="7">
        <v>123.87059999999998</v>
      </c>
      <c r="S500">
        <v>7</v>
      </c>
      <c r="T500" t="s">
        <v>116</v>
      </c>
    </row>
    <row r="501" spans="1:20">
      <c r="A501">
        <v>498</v>
      </c>
      <c r="B501" s="1">
        <v>44094</v>
      </c>
      <c r="C501">
        <v>55</v>
      </c>
      <c r="D501" t="s">
        <v>44</v>
      </c>
      <c r="E501" t="s">
        <v>28</v>
      </c>
      <c r="F501" s="8">
        <v>23</v>
      </c>
      <c r="G501" s="7">
        <v>100</v>
      </c>
      <c r="H501" s="7">
        <v>2300</v>
      </c>
      <c r="I501" s="4">
        <v>0.11</v>
      </c>
      <c r="J501" s="7">
        <v>2047</v>
      </c>
      <c r="K501" s="7">
        <f>Tabela1[[#This Row],[Valor Bruto]]-Tabela1[[#This Row],[Valor Venda]]</f>
        <v>253</v>
      </c>
      <c r="L501" s="1">
        <v>44117</v>
      </c>
      <c r="M501" s="1">
        <v>44117</v>
      </c>
      <c r="N501">
        <v>498</v>
      </c>
      <c r="O501">
        <v>1</v>
      </c>
      <c r="P501" t="s">
        <v>47</v>
      </c>
      <c r="Q501">
        <v>0.08</v>
      </c>
      <c r="R501" s="7">
        <v>163.76</v>
      </c>
      <c r="S501">
        <v>1</v>
      </c>
      <c r="T501" t="s">
        <v>116</v>
      </c>
    </row>
    <row r="502" spans="1:20">
      <c r="A502">
        <v>499</v>
      </c>
      <c r="B502" s="1">
        <v>44097</v>
      </c>
      <c r="C502">
        <v>2</v>
      </c>
      <c r="D502" t="s">
        <v>35</v>
      </c>
      <c r="E502" t="s">
        <v>46</v>
      </c>
      <c r="F502" s="8">
        <v>40</v>
      </c>
      <c r="G502" s="7">
        <v>93</v>
      </c>
      <c r="H502" s="7">
        <v>3720</v>
      </c>
      <c r="I502" s="4">
        <v>0.06</v>
      </c>
      <c r="J502" s="7">
        <v>3496.8</v>
      </c>
      <c r="K502" s="7">
        <f>Tabela1[[#This Row],[Valor Bruto]]-Tabela1[[#This Row],[Valor Venda]]</f>
        <v>223.19999999999982</v>
      </c>
      <c r="L502" s="1">
        <v>44102</v>
      </c>
      <c r="M502" s="1">
        <v>44102</v>
      </c>
      <c r="N502">
        <v>499</v>
      </c>
      <c r="O502">
        <v>7</v>
      </c>
      <c r="P502" t="s">
        <v>25</v>
      </c>
      <c r="Q502">
        <v>0.09</v>
      </c>
      <c r="R502" s="7">
        <v>314.71199999999999</v>
      </c>
      <c r="S502">
        <v>2</v>
      </c>
      <c r="T502" t="s">
        <v>116</v>
      </c>
    </row>
    <row r="503" spans="1:20">
      <c r="A503">
        <v>500</v>
      </c>
      <c r="B503" s="1">
        <v>44098</v>
      </c>
      <c r="C503">
        <v>67</v>
      </c>
      <c r="D503" t="s">
        <v>106</v>
      </c>
      <c r="E503" t="s">
        <v>55</v>
      </c>
      <c r="F503" s="8">
        <v>34</v>
      </c>
      <c r="G503" s="7">
        <v>114</v>
      </c>
      <c r="H503" s="7">
        <v>3876</v>
      </c>
      <c r="I503" s="4">
        <v>0.05</v>
      </c>
      <c r="J503" s="7">
        <v>3682.2</v>
      </c>
      <c r="K503" s="7">
        <f>Tabela1[[#This Row],[Valor Bruto]]-Tabela1[[#This Row],[Valor Venda]]</f>
        <v>193.80000000000018</v>
      </c>
      <c r="L503" s="1">
        <v>44101</v>
      </c>
      <c r="M503" s="1">
        <v>44101</v>
      </c>
      <c r="N503">
        <v>500</v>
      </c>
      <c r="O503">
        <v>7</v>
      </c>
      <c r="P503" t="s">
        <v>47</v>
      </c>
      <c r="Q503">
        <v>7.0000000000000007E-2</v>
      </c>
      <c r="R503" s="7">
        <v>257.75400000000002</v>
      </c>
      <c r="S503">
        <v>3</v>
      </c>
      <c r="T503" t="s">
        <v>116</v>
      </c>
    </row>
    <row r="504" spans="1:20">
      <c r="A504">
        <v>501</v>
      </c>
      <c r="B504" s="1">
        <v>44099</v>
      </c>
      <c r="C504">
        <v>6</v>
      </c>
      <c r="D504" t="s">
        <v>88</v>
      </c>
      <c r="E504" t="s">
        <v>50</v>
      </c>
      <c r="F504" s="8">
        <v>44</v>
      </c>
      <c r="G504" s="7">
        <v>96</v>
      </c>
      <c r="H504" s="7">
        <v>4224</v>
      </c>
      <c r="I504" s="4">
        <v>0.09</v>
      </c>
      <c r="J504" s="7">
        <v>3843.84</v>
      </c>
      <c r="K504" s="7">
        <f>Tabela1[[#This Row],[Valor Bruto]]-Tabela1[[#This Row],[Valor Venda]]</f>
        <v>380.15999999999985</v>
      </c>
      <c r="L504" s="1">
        <v>44103</v>
      </c>
      <c r="M504" s="1">
        <v>44103</v>
      </c>
      <c r="N504">
        <v>501</v>
      </c>
      <c r="O504">
        <v>1</v>
      </c>
      <c r="P504" t="s">
        <v>43</v>
      </c>
      <c r="Q504">
        <v>0.05</v>
      </c>
      <c r="R504" s="7">
        <v>192.19200000000001</v>
      </c>
      <c r="S504">
        <v>4</v>
      </c>
      <c r="T504" t="s">
        <v>116</v>
      </c>
    </row>
    <row r="505" spans="1:20">
      <c r="A505">
        <v>502</v>
      </c>
      <c r="B505" s="1">
        <v>44099</v>
      </c>
      <c r="C505">
        <v>97</v>
      </c>
      <c r="D505" t="s">
        <v>66</v>
      </c>
      <c r="E505" t="s">
        <v>28</v>
      </c>
      <c r="F505" s="8">
        <v>36</v>
      </c>
      <c r="G505" s="7">
        <v>98</v>
      </c>
      <c r="H505" s="7">
        <v>3528</v>
      </c>
      <c r="I505" s="4">
        <v>0.1</v>
      </c>
      <c r="J505" s="7">
        <v>3175.2</v>
      </c>
      <c r="K505" s="7">
        <f>Tabela1[[#This Row],[Valor Bruto]]-Tabela1[[#This Row],[Valor Venda]]</f>
        <v>352.80000000000018</v>
      </c>
      <c r="L505" s="1">
        <v>44116</v>
      </c>
      <c r="M505" s="1">
        <v>44116</v>
      </c>
      <c r="N505">
        <v>502</v>
      </c>
      <c r="O505">
        <v>7</v>
      </c>
      <c r="P505" t="s">
        <v>29</v>
      </c>
      <c r="Q505">
        <v>7.0000000000000007E-2</v>
      </c>
      <c r="R505" s="7">
        <v>222.26400000000001</v>
      </c>
      <c r="S505">
        <v>5</v>
      </c>
      <c r="T505" t="s">
        <v>116</v>
      </c>
    </row>
    <row r="506" spans="1:20">
      <c r="A506">
        <v>503</v>
      </c>
      <c r="B506" s="1">
        <v>44099</v>
      </c>
      <c r="C506">
        <v>27</v>
      </c>
      <c r="D506" t="s">
        <v>101</v>
      </c>
      <c r="E506" t="s">
        <v>59</v>
      </c>
      <c r="F506" s="8">
        <v>34</v>
      </c>
      <c r="G506" s="7">
        <v>116</v>
      </c>
      <c r="H506" s="7">
        <v>3944</v>
      </c>
      <c r="I506" s="4">
        <v>0</v>
      </c>
      <c r="J506" s="7">
        <v>3944</v>
      </c>
      <c r="K506" s="7">
        <f>Tabela1[[#This Row],[Valor Bruto]]-Tabela1[[#This Row],[Valor Venda]]</f>
        <v>0</v>
      </c>
      <c r="L506" s="1">
        <v>44126</v>
      </c>
      <c r="M506" s="1">
        <v>44126</v>
      </c>
      <c r="N506">
        <v>503</v>
      </c>
      <c r="O506">
        <v>7</v>
      </c>
      <c r="P506" t="s">
        <v>47</v>
      </c>
      <c r="Q506">
        <v>7.0000000000000007E-2</v>
      </c>
      <c r="R506" s="7">
        <v>276.08000000000004</v>
      </c>
      <c r="S506">
        <v>6</v>
      </c>
      <c r="T506" t="s">
        <v>116</v>
      </c>
    </row>
    <row r="507" spans="1:20">
      <c r="A507">
        <v>504</v>
      </c>
      <c r="B507" s="1">
        <v>44100</v>
      </c>
      <c r="C507">
        <v>27</v>
      </c>
      <c r="D507" t="s">
        <v>101</v>
      </c>
      <c r="E507" t="s">
        <v>24</v>
      </c>
      <c r="F507" s="8">
        <v>44</v>
      </c>
      <c r="G507" s="7">
        <v>95</v>
      </c>
      <c r="H507" s="7">
        <v>4180</v>
      </c>
      <c r="I507" s="4">
        <v>0</v>
      </c>
      <c r="J507" s="7">
        <v>4180</v>
      </c>
      <c r="K507" s="7">
        <f>Tabela1[[#This Row],[Valor Bruto]]-Tabela1[[#This Row],[Valor Venda]]</f>
        <v>0</v>
      </c>
      <c r="L507" s="1">
        <v>44102</v>
      </c>
      <c r="M507" s="1">
        <v>44102</v>
      </c>
      <c r="N507">
        <v>504</v>
      </c>
      <c r="O507">
        <v>5</v>
      </c>
      <c r="P507" t="s">
        <v>47</v>
      </c>
      <c r="Q507">
        <v>0.06</v>
      </c>
      <c r="R507" s="7">
        <v>250.79999999999998</v>
      </c>
      <c r="S507">
        <v>7</v>
      </c>
      <c r="T507" t="s">
        <v>116</v>
      </c>
    </row>
    <row r="508" spans="1:20">
      <c r="A508">
        <v>505</v>
      </c>
      <c r="B508" s="1">
        <v>44100</v>
      </c>
      <c r="C508">
        <v>22</v>
      </c>
      <c r="D508" t="s">
        <v>51</v>
      </c>
      <c r="E508" t="s">
        <v>28</v>
      </c>
      <c r="F508" s="8">
        <v>35</v>
      </c>
      <c r="G508" s="7">
        <v>98</v>
      </c>
      <c r="H508" s="7">
        <v>3430</v>
      </c>
      <c r="I508" s="4">
        <v>0.04</v>
      </c>
      <c r="J508" s="7">
        <v>3292.8</v>
      </c>
      <c r="K508" s="7">
        <f>Tabela1[[#This Row],[Valor Bruto]]-Tabela1[[#This Row],[Valor Venda]]</f>
        <v>137.19999999999982</v>
      </c>
      <c r="L508" s="1">
        <v>44102</v>
      </c>
      <c r="M508" s="1">
        <v>44102</v>
      </c>
      <c r="N508">
        <v>505</v>
      </c>
      <c r="O508">
        <v>7</v>
      </c>
      <c r="P508" t="s">
        <v>22</v>
      </c>
      <c r="Q508">
        <v>0.05</v>
      </c>
      <c r="R508" s="7">
        <v>164.64000000000001</v>
      </c>
      <c r="S508">
        <v>1</v>
      </c>
      <c r="T508" t="s">
        <v>116</v>
      </c>
    </row>
    <row r="509" spans="1:20">
      <c r="A509">
        <v>506</v>
      </c>
      <c r="B509" s="1">
        <v>44102</v>
      </c>
      <c r="C509">
        <v>47</v>
      </c>
      <c r="D509" t="s">
        <v>40</v>
      </c>
      <c r="E509" t="s">
        <v>28</v>
      </c>
      <c r="F509" s="8">
        <v>44</v>
      </c>
      <c r="G509" s="7">
        <v>107</v>
      </c>
      <c r="H509" s="7">
        <v>4708</v>
      </c>
      <c r="I509" s="4">
        <v>0.01</v>
      </c>
      <c r="J509" s="7">
        <v>4660.92</v>
      </c>
      <c r="K509" s="7">
        <f>Tabela1[[#This Row],[Valor Bruto]]-Tabela1[[#This Row],[Valor Venda]]</f>
        <v>47.079999999999927</v>
      </c>
      <c r="L509" s="1">
        <v>44122</v>
      </c>
      <c r="M509" s="1">
        <v>44122</v>
      </c>
      <c r="N509">
        <v>506</v>
      </c>
      <c r="O509">
        <v>2</v>
      </c>
      <c r="P509" t="s">
        <v>29</v>
      </c>
      <c r="Q509">
        <v>0.1</v>
      </c>
      <c r="R509" s="7">
        <v>466.09200000000004</v>
      </c>
      <c r="S509">
        <v>2</v>
      </c>
      <c r="T509" t="s">
        <v>116</v>
      </c>
    </row>
    <row r="510" spans="1:20">
      <c r="A510">
        <v>507</v>
      </c>
      <c r="B510" s="1">
        <v>44104</v>
      </c>
      <c r="C510">
        <v>99</v>
      </c>
      <c r="D510" t="s">
        <v>84</v>
      </c>
      <c r="E510" t="s">
        <v>24</v>
      </c>
      <c r="F510" s="8">
        <v>19</v>
      </c>
      <c r="G510" s="7">
        <v>120</v>
      </c>
      <c r="H510" s="7">
        <v>2280</v>
      </c>
      <c r="I510" s="4">
        <v>0.13</v>
      </c>
      <c r="J510" s="7">
        <v>1983.6</v>
      </c>
      <c r="K510" s="7">
        <f>Tabela1[[#This Row],[Valor Bruto]]-Tabela1[[#This Row],[Valor Venda]]</f>
        <v>296.40000000000009</v>
      </c>
      <c r="L510" s="1">
        <v>44118</v>
      </c>
      <c r="M510" s="1">
        <v>44118</v>
      </c>
      <c r="N510">
        <v>507</v>
      </c>
      <c r="O510">
        <v>4</v>
      </c>
      <c r="P510" t="s">
        <v>34</v>
      </c>
      <c r="Q510">
        <v>0.09</v>
      </c>
      <c r="R510" s="7">
        <v>178.52399999999997</v>
      </c>
      <c r="S510">
        <v>3</v>
      </c>
      <c r="T510" t="s">
        <v>116</v>
      </c>
    </row>
    <row r="511" spans="1:20">
      <c r="A511">
        <v>508</v>
      </c>
      <c r="B511" s="1">
        <v>44104</v>
      </c>
      <c r="C511">
        <v>96</v>
      </c>
      <c r="D511" t="s">
        <v>42</v>
      </c>
      <c r="E511" t="s">
        <v>28</v>
      </c>
      <c r="F511" s="8">
        <v>10</v>
      </c>
      <c r="G511" s="7">
        <v>111</v>
      </c>
      <c r="H511" s="7">
        <v>1110</v>
      </c>
      <c r="I511" s="4">
        <v>0.04</v>
      </c>
      <c r="J511" s="7">
        <v>1065.5999999999999</v>
      </c>
      <c r="K511" s="7">
        <f>Tabela1[[#This Row],[Valor Bruto]]-Tabela1[[#This Row],[Valor Venda]]</f>
        <v>44.400000000000091</v>
      </c>
      <c r="L511" s="1">
        <v>44115</v>
      </c>
      <c r="M511" s="1">
        <v>44115</v>
      </c>
      <c r="N511">
        <v>508</v>
      </c>
      <c r="O511">
        <v>2</v>
      </c>
      <c r="P511" t="s">
        <v>37</v>
      </c>
      <c r="Q511">
        <v>0.06</v>
      </c>
      <c r="R511" s="7">
        <v>63.935999999999993</v>
      </c>
      <c r="S511">
        <v>4</v>
      </c>
      <c r="T511" t="s">
        <v>116</v>
      </c>
    </row>
    <row r="512" spans="1:20">
      <c r="A512">
        <v>509</v>
      </c>
      <c r="B512" s="1">
        <v>44105</v>
      </c>
      <c r="C512">
        <v>50</v>
      </c>
      <c r="D512" t="s">
        <v>81</v>
      </c>
      <c r="E512" t="s">
        <v>24</v>
      </c>
      <c r="F512" s="8">
        <v>37</v>
      </c>
      <c r="G512" s="7">
        <v>110</v>
      </c>
      <c r="H512" s="7">
        <v>4070</v>
      </c>
      <c r="I512" s="4">
        <v>0.06</v>
      </c>
      <c r="J512" s="7">
        <v>3825.8</v>
      </c>
      <c r="K512" s="7">
        <f>Tabela1[[#This Row],[Valor Bruto]]-Tabela1[[#This Row],[Valor Venda]]</f>
        <v>244.19999999999982</v>
      </c>
      <c r="L512" s="1">
        <v>44118</v>
      </c>
      <c r="M512" s="1">
        <v>44118</v>
      </c>
      <c r="N512">
        <v>509</v>
      </c>
      <c r="O512">
        <v>6</v>
      </c>
      <c r="P512" t="s">
        <v>29</v>
      </c>
      <c r="Q512">
        <v>0.08</v>
      </c>
      <c r="R512" s="7">
        <v>306.06400000000002</v>
      </c>
      <c r="S512">
        <v>5</v>
      </c>
      <c r="T512" t="s">
        <v>117</v>
      </c>
    </row>
    <row r="513" spans="1:20">
      <c r="A513">
        <v>510</v>
      </c>
      <c r="B513" s="1">
        <v>44105</v>
      </c>
      <c r="C513">
        <v>20</v>
      </c>
      <c r="D513" t="s">
        <v>39</v>
      </c>
      <c r="E513" t="s">
        <v>41</v>
      </c>
      <c r="F513" s="8">
        <v>22</v>
      </c>
      <c r="G513" s="7">
        <v>110</v>
      </c>
      <c r="H513" s="7">
        <v>2420</v>
      </c>
      <c r="I513" s="4">
        <v>0.05</v>
      </c>
      <c r="J513" s="7">
        <v>2299</v>
      </c>
      <c r="K513" s="7">
        <f>Tabela1[[#This Row],[Valor Bruto]]-Tabela1[[#This Row],[Valor Venda]]</f>
        <v>121</v>
      </c>
      <c r="L513" s="1">
        <v>44130</v>
      </c>
      <c r="M513" s="1">
        <v>44130</v>
      </c>
      <c r="N513">
        <v>510</v>
      </c>
      <c r="O513">
        <v>3</v>
      </c>
      <c r="P513" t="s">
        <v>47</v>
      </c>
      <c r="Q513">
        <v>0.05</v>
      </c>
      <c r="R513" s="7">
        <v>114.95</v>
      </c>
      <c r="S513">
        <v>6</v>
      </c>
      <c r="T513" t="s">
        <v>117</v>
      </c>
    </row>
    <row r="514" spans="1:20">
      <c r="A514">
        <v>511</v>
      </c>
      <c r="B514" s="1">
        <v>44106</v>
      </c>
      <c r="C514">
        <v>73</v>
      </c>
      <c r="D514" t="s">
        <v>38</v>
      </c>
      <c r="E514" t="s">
        <v>59</v>
      </c>
      <c r="F514" s="8">
        <v>43</v>
      </c>
      <c r="G514" s="7">
        <v>108</v>
      </c>
      <c r="H514" s="7">
        <v>4644</v>
      </c>
      <c r="I514" s="4">
        <v>0.1</v>
      </c>
      <c r="J514" s="7">
        <v>4179.6000000000004</v>
      </c>
      <c r="K514" s="7">
        <f>Tabela1[[#This Row],[Valor Bruto]]-Tabela1[[#This Row],[Valor Venda]]</f>
        <v>464.39999999999964</v>
      </c>
      <c r="L514" s="1">
        <v>44127</v>
      </c>
      <c r="M514" s="1">
        <v>44127</v>
      </c>
      <c r="N514">
        <v>511</v>
      </c>
      <c r="O514">
        <v>1</v>
      </c>
      <c r="P514" t="s">
        <v>43</v>
      </c>
      <c r="Q514">
        <v>0.1</v>
      </c>
      <c r="R514" s="7">
        <v>417.96000000000004</v>
      </c>
      <c r="S514">
        <v>7</v>
      </c>
      <c r="T514" t="s">
        <v>117</v>
      </c>
    </row>
    <row r="515" spans="1:20">
      <c r="A515">
        <v>512</v>
      </c>
      <c r="B515" s="1">
        <v>44106</v>
      </c>
      <c r="C515">
        <v>12</v>
      </c>
      <c r="D515" t="s">
        <v>45</v>
      </c>
      <c r="E515" t="s">
        <v>46</v>
      </c>
      <c r="F515" s="8">
        <v>40</v>
      </c>
      <c r="G515" s="7">
        <v>107</v>
      </c>
      <c r="H515" s="7">
        <v>4280</v>
      </c>
      <c r="I515" s="4">
        <v>0.12</v>
      </c>
      <c r="J515" s="7">
        <v>3766.4</v>
      </c>
      <c r="K515" s="7">
        <f>Tabela1[[#This Row],[Valor Bruto]]-Tabela1[[#This Row],[Valor Venda]]</f>
        <v>513.59999999999991</v>
      </c>
      <c r="L515" s="1">
        <v>44120</v>
      </c>
      <c r="M515" s="1">
        <v>44120</v>
      </c>
      <c r="N515">
        <v>512</v>
      </c>
      <c r="O515">
        <v>7</v>
      </c>
      <c r="P515" t="s">
        <v>43</v>
      </c>
      <c r="Q515">
        <v>0.1</v>
      </c>
      <c r="R515" s="7">
        <v>376.64000000000004</v>
      </c>
      <c r="S515">
        <v>1</v>
      </c>
      <c r="T515" t="s">
        <v>117</v>
      </c>
    </row>
    <row r="516" spans="1:20">
      <c r="A516">
        <v>513</v>
      </c>
      <c r="B516" s="1">
        <v>44106</v>
      </c>
      <c r="C516">
        <v>99</v>
      </c>
      <c r="D516" t="s">
        <v>84</v>
      </c>
      <c r="E516" t="s">
        <v>21</v>
      </c>
      <c r="F516" s="8">
        <v>13</v>
      </c>
      <c r="G516" s="7">
        <v>120</v>
      </c>
      <c r="H516" s="7">
        <v>1560</v>
      </c>
      <c r="I516" s="4">
        <v>0</v>
      </c>
      <c r="J516" s="7">
        <v>1560</v>
      </c>
      <c r="K516" s="7">
        <f>Tabela1[[#This Row],[Valor Bruto]]-Tabela1[[#This Row],[Valor Venda]]</f>
        <v>0</v>
      </c>
      <c r="L516" s="1">
        <v>44133</v>
      </c>
      <c r="M516" s="1">
        <v>44133</v>
      </c>
      <c r="N516">
        <v>513</v>
      </c>
      <c r="O516">
        <v>1</v>
      </c>
      <c r="P516" t="s">
        <v>29</v>
      </c>
      <c r="Q516">
        <v>7.0000000000000007E-2</v>
      </c>
      <c r="R516" s="7">
        <v>109.20000000000002</v>
      </c>
      <c r="S516">
        <v>2</v>
      </c>
      <c r="T516" t="s">
        <v>117</v>
      </c>
    </row>
    <row r="517" spans="1:20">
      <c r="A517">
        <v>514</v>
      </c>
      <c r="B517" s="1">
        <v>44107</v>
      </c>
      <c r="C517">
        <v>91</v>
      </c>
      <c r="D517" t="s">
        <v>62</v>
      </c>
      <c r="E517" t="s">
        <v>28</v>
      </c>
      <c r="F517" s="8">
        <v>46</v>
      </c>
      <c r="G517" s="7">
        <v>111</v>
      </c>
      <c r="H517" s="7">
        <v>5106</v>
      </c>
      <c r="I517" s="4">
        <v>0.04</v>
      </c>
      <c r="J517" s="7">
        <v>4901.76</v>
      </c>
      <c r="K517" s="7">
        <f>Tabela1[[#This Row],[Valor Bruto]]-Tabela1[[#This Row],[Valor Venda]]</f>
        <v>204.23999999999978</v>
      </c>
      <c r="L517" s="1">
        <v>44132</v>
      </c>
      <c r="M517" s="1">
        <v>44132</v>
      </c>
      <c r="N517">
        <v>514</v>
      </c>
      <c r="O517">
        <v>2</v>
      </c>
      <c r="P517" t="s">
        <v>37</v>
      </c>
      <c r="Q517">
        <v>0.09</v>
      </c>
      <c r="R517" s="7">
        <v>441.15840000000003</v>
      </c>
      <c r="S517">
        <v>3</v>
      </c>
      <c r="T517" t="s">
        <v>117</v>
      </c>
    </row>
    <row r="518" spans="1:20">
      <c r="A518">
        <v>515</v>
      </c>
      <c r="B518" s="1">
        <v>44107</v>
      </c>
      <c r="C518">
        <v>13</v>
      </c>
      <c r="D518" t="s">
        <v>75</v>
      </c>
      <c r="E518" t="s">
        <v>50</v>
      </c>
      <c r="F518" s="8">
        <v>48</v>
      </c>
      <c r="G518" s="7">
        <v>118</v>
      </c>
      <c r="H518" s="7">
        <v>5664</v>
      </c>
      <c r="I518" s="4">
        <v>0.03</v>
      </c>
      <c r="J518" s="7">
        <v>5494.08</v>
      </c>
      <c r="K518" s="7">
        <f>Tabela1[[#This Row],[Valor Bruto]]-Tabela1[[#This Row],[Valor Venda]]</f>
        <v>169.92000000000007</v>
      </c>
      <c r="L518" s="1">
        <v>44122</v>
      </c>
      <c r="M518" s="1">
        <v>44122</v>
      </c>
      <c r="N518">
        <v>515</v>
      </c>
      <c r="O518">
        <v>6</v>
      </c>
      <c r="P518" t="s">
        <v>43</v>
      </c>
      <c r="Q518">
        <v>0.06</v>
      </c>
      <c r="R518" s="7">
        <v>329.64479999999998</v>
      </c>
      <c r="S518">
        <v>4</v>
      </c>
      <c r="T518" t="s">
        <v>117</v>
      </c>
    </row>
    <row r="519" spans="1:20">
      <c r="A519">
        <v>516</v>
      </c>
      <c r="B519" s="1">
        <v>44107</v>
      </c>
      <c r="C519">
        <v>56</v>
      </c>
      <c r="D519" t="s">
        <v>67</v>
      </c>
      <c r="E519" t="s">
        <v>59</v>
      </c>
      <c r="F519" s="8">
        <v>25</v>
      </c>
      <c r="G519" s="7">
        <v>99</v>
      </c>
      <c r="H519" s="7">
        <v>2475</v>
      </c>
      <c r="I519" s="4">
        <v>0.1</v>
      </c>
      <c r="J519" s="7">
        <v>2227.5</v>
      </c>
      <c r="K519" s="7">
        <f>Tabela1[[#This Row],[Valor Bruto]]-Tabela1[[#This Row],[Valor Venda]]</f>
        <v>247.5</v>
      </c>
      <c r="L519" s="1">
        <v>44122</v>
      </c>
      <c r="M519" s="1">
        <v>44122</v>
      </c>
      <c r="N519">
        <v>516</v>
      </c>
      <c r="O519">
        <v>4</v>
      </c>
      <c r="P519" t="s">
        <v>25</v>
      </c>
      <c r="Q519">
        <v>0.05</v>
      </c>
      <c r="R519" s="7">
        <v>111.375</v>
      </c>
      <c r="S519">
        <v>5</v>
      </c>
      <c r="T519" t="s">
        <v>117</v>
      </c>
    </row>
    <row r="520" spans="1:20">
      <c r="A520">
        <v>517</v>
      </c>
      <c r="B520" s="1">
        <v>44107</v>
      </c>
      <c r="C520">
        <v>58</v>
      </c>
      <c r="D520" t="s">
        <v>72</v>
      </c>
      <c r="E520" t="s">
        <v>50</v>
      </c>
      <c r="F520" s="8">
        <v>49</v>
      </c>
      <c r="G520" s="7">
        <v>102</v>
      </c>
      <c r="H520" s="7">
        <v>4998</v>
      </c>
      <c r="I520" s="4">
        <v>0.04</v>
      </c>
      <c r="J520" s="7">
        <v>4798.08</v>
      </c>
      <c r="K520" s="7">
        <f>Tabela1[[#This Row],[Valor Bruto]]-Tabela1[[#This Row],[Valor Venda]]</f>
        <v>199.92000000000007</v>
      </c>
      <c r="L520" s="1">
        <v>44132</v>
      </c>
      <c r="M520" s="1">
        <v>44132</v>
      </c>
      <c r="N520">
        <v>517</v>
      </c>
      <c r="O520">
        <v>5</v>
      </c>
      <c r="P520" t="s">
        <v>52</v>
      </c>
      <c r="Q520">
        <v>0.09</v>
      </c>
      <c r="R520" s="7">
        <v>431.8272</v>
      </c>
      <c r="S520">
        <v>6</v>
      </c>
      <c r="T520" t="s">
        <v>117</v>
      </c>
    </row>
    <row r="521" spans="1:20">
      <c r="A521">
        <v>518</v>
      </c>
      <c r="B521" s="1">
        <v>44108</v>
      </c>
      <c r="C521">
        <v>55</v>
      </c>
      <c r="D521" t="s">
        <v>44</v>
      </c>
      <c r="E521" t="s">
        <v>21</v>
      </c>
      <c r="F521" s="8">
        <v>20</v>
      </c>
      <c r="G521" s="7">
        <v>98</v>
      </c>
      <c r="H521" s="7">
        <v>1960</v>
      </c>
      <c r="I521" s="4">
        <v>0.03</v>
      </c>
      <c r="J521" s="7">
        <v>1901.2</v>
      </c>
      <c r="K521" s="7">
        <f>Tabela1[[#This Row],[Valor Bruto]]-Tabela1[[#This Row],[Valor Venda]]</f>
        <v>58.799999999999955</v>
      </c>
      <c r="L521" s="1">
        <v>44130</v>
      </c>
      <c r="M521" s="1">
        <v>44130</v>
      </c>
      <c r="N521">
        <v>518</v>
      </c>
      <c r="O521">
        <v>6</v>
      </c>
      <c r="P521" t="s">
        <v>22</v>
      </c>
      <c r="Q521">
        <v>0.09</v>
      </c>
      <c r="R521" s="7">
        <v>171.108</v>
      </c>
      <c r="S521">
        <v>7</v>
      </c>
      <c r="T521" t="s">
        <v>117</v>
      </c>
    </row>
    <row r="522" spans="1:20">
      <c r="A522">
        <v>519</v>
      </c>
      <c r="B522" s="1">
        <v>44108</v>
      </c>
      <c r="C522">
        <v>51</v>
      </c>
      <c r="D522" t="s">
        <v>53</v>
      </c>
      <c r="E522" t="s">
        <v>46</v>
      </c>
      <c r="F522" s="8">
        <v>36</v>
      </c>
      <c r="G522" s="7">
        <v>113</v>
      </c>
      <c r="H522" s="7">
        <v>4068</v>
      </c>
      <c r="I522" s="4">
        <v>0.1</v>
      </c>
      <c r="J522" s="7">
        <v>3661.2</v>
      </c>
      <c r="K522" s="7">
        <f>Tabela1[[#This Row],[Valor Bruto]]-Tabela1[[#This Row],[Valor Venda]]</f>
        <v>406.80000000000018</v>
      </c>
      <c r="L522" s="1">
        <v>44116</v>
      </c>
      <c r="M522" s="1">
        <v>44116</v>
      </c>
      <c r="N522">
        <v>519</v>
      </c>
      <c r="O522">
        <v>3</v>
      </c>
      <c r="P522" t="s">
        <v>25</v>
      </c>
      <c r="Q522">
        <v>0.08</v>
      </c>
      <c r="R522" s="7">
        <v>292.89600000000002</v>
      </c>
      <c r="S522">
        <v>1</v>
      </c>
      <c r="T522" t="s">
        <v>117</v>
      </c>
    </row>
    <row r="523" spans="1:20">
      <c r="A523">
        <v>520</v>
      </c>
      <c r="B523" s="1">
        <v>44111</v>
      </c>
      <c r="C523">
        <v>82</v>
      </c>
      <c r="D523" t="s">
        <v>67</v>
      </c>
      <c r="E523" t="s">
        <v>50</v>
      </c>
      <c r="F523" s="8">
        <v>26</v>
      </c>
      <c r="G523" s="7">
        <v>107</v>
      </c>
      <c r="H523" s="7">
        <v>2782</v>
      </c>
      <c r="I523" s="4">
        <v>0.06</v>
      </c>
      <c r="J523" s="7">
        <v>2615.08</v>
      </c>
      <c r="K523" s="7">
        <f>Tabela1[[#This Row],[Valor Bruto]]-Tabela1[[#This Row],[Valor Venda]]</f>
        <v>166.92000000000007</v>
      </c>
      <c r="L523" s="1">
        <v>44130</v>
      </c>
      <c r="M523" s="1">
        <v>44130</v>
      </c>
      <c r="N523">
        <v>520</v>
      </c>
      <c r="O523">
        <v>3</v>
      </c>
      <c r="P523" t="s">
        <v>47</v>
      </c>
      <c r="Q523">
        <v>0.05</v>
      </c>
      <c r="R523" s="7">
        <v>130.75399999999999</v>
      </c>
      <c r="S523">
        <v>2</v>
      </c>
      <c r="T523" t="s">
        <v>117</v>
      </c>
    </row>
    <row r="524" spans="1:20">
      <c r="A524">
        <v>521</v>
      </c>
      <c r="B524" s="1">
        <v>44112</v>
      </c>
      <c r="C524">
        <v>69</v>
      </c>
      <c r="D524" t="s">
        <v>67</v>
      </c>
      <c r="E524" t="s">
        <v>28</v>
      </c>
      <c r="F524" s="8">
        <v>50</v>
      </c>
      <c r="G524" s="7">
        <v>117</v>
      </c>
      <c r="H524" s="7">
        <v>5850</v>
      </c>
      <c r="I524" s="4">
        <v>0.14000000000000001</v>
      </c>
      <c r="J524" s="7">
        <v>5031</v>
      </c>
      <c r="K524" s="7">
        <f>Tabela1[[#This Row],[Valor Bruto]]-Tabela1[[#This Row],[Valor Venda]]</f>
        <v>819</v>
      </c>
      <c r="L524" s="1">
        <v>44141</v>
      </c>
      <c r="M524" s="1">
        <v>44141</v>
      </c>
      <c r="N524">
        <v>521</v>
      </c>
      <c r="O524">
        <v>2</v>
      </c>
      <c r="P524" t="s">
        <v>29</v>
      </c>
      <c r="Q524">
        <v>0.06</v>
      </c>
      <c r="R524" s="7">
        <v>301.86</v>
      </c>
      <c r="S524">
        <v>3</v>
      </c>
      <c r="T524" t="s">
        <v>117</v>
      </c>
    </row>
    <row r="525" spans="1:20">
      <c r="A525">
        <v>522</v>
      </c>
      <c r="B525" s="1">
        <v>44113</v>
      </c>
      <c r="C525">
        <v>66</v>
      </c>
      <c r="D525" t="s">
        <v>30</v>
      </c>
      <c r="E525" t="s">
        <v>28</v>
      </c>
      <c r="F525" s="8">
        <v>16</v>
      </c>
      <c r="G525" s="7">
        <v>90</v>
      </c>
      <c r="H525" s="7">
        <v>1440</v>
      </c>
      <c r="I525" s="4">
        <v>0.09</v>
      </c>
      <c r="J525" s="7">
        <v>1310.4000000000001</v>
      </c>
      <c r="K525" s="7">
        <f>Tabela1[[#This Row],[Valor Bruto]]-Tabela1[[#This Row],[Valor Venda]]</f>
        <v>129.59999999999991</v>
      </c>
      <c r="L525" s="1">
        <v>44114</v>
      </c>
      <c r="M525" s="1">
        <v>44114</v>
      </c>
      <c r="N525">
        <v>522</v>
      </c>
      <c r="O525">
        <v>4</v>
      </c>
      <c r="P525" t="s">
        <v>25</v>
      </c>
      <c r="Q525">
        <v>0.09</v>
      </c>
      <c r="R525" s="7">
        <v>117.93600000000001</v>
      </c>
      <c r="S525">
        <v>4</v>
      </c>
      <c r="T525" t="s">
        <v>117</v>
      </c>
    </row>
    <row r="526" spans="1:20">
      <c r="A526">
        <v>523</v>
      </c>
      <c r="B526" s="1">
        <v>44113</v>
      </c>
      <c r="C526">
        <v>61</v>
      </c>
      <c r="D526" t="s">
        <v>56</v>
      </c>
      <c r="E526" t="s">
        <v>46</v>
      </c>
      <c r="F526" s="8">
        <v>40</v>
      </c>
      <c r="G526" s="7">
        <v>116</v>
      </c>
      <c r="H526" s="7">
        <v>4640</v>
      </c>
      <c r="I526" s="4">
        <v>0.05</v>
      </c>
      <c r="J526" s="7">
        <v>4408</v>
      </c>
      <c r="K526" s="7">
        <f>Tabela1[[#This Row],[Valor Bruto]]-Tabela1[[#This Row],[Valor Venda]]</f>
        <v>232</v>
      </c>
      <c r="L526" s="1">
        <v>44126</v>
      </c>
      <c r="M526" s="1">
        <v>44126</v>
      </c>
      <c r="N526">
        <v>523</v>
      </c>
      <c r="O526">
        <v>1</v>
      </c>
      <c r="P526" t="s">
        <v>22</v>
      </c>
      <c r="Q526">
        <v>0.1</v>
      </c>
      <c r="R526" s="7">
        <v>440.8</v>
      </c>
      <c r="S526">
        <v>5</v>
      </c>
      <c r="T526" t="s">
        <v>117</v>
      </c>
    </row>
    <row r="527" spans="1:20">
      <c r="A527">
        <v>524</v>
      </c>
      <c r="B527" s="1">
        <v>44113</v>
      </c>
      <c r="C527">
        <v>63</v>
      </c>
      <c r="D527" t="s">
        <v>80</v>
      </c>
      <c r="E527" t="s">
        <v>46</v>
      </c>
      <c r="F527" s="8">
        <v>40</v>
      </c>
      <c r="G527" s="7">
        <v>108</v>
      </c>
      <c r="H527" s="7">
        <v>4320</v>
      </c>
      <c r="I527" s="4">
        <v>0.04</v>
      </c>
      <c r="J527" s="7">
        <v>4147.2</v>
      </c>
      <c r="K527" s="7">
        <f>Tabela1[[#This Row],[Valor Bruto]]-Tabela1[[#This Row],[Valor Venda]]</f>
        <v>172.80000000000018</v>
      </c>
      <c r="L527" s="1">
        <v>44128</v>
      </c>
      <c r="M527" s="1">
        <v>44128</v>
      </c>
      <c r="N527">
        <v>524</v>
      </c>
      <c r="O527">
        <v>3</v>
      </c>
      <c r="P527" t="s">
        <v>29</v>
      </c>
      <c r="Q527">
        <v>7.0000000000000007E-2</v>
      </c>
      <c r="R527" s="7">
        <v>290.30400000000003</v>
      </c>
      <c r="S527">
        <v>6</v>
      </c>
      <c r="T527" t="s">
        <v>117</v>
      </c>
    </row>
    <row r="528" spans="1:20">
      <c r="A528">
        <v>525</v>
      </c>
      <c r="B528" s="1">
        <v>44114</v>
      </c>
      <c r="C528">
        <v>8</v>
      </c>
      <c r="D528" t="s">
        <v>38</v>
      </c>
      <c r="E528" t="s">
        <v>31</v>
      </c>
      <c r="F528" s="8">
        <v>42</v>
      </c>
      <c r="G528" s="7">
        <v>103</v>
      </c>
      <c r="H528" s="7">
        <v>4326</v>
      </c>
      <c r="I528" s="4">
        <v>0.01</v>
      </c>
      <c r="J528" s="7">
        <v>4282.74</v>
      </c>
      <c r="K528" s="7">
        <f>Tabela1[[#This Row],[Valor Bruto]]-Tabela1[[#This Row],[Valor Venda]]</f>
        <v>43.260000000000218</v>
      </c>
      <c r="L528" s="1">
        <v>44133</v>
      </c>
      <c r="M528" s="1">
        <v>44133</v>
      </c>
      <c r="N528">
        <v>525</v>
      </c>
      <c r="O528">
        <v>5</v>
      </c>
      <c r="P528" t="s">
        <v>34</v>
      </c>
      <c r="Q528">
        <v>0.09</v>
      </c>
      <c r="R528" s="7">
        <v>385.44659999999999</v>
      </c>
      <c r="S528">
        <v>7</v>
      </c>
      <c r="T528" t="s">
        <v>117</v>
      </c>
    </row>
    <row r="529" spans="1:20">
      <c r="A529">
        <v>526</v>
      </c>
      <c r="B529" s="1">
        <v>44114</v>
      </c>
      <c r="C529">
        <v>33</v>
      </c>
      <c r="D529" t="s">
        <v>76</v>
      </c>
      <c r="E529" t="s">
        <v>28</v>
      </c>
      <c r="F529" s="8">
        <v>39</v>
      </c>
      <c r="G529" s="7">
        <v>120</v>
      </c>
      <c r="H529" s="7">
        <v>4680</v>
      </c>
      <c r="I529" s="4">
        <v>0.11</v>
      </c>
      <c r="J529" s="7">
        <v>4165.2</v>
      </c>
      <c r="K529" s="7">
        <f>Tabela1[[#This Row],[Valor Bruto]]-Tabela1[[#This Row],[Valor Venda]]</f>
        <v>514.80000000000018</v>
      </c>
      <c r="L529" s="1">
        <v>44131</v>
      </c>
      <c r="M529" s="1">
        <v>44131</v>
      </c>
      <c r="N529">
        <v>526</v>
      </c>
      <c r="O529">
        <v>4</v>
      </c>
      <c r="P529" t="s">
        <v>32</v>
      </c>
      <c r="Q529">
        <v>0.05</v>
      </c>
      <c r="R529" s="7">
        <v>208.26</v>
      </c>
      <c r="S529">
        <v>1</v>
      </c>
      <c r="T529" t="s">
        <v>117</v>
      </c>
    </row>
    <row r="530" spans="1:20">
      <c r="A530">
        <v>527</v>
      </c>
      <c r="B530" s="1">
        <v>44114</v>
      </c>
      <c r="C530">
        <v>24</v>
      </c>
      <c r="D530" t="s">
        <v>74</v>
      </c>
      <c r="E530" t="s">
        <v>55</v>
      </c>
      <c r="F530" s="8">
        <v>38</v>
      </c>
      <c r="G530" s="7">
        <v>96</v>
      </c>
      <c r="H530" s="7">
        <v>3648</v>
      </c>
      <c r="I530" s="4">
        <v>0.03</v>
      </c>
      <c r="J530" s="7">
        <v>3538.56</v>
      </c>
      <c r="K530" s="7">
        <f>Tabela1[[#This Row],[Valor Bruto]]-Tabela1[[#This Row],[Valor Venda]]</f>
        <v>109.44000000000005</v>
      </c>
      <c r="L530" s="1">
        <v>44125</v>
      </c>
      <c r="M530" s="1">
        <v>44125</v>
      </c>
      <c r="N530">
        <v>527</v>
      </c>
      <c r="O530">
        <v>1</v>
      </c>
      <c r="P530" t="s">
        <v>25</v>
      </c>
      <c r="Q530">
        <v>0.05</v>
      </c>
      <c r="R530" s="7">
        <v>176.928</v>
      </c>
      <c r="S530">
        <v>2</v>
      </c>
      <c r="T530" t="s">
        <v>117</v>
      </c>
    </row>
    <row r="531" spans="1:20">
      <c r="A531">
        <v>528</v>
      </c>
      <c r="B531" s="1">
        <v>44115</v>
      </c>
      <c r="C531">
        <v>5</v>
      </c>
      <c r="D531" t="s">
        <v>38</v>
      </c>
      <c r="E531" t="s">
        <v>55</v>
      </c>
      <c r="F531" s="8">
        <v>32</v>
      </c>
      <c r="G531" s="7">
        <v>112</v>
      </c>
      <c r="H531" s="7">
        <v>3584</v>
      </c>
      <c r="I531" s="4">
        <v>0.04</v>
      </c>
      <c r="J531" s="7">
        <v>3440.64</v>
      </c>
      <c r="K531" s="7">
        <f>Tabela1[[#This Row],[Valor Bruto]]-Tabela1[[#This Row],[Valor Venda]]</f>
        <v>143.36000000000013</v>
      </c>
      <c r="L531" s="1">
        <v>44127</v>
      </c>
      <c r="M531" s="1">
        <v>44127</v>
      </c>
      <c r="N531">
        <v>528</v>
      </c>
      <c r="O531">
        <v>5</v>
      </c>
      <c r="P531" t="s">
        <v>47</v>
      </c>
      <c r="Q531">
        <v>0.09</v>
      </c>
      <c r="R531" s="7">
        <v>309.6576</v>
      </c>
      <c r="S531">
        <v>3</v>
      </c>
      <c r="T531" t="s">
        <v>117</v>
      </c>
    </row>
    <row r="532" spans="1:20">
      <c r="A532">
        <v>529</v>
      </c>
      <c r="B532" s="1">
        <v>44115</v>
      </c>
      <c r="C532">
        <v>29</v>
      </c>
      <c r="D532" t="s">
        <v>98</v>
      </c>
      <c r="E532" t="s">
        <v>31</v>
      </c>
      <c r="F532" s="8">
        <v>20</v>
      </c>
      <c r="G532" s="7">
        <v>108</v>
      </c>
      <c r="H532" s="7">
        <v>2160</v>
      </c>
      <c r="I532" s="4">
        <v>0</v>
      </c>
      <c r="J532" s="7">
        <v>2160</v>
      </c>
      <c r="K532" s="7">
        <f>Tabela1[[#This Row],[Valor Bruto]]-Tabela1[[#This Row],[Valor Venda]]</f>
        <v>0</v>
      </c>
      <c r="L532" s="1">
        <v>44135</v>
      </c>
      <c r="M532" s="1">
        <v>44135</v>
      </c>
      <c r="N532">
        <v>529</v>
      </c>
      <c r="O532">
        <v>6</v>
      </c>
      <c r="P532" t="s">
        <v>47</v>
      </c>
      <c r="Q532">
        <v>7.0000000000000007E-2</v>
      </c>
      <c r="R532" s="7">
        <v>151.20000000000002</v>
      </c>
      <c r="S532">
        <v>4</v>
      </c>
      <c r="T532" t="s">
        <v>117</v>
      </c>
    </row>
    <row r="533" spans="1:20">
      <c r="A533">
        <v>530</v>
      </c>
      <c r="B533" s="1">
        <v>44115</v>
      </c>
      <c r="C533">
        <v>56</v>
      </c>
      <c r="D533" t="s">
        <v>67</v>
      </c>
      <c r="E533" t="s">
        <v>55</v>
      </c>
      <c r="F533" s="8">
        <v>22</v>
      </c>
      <c r="G533" s="7">
        <v>101</v>
      </c>
      <c r="H533" s="7">
        <v>2222</v>
      </c>
      <c r="I533" s="4">
        <v>0.15</v>
      </c>
      <c r="J533" s="7">
        <v>1888.7</v>
      </c>
      <c r="K533" s="7">
        <f>Tabela1[[#This Row],[Valor Bruto]]-Tabela1[[#This Row],[Valor Venda]]</f>
        <v>333.29999999999995</v>
      </c>
      <c r="L533" s="1">
        <v>44128</v>
      </c>
      <c r="M533" s="1">
        <v>44128</v>
      </c>
      <c r="N533">
        <v>530</v>
      </c>
      <c r="O533">
        <v>7</v>
      </c>
      <c r="P533" t="s">
        <v>43</v>
      </c>
      <c r="Q533">
        <v>0.06</v>
      </c>
      <c r="R533" s="7">
        <v>113.322</v>
      </c>
      <c r="S533">
        <v>5</v>
      </c>
      <c r="T533" t="s">
        <v>117</v>
      </c>
    </row>
    <row r="534" spans="1:20">
      <c r="A534">
        <v>531</v>
      </c>
      <c r="B534" s="1">
        <v>44116</v>
      </c>
      <c r="C534">
        <v>22</v>
      </c>
      <c r="D534" t="s">
        <v>51</v>
      </c>
      <c r="E534" t="s">
        <v>24</v>
      </c>
      <c r="F534" s="8">
        <v>42</v>
      </c>
      <c r="G534" s="7">
        <v>91</v>
      </c>
      <c r="H534" s="7">
        <v>3822</v>
      </c>
      <c r="I534" s="4">
        <v>0.09</v>
      </c>
      <c r="J534" s="7">
        <v>3478.02</v>
      </c>
      <c r="K534" s="7">
        <f>Tabela1[[#This Row],[Valor Bruto]]-Tabela1[[#This Row],[Valor Venda]]</f>
        <v>343.98</v>
      </c>
      <c r="L534" s="1">
        <v>44145</v>
      </c>
      <c r="M534" s="1">
        <v>44145</v>
      </c>
      <c r="N534">
        <v>531</v>
      </c>
      <c r="O534">
        <v>4</v>
      </c>
      <c r="P534" t="s">
        <v>34</v>
      </c>
      <c r="Q534">
        <v>7.0000000000000007E-2</v>
      </c>
      <c r="R534" s="7">
        <v>243.46140000000003</v>
      </c>
      <c r="S534">
        <v>6</v>
      </c>
      <c r="T534" t="s">
        <v>117</v>
      </c>
    </row>
    <row r="535" spans="1:20">
      <c r="A535">
        <v>532</v>
      </c>
      <c r="B535" s="1">
        <v>44116</v>
      </c>
      <c r="C535">
        <v>89</v>
      </c>
      <c r="D535" t="s">
        <v>49</v>
      </c>
      <c r="E535" t="s">
        <v>24</v>
      </c>
      <c r="F535" s="8">
        <v>48</v>
      </c>
      <c r="G535" s="7">
        <v>98</v>
      </c>
      <c r="H535" s="7">
        <v>4704</v>
      </c>
      <c r="I535" s="4">
        <v>0.04</v>
      </c>
      <c r="J535" s="7">
        <v>4515.84</v>
      </c>
      <c r="K535" s="7">
        <f>Tabela1[[#This Row],[Valor Bruto]]-Tabela1[[#This Row],[Valor Venda]]</f>
        <v>188.15999999999985</v>
      </c>
      <c r="L535" s="1">
        <v>44123</v>
      </c>
      <c r="M535" s="1">
        <v>44123</v>
      </c>
      <c r="N535">
        <v>532</v>
      </c>
      <c r="O535">
        <v>3</v>
      </c>
      <c r="P535" t="s">
        <v>52</v>
      </c>
      <c r="Q535">
        <v>0.1</v>
      </c>
      <c r="R535" s="7">
        <v>451.58400000000006</v>
      </c>
      <c r="S535">
        <v>7</v>
      </c>
      <c r="T535" t="s">
        <v>117</v>
      </c>
    </row>
    <row r="536" spans="1:20">
      <c r="A536">
        <v>533</v>
      </c>
      <c r="B536" s="1">
        <v>44116</v>
      </c>
      <c r="C536">
        <v>90</v>
      </c>
      <c r="D536" t="s">
        <v>60</v>
      </c>
      <c r="E536" t="s">
        <v>24</v>
      </c>
      <c r="F536" s="8">
        <v>42</v>
      </c>
      <c r="G536" s="7">
        <v>116</v>
      </c>
      <c r="H536" s="7">
        <v>4872</v>
      </c>
      <c r="I536" s="4">
        <v>0.02</v>
      </c>
      <c r="J536" s="7">
        <v>4774.5600000000004</v>
      </c>
      <c r="K536" s="7">
        <f>Tabela1[[#This Row],[Valor Bruto]]-Tabela1[[#This Row],[Valor Venda]]</f>
        <v>97.4399999999996</v>
      </c>
      <c r="L536" s="1">
        <v>44138</v>
      </c>
      <c r="M536" s="1">
        <v>44138</v>
      </c>
      <c r="N536">
        <v>533</v>
      </c>
      <c r="O536">
        <v>1</v>
      </c>
      <c r="P536" t="s">
        <v>69</v>
      </c>
      <c r="Q536">
        <v>0.05</v>
      </c>
      <c r="R536" s="7">
        <v>238.72800000000004</v>
      </c>
      <c r="S536">
        <v>1</v>
      </c>
      <c r="T536" t="s">
        <v>117</v>
      </c>
    </row>
    <row r="537" spans="1:20">
      <c r="A537">
        <v>534</v>
      </c>
      <c r="B537" s="1">
        <v>44116</v>
      </c>
      <c r="C537">
        <v>77</v>
      </c>
      <c r="D537" t="s">
        <v>65</v>
      </c>
      <c r="E537" t="s">
        <v>24</v>
      </c>
      <c r="F537" s="8">
        <v>17</v>
      </c>
      <c r="G537" s="7">
        <v>113</v>
      </c>
      <c r="H537" s="7">
        <v>1921</v>
      </c>
      <c r="I537" s="4">
        <v>0.13</v>
      </c>
      <c r="J537" s="7">
        <v>1671.27</v>
      </c>
      <c r="K537" s="7">
        <f>Tabela1[[#This Row],[Valor Bruto]]-Tabela1[[#This Row],[Valor Venda]]</f>
        <v>249.73000000000002</v>
      </c>
      <c r="L537" s="1">
        <v>44135</v>
      </c>
      <c r="M537" s="1">
        <v>44135</v>
      </c>
      <c r="N537">
        <v>534</v>
      </c>
      <c r="O537">
        <v>7</v>
      </c>
      <c r="P537" t="s">
        <v>34</v>
      </c>
      <c r="Q537">
        <v>7.0000000000000007E-2</v>
      </c>
      <c r="R537" s="7">
        <v>116.98890000000002</v>
      </c>
      <c r="S537">
        <v>2</v>
      </c>
      <c r="T537" t="s">
        <v>117</v>
      </c>
    </row>
    <row r="538" spans="1:20">
      <c r="A538">
        <v>535</v>
      </c>
      <c r="B538" s="1">
        <v>44118</v>
      </c>
      <c r="C538">
        <v>13</v>
      </c>
      <c r="D538" t="s">
        <v>75</v>
      </c>
      <c r="E538" t="s">
        <v>54</v>
      </c>
      <c r="F538" s="8">
        <v>19</v>
      </c>
      <c r="G538" s="7">
        <v>109</v>
      </c>
      <c r="H538" s="7">
        <v>2071</v>
      </c>
      <c r="I538" s="4">
        <v>0.11</v>
      </c>
      <c r="J538" s="7">
        <v>1843.19</v>
      </c>
      <c r="K538" s="7">
        <f>Tabela1[[#This Row],[Valor Bruto]]-Tabela1[[#This Row],[Valor Venda]]</f>
        <v>227.80999999999995</v>
      </c>
      <c r="L538" s="1">
        <v>44144</v>
      </c>
      <c r="M538" s="1">
        <v>44144</v>
      </c>
      <c r="N538">
        <v>535</v>
      </c>
      <c r="O538">
        <v>5</v>
      </c>
      <c r="P538" t="s">
        <v>34</v>
      </c>
      <c r="Q538">
        <v>0.1</v>
      </c>
      <c r="R538" s="7">
        <v>184.31900000000002</v>
      </c>
      <c r="S538">
        <v>3</v>
      </c>
      <c r="T538" t="s">
        <v>117</v>
      </c>
    </row>
    <row r="539" spans="1:20">
      <c r="A539">
        <v>536</v>
      </c>
      <c r="B539" s="1">
        <v>44118</v>
      </c>
      <c r="C539">
        <v>40</v>
      </c>
      <c r="D539" t="s">
        <v>49</v>
      </c>
      <c r="E539" t="s">
        <v>31</v>
      </c>
      <c r="F539" s="8">
        <v>12</v>
      </c>
      <c r="G539" s="7">
        <v>103</v>
      </c>
      <c r="H539" s="7">
        <v>1236</v>
      </c>
      <c r="I539" s="4">
        <v>0.06</v>
      </c>
      <c r="J539" s="7">
        <v>1161.8399999999999</v>
      </c>
      <c r="K539" s="7">
        <f>Tabela1[[#This Row],[Valor Bruto]]-Tabela1[[#This Row],[Valor Venda]]</f>
        <v>74.160000000000082</v>
      </c>
      <c r="L539" s="1">
        <v>44142</v>
      </c>
      <c r="M539" s="1">
        <v>44142</v>
      </c>
      <c r="N539">
        <v>536</v>
      </c>
      <c r="O539">
        <v>7</v>
      </c>
      <c r="P539" t="s">
        <v>47</v>
      </c>
      <c r="Q539">
        <v>0.1</v>
      </c>
      <c r="R539" s="7">
        <v>116.184</v>
      </c>
      <c r="S539">
        <v>4</v>
      </c>
      <c r="T539" t="s">
        <v>117</v>
      </c>
    </row>
    <row r="540" spans="1:20">
      <c r="A540">
        <v>537</v>
      </c>
      <c r="B540" s="1">
        <v>44118</v>
      </c>
      <c r="C540">
        <v>62</v>
      </c>
      <c r="D540" t="s">
        <v>38</v>
      </c>
      <c r="E540" t="s">
        <v>31</v>
      </c>
      <c r="F540" s="8">
        <v>15</v>
      </c>
      <c r="G540" s="7">
        <v>92</v>
      </c>
      <c r="H540" s="7">
        <v>1380</v>
      </c>
      <c r="I540" s="4">
        <v>0.12</v>
      </c>
      <c r="J540" s="7">
        <v>1214.4000000000001</v>
      </c>
      <c r="K540" s="7">
        <f>Tabela1[[#This Row],[Valor Bruto]]-Tabela1[[#This Row],[Valor Venda]]</f>
        <v>165.59999999999991</v>
      </c>
      <c r="L540" s="1">
        <v>44144</v>
      </c>
      <c r="M540" s="1">
        <v>44144</v>
      </c>
      <c r="N540">
        <v>537</v>
      </c>
      <c r="O540">
        <v>6</v>
      </c>
      <c r="P540" t="s">
        <v>69</v>
      </c>
      <c r="Q540">
        <v>0.09</v>
      </c>
      <c r="R540" s="7">
        <v>109.29600000000001</v>
      </c>
      <c r="S540">
        <v>5</v>
      </c>
      <c r="T540" t="s">
        <v>117</v>
      </c>
    </row>
    <row r="541" spans="1:20">
      <c r="A541">
        <v>538</v>
      </c>
      <c r="B541" s="1">
        <v>44119</v>
      </c>
      <c r="C541">
        <v>39</v>
      </c>
      <c r="D541" t="s">
        <v>38</v>
      </c>
      <c r="E541" t="s">
        <v>59</v>
      </c>
      <c r="F541" s="8">
        <v>49</v>
      </c>
      <c r="G541" s="7">
        <v>113</v>
      </c>
      <c r="H541" s="7">
        <v>5537</v>
      </c>
      <c r="I541" s="4">
        <v>0.09</v>
      </c>
      <c r="J541" s="7">
        <v>5038.67</v>
      </c>
      <c r="K541" s="7">
        <f>Tabela1[[#This Row],[Valor Bruto]]-Tabela1[[#This Row],[Valor Venda]]</f>
        <v>498.32999999999993</v>
      </c>
      <c r="L541" s="1">
        <v>44124</v>
      </c>
      <c r="M541" s="1">
        <v>44124</v>
      </c>
      <c r="N541">
        <v>538</v>
      </c>
      <c r="O541">
        <v>2</v>
      </c>
      <c r="P541" t="s">
        <v>34</v>
      </c>
      <c r="Q541">
        <v>0.09</v>
      </c>
      <c r="R541" s="7">
        <v>453.4803</v>
      </c>
      <c r="S541">
        <v>6</v>
      </c>
      <c r="T541" t="s">
        <v>117</v>
      </c>
    </row>
    <row r="542" spans="1:20">
      <c r="A542">
        <v>539</v>
      </c>
      <c r="B542" s="1">
        <v>44119</v>
      </c>
      <c r="C542">
        <v>76</v>
      </c>
      <c r="D542" t="s">
        <v>104</v>
      </c>
      <c r="E542" t="s">
        <v>46</v>
      </c>
      <c r="F542" s="8">
        <v>15</v>
      </c>
      <c r="G542" s="7">
        <v>102</v>
      </c>
      <c r="H542" s="7">
        <v>1530</v>
      </c>
      <c r="I542" s="4">
        <v>0.06</v>
      </c>
      <c r="J542" s="7">
        <v>1438.2</v>
      </c>
      <c r="K542" s="7">
        <f>Tabela1[[#This Row],[Valor Bruto]]-Tabela1[[#This Row],[Valor Venda]]</f>
        <v>91.799999999999955</v>
      </c>
      <c r="L542" s="1">
        <v>44135</v>
      </c>
      <c r="M542" s="1">
        <v>44135</v>
      </c>
      <c r="N542">
        <v>539</v>
      </c>
      <c r="O542">
        <v>2</v>
      </c>
      <c r="P542" t="s">
        <v>25</v>
      </c>
      <c r="Q542">
        <v>0.1</v>
      </c>
      <c r="R542" s="7">
        <v>143.82000000000002</v>
      </c>
      <c r="S542">
        <v>7</v>
      </c>
      <c r="T542" t="s">
        <v>117</v>
      </c>
    </row>
    <row r="543" spans="1:20">
      <c r="A543">
        <v>540</v>
      </c>
      <c r="B543" s="1">
        <v>44121</v>
      </c>
      <c r="C543">
        <v>54</v>
      </c>
      <c r="D543" t="s">
        <v>79</v>
      </c>
      <c r="E543" t="s">
        <v>55</v>
      </c>
      <c r="F543" s="8">
        <v>18</v>
      </c>
      <c r="G543" s="7">
        <v>94</v>
      </c>
      <c r="H543" s="7">
        <v>1692</v>
      </c>
      <c r="I543" s="4">
        <v>0.12</v>
      </c>
      <c r="J543" s="7">
        <v>1488.96</v>
      </c>
      <c r="K543" s="7">
        <f>Tabela1[[#This Row],[Valor Bruto]]-Tabela1[[#This Row],[Valor Venda]]</f>
        <v>203.03999999999996</v>
      </c>
      <c r="L543" s="1">
        <v>44136</v>
      </c>
      <c r="M543" s="1">
        <v>44136</v>
      </c>
      <c r="N543">
        <v>540</v>
      </c>
      <c r="O543">
        <v>7</v>
      </c>
      <c r="P543" t="s">
        <v>43</v>
      </c>
      <c r="Q543">
        <v>0.06</v>
      </c>
      <c r="R543" s="7">
        <v>89.337599999999995</v>
      </c>
      <c r="S543">
        <v>1</v>
      </c>
      <c r="T543" t="s">
        <v>117</v>
      </c>
    </row>
    <row r="544" spans="1:20">
      <c r="A544">
        <v>541</v>
      </c>
      <c r="B544" s="1">
        <v>44121</v>
      </c>
      <c r="C544">
        <v>6</v>
      </c>
      <c r="D544" t="s">
        <v>88</v>
      </c>
      <c r="E544" t="s">
        <v>50</v>
      </c>
      <c r="F544" s="8">
        <v>28</v>
      </c>
      <c r="G544" s="7">
        <v>102</v>
      </c>
      <c r="H544" s="7">
        <v>2856</v>
      </c>
      <c r="I544" s="4">
        <v>0.08</v>
      </c>
      <c r="J544" s="7">
        <v>2627.52</v>
      </c>
      <c r="K544" s="7">
        <f>Tabela1[[#This Row],[Valor Bruto]]-Tabela1[[#This Row],[Valor Venda]]</f>
        <v>228.48000000000002</v>
      </c>
      <c r="L544" s="1">
        <v>44151</v>
      </c>
      <c r="M544" s="1">
        <v>44151</v>
      </c>
      <c r="N544">
        <v>541</v>
      </c>
      <c r="O544">
        <v>2</v>
      </c>
      <c r="P544" t="s">
        <v>34</v>
      </c>
      <c r="Q544">
        <v>7.0000000000000007E-2</v>
      </c>
      <c r="R544" s="7">
        <v>183.92640000000003</v>
      </c>
      <c r="S544">
        <v>2</v>
      </c>
      <c r="T544" t="s">
        <v>117</v>
      </c>
    </row>
    <row r="545" spans="1:20">
      <c r="A545">
        <v>542</v>
      </c>
      <c r="B545" s="1">
        <v>44121</v>
      </c>
      <c r="C545">
        <v>52</v>
      </c>
      <c r="D545" t="s">
        <v>23</v>
      </c>
      <c r="E545" t="s">
        <v>50</v>
      </c>
      <c r="F545" s="8">
        <v>32</v>
      </c>
      <c r="G545" s="7">
        <v>97</v>
      </c>
      <c r="H545" s="7">
        <v>3104</v>
      </c>
      <c r="I545" s="4">
        <v>0</v>
      </c>
      <c r="J545" s="7">
        <v>3104</v>
      </c>
      <c r="K545" s="7">
        <f>Tabela1[[#This Row],[Valor Bruto]]-Tabela1[[#This Row],[Valor Venda]]</f>
        <v>0</v>
      </c>
      <c r="L545" s="1">
        <v>44140</v>
      </c>
      <c r="M545" s="1">
        <v>44140</v>
      </c>
      <c r="N545">
        <v>542</v>
      </c>
      <c r="O545">
        <v>5</v>
      </c>
      <c r="P545" t="s">
        <v>29</v>
      </c>
      <c r="Q545">
        <v>7.0000000000000007E-2</v>
      </c>
      <c r="R545" s="7">
        <v>217.28000000000003</v>
      </c>
      <c r="S545">
        <v>3</v>
      </c>
      <c r="T545" t="s">
        <v>117</v>
      </c>
    </row>
    <row r="546" spans="1:20">
      <c r="A546">
        <v>543</v>
      </c>
      <c r="B546" s="1">
        <v>44121</v>
      </c>
      <c r="C546">
        <v>99</v>
      </c>
      <c r="D546" t="s">
        <v>84</v>
      </c>
      <c r="E546" t="s">
        <v>46</v>
      </c>
      <c r="F546" s="8">
        <v>29</v>
      </c>
      <c r="G546" s="7">
        <v>102</v>
      </c>
      <c r="H546" s="7">
        <v>2958</v>
      </c>
      <c r="I546" s="4">
        <v>0.15</v>
      </c>
      <c r="J546" s="7">
        <v>2514.3000000000002</v>
      </c>
      <c r="K546" s="7">
        <f>Tabela1[[#This Row],[Valor Bruto]]-Tabela1[[#This Row],[Valor Venda]]</f>
        <v>443.69999999999982</v>
      </c>
      <c r="L546" s="1">
        <v>44130</v>
      </c>
      <c r="M546" s="1">
        <v>44130</v>
      </c>
      <c r="N546">
        <v>543</v>
      </c>
      <c r="O546">
        <v>6</v>
      </c>
      <c r="P546" t="s">
        <v>52</v>
      </c>
      <c r="Q546">
        <v>0.09</v>
      </c>
      <c r="R546" s="7">
        <v>226.28700000000001</v>
      </c>
      <c r="S546">
        <v>4</v>
      </c>
      <c r="T546" t="s">
        <v>117</v>
      </c>
    </row>
    <row r="547" spans="1:20">
      <c r="A547">
        <v>544</v>
      </c>
      <c r="B547" s="1">
        <v>44122</v>
      </c>
      <c r="C547">
        <v>18</v>
      </c>
      <c r="D547" t="s">
        <v>83</v>
      </c>
      <c r="E547" t="s">
        <v>28</v>
      </c>
      <c r="F547" s="8">
        <v>29</v>
      </c>
      <c r="G547" s="7">
        <v>119</v>
      </c>
      <c r="H547" s="7">
        <v>3451</v>
      </c>
      <c r="I547" s="4">
        <v>0.12</v>
      </c>
      <c r="J547" s="7">
        <v>3036.88</v>
      </c>
      <c r="K547" s="7">
        <f>Tabela1[[#This Row],[Valor Bruto]]-Tabela1[[#This Row],[Valor Venda]]</f>
        <v>414.11999999999989</v>
      </c>
      <c r="L547" s="1">
        <v>44136</v>
      </c>
      <c r="M547" s="1">
        <v>44136</v>
      </c>
      <c r="N547">
        <v>544</v>
      </c>
      <c r="O547">
        <v>4</v>
      </c>
      <c r="P547" t="s">
        <v>32</v>
      </c>
      <c r="Q547">
        <v>0.06</v>
      </c>
      <c r="R547" s="7">
        <v>182.21279999999999</v>
      </c>
      <c r="S547">
        <v>5</v>
      </c>
      <c r="T547" t="s">
        <v>117</v>
      </c>
    </row>
    <row r="548" spans="1:20">
      <c r="A548">
        <v>545</v>
      </c>
      <c r="B548" s="1">
        <v>44123</v>
      </c>
      <c r="C548">
        <v>22</v>
      </c>
      <c r="D548" t="s">
        <v>51</v>
      </c>
      <c r="E548" t="s">
        <v>28</v>
      </c>
      <c r="F548" s="8">
        <v>24</v>
      </c>
      <c r="G548" s="7">
        <v>103</v>
      </c>
      <c r="H548" s="7">
        <v>2472</v>
      </c>
      <c r="I548" s="4">
        <v>0.05</v>
      </c>
      <c r="J548" s="7">
        <v>2348.4</v>
      </c>
      <c r="K548" s="7">
        <f>Tabela1[[#This Row],[Valor Bruto]]-Tabela1[[#This Row],[Valor Venda]]</f>
        <v>123.59999999999991</v>
      </c>
      <c r="L548" s="1">
        <v>44148</v>
      </c>
      <c r="M548" s="1">
        <v>44148</v>
      </c>
      <c r="N548">
        <v>545</v>
      </c>
      <c r="O548">
        <v>5</v>
      </c>
      <c r="P548" t="s">
        <v>43</v>
      </c>
      <c r="Q548">
        <v>0.09</v>
      </c>
      <c r="R548" s="7">
        <v>211.35599999999999</v>
      </c>
      <c r="S548">
        <v>6</v>
      </c>
      <c r="T548" t="s">
        <v>117</v>
      </c>
    </row>
    <row r="549" spans="1:20">
      <c r="A549">
        <v>546</v>
      </c>
      <c r="B549" s="1">
        <v>44124</v>
      </c>
      <c r="C549">
        <v>62</v>
      </c>
      <c r="D549" t="s">
        <v>38</v>
      </c>
      <c r="E549" t="s">
        <v>24</v>
      </c>
      <c r="F549" s="8">
        <v>28</v>
      </c>
      <c r="G549" s="7">
        <v>107</v>
      </c>
      <c r="H549" s="7">
        <v>2996</v>
      </c>
      <c r="I549" s="4">
        <v>0.04</v>
      </c>
      <c r="J549" s="7">
        <v>2876.16</v>
      </c>
      <c r="K549" s="7">
        <f>Tabela1[[#This Row],[Valor Bruto]]-Tabela1[[#This Row],[Valor Venda]]</f>
        <v>119.84000000000015</v>
      </c>
      <c r="L549" s="1">
        <v>44144</v>
      </c>
      <c r="M549" s="1">
        <v>44144</v>
      </c>
      <c r="N549">
        <v>546</v>
      </c>
      <c r="O549">
        <v>7</v>
      </c>
      <c r="P549" t="s">
        <v>22</v>
      </c>
      <c r="Q549">
        <v>0.06</v>
      </c>
      <c r="R549" s="7">
        <v>172.56959999999998</v>
      </c>
      <c r="S549">
        <v>7</v>
      </c>
      <c r="T549" t="s">
        <v>117</v>
      </c>
    </row>
    <row r="550" spans="1:20">
      <c r="A550">
        <v>547</v>
      </c>
      <c r="B550" s="1">
        <v>44124</v>
      </c>
      <c r="C550">
        <v>39</v>
      </c>
      <c r="D550" t="s">
        <v>38</v>
      </c>
      <c r="E550" t="s">
        <v>41</v>
      </c>
      <c r="F550" s="8">
        <v>33</v>
      </c>
      <c r="G550" s="7">
        <v>90</v>
      </c>
      <c r="H550" s="7">
        <v>2970</v>
      </c>
      <c r="I550" s="4">
        <v>0.08</v>
      </c>
      <c r="J550" s="7">
        <v>2732.4</v>
      </c>
      <c r="K550" s="7">
        <f>Tabela1[[#This Row],[Valor Bruto]]-Tabela1[[#This Row],[Valor Venda]]</f>
        <v>237.59999999999991</v>
      </c>
      <c r="L550" s="1">
        <v>44132</v>
      </c>
      <c r="M550" s="1">
        <v>44132</v>
      </c>
      <c r="N550">
        <v>547</v>
      </c>
      <c r="O550">
        <v>3</v>
      </c>
      <c r="P550" t="s">
        <v>25</v>
      </c>
      <c r="Q550">
        <v>0.06</v>
      </c>
      <c r="R550" s="7">
        <v>163.94399999999999</v>
      </c>
      <c r="S550">
        <v>1</v>
      </c>
      <c r="T550" t="s">
        <v>117</v>
      </c>
    </row>
    <row r="551" spans="1:20">
      <c r="A551">
        <v>548</v>
      </c>
      <c r="B551" s="1">
        <v>44124</v>
      </c>
      <c r="C551">
        <v>66</v>
      </c>
      <c r="D551" t="s">
        <v>30</v>
      </c>
      <c r="E551" t="s">
        <v>31</v>
      </c>
      <c r="F551" s="8">
        <v>11</v>
      </c>
      <c r="G551" s="7">
        <v>113</v>
      </c>
      <c r="H551" s="7">
        <v>1243</v>
      </c>
      <c r="I551" s="4">
        <v>0.06</v>
      </c>
      <c r="J551" s="7">
        <v>1168.42</v>
      </c>
      <c r="K551" s="7">
        <f>Tabela1[[#This Row],[Valor Bruto]]-Tabela1[[#This Row],[Valor Venda]]</f>
        <v>74.579999999999927</v>
      </c>
      <c r="L551" s="1">
        <v>44124</v>
      </c>
      <c r="M551" s="1">
        <v>44124</v>
      </c>
      <c r="N551">
        <v>548</v>
      </c>
      <c r="O551">
        <v>6</v>
      </c>
      <c r="P551" t="s">
        <v>29</v>
      </c>
      <c r="Q551">
        <v>0.06</v>
      </c>
      <c r="R551" s="7">
        <v>70.105199999999996</v>
      </c>
      <c r="S551">
        <v>2</v>
      </c>
      <c r="T551" t="s">
        <v>117</v>
      </c>
    </row>
    <row r="552" spans="1:20">
      <c r="A552">
        <v>549</v>
      </c>
      <c r="B552" s="1">
        <v>44125</v>
      </c>
      <c r="C552">
        <v>42</v>
      </c>
      <c r="D552" t="s">
        <v>92</v>
      </c>
      <c r="E552" t="s">
        <v>41</v>
      </c>
      <c r="F552" s="8">
        <v>36</v>
      </c>
      <c r="G552" s="7">
        <v>117</v>
      </c>
      <c r="H552" s="7">
        <v>4212</v>
      </c>
      <c r="I552" s="4">
        <v>0.14000000000000001</v>
      </c>
      <c r="J552" s="7">
        <v>3622.3199999999997</v>
      </c>
      <c r="K552" s="7">
        <f>Tabela1[[#This Row],[Valor Bruto]]-Tabela1[[#This Row],[Valor Venda]]</f>
        <v>589.68000000000029</v>
      </c>
      <c r="L552" s="1">
        <v>44126</v>
      </c>
      <c r="M552" s="1">
        <v>44126</v>
      </c>
      <c r="N552">
        <v>549</v>
      </c>
      <c r="O552">
        <v>1</v>
      </c>
      <c r="P552" t="s">
        <v>32</v>
      </c>
      <c r="Q552">
        <v>7.0000000000000007E-2</v>
      </c>
      <c r="R552" s="7">
        <v>253.5624</v>
      </c>
      <c r="S552">
        <v>3</v>
      </c>
      <c r="T552" t="s">
        <v>117</v>
      </c>
    </row>
    <row r="553" spans="1:20">
      <c r="A553">
        <v>550</v>
      </c>
      <c r="B553" s="1">
        <v>44125</v>
      </c>
      <c r="C553">
        <v>81</v>
      </c>
      <c r="D553" t="s">
        <v>103</v>
      </c>
      <c r="E553" t="s">
        <v>54</v>
      </c>
      <c r="F553" s="8">
        <v>26</v>
      </c>
      <c r="G553" s="7">
        <v>98</v>
      </c>
      <c r="H553" s="7">
        <v>2548</v>
      </c>
      <c r="I553" s="4">
        <v>0.14000000000000001</v>
      </c>
      <c r="J553" s="7">
        <v>2191.2799999999997</v>
      </c>
      <c r="K553" s="7">
        <f>Tabela1[[#This Row],[Valor Bruto]]-Tabela1[[#This Row],[Valor Venda]]</f>
        <v>356.72000000000025</v>
      </c>
      <c r="L553" s="1">
        <v>44136</v>
      </c>
      <c r="M553" s="1">
        <v>44136</v>
      </c>
      <c r="N553">
        <v>550</v>
      </c>
      <c r="O553">
        <v>5</v>
      </c>
      <c r="P553" t="s">
        <v>37</v>
      </c>
      <c r="Q553">
        <v>0.09</v>
      </c>
      <c r="R553" s="7">
        <v>197.21519999999998</v>
      </c>
      <c r="S553">
        <v>4</v>
      </c>
      <c r="T553" t="s">
        <v>117</v>
      </c>
    </row>
    <row r="554" spans="1:20">
      <c r="A554">
        <v>551</v>
      </c>
      <c r="B554" s="1">
        <v>44129</v>
      </c>
      <c r="C554">
        <v>42</v>
      </c>
      <c r="D554" t="s">
        <v>92</v>
      </c>
      <c r="E554" t="s">
        <v>50</v>
      </c>
      <c r="F554" s="8">
        <v>24</v>
      </c>
      <c r="G554" s="7">
        <v>104</v>
      </c>
      <c r="H554" s="7">
        <v>2496</v>
      </c>
      <c r="I554" s="4">
        <v>0.11</v>
      </c>
      <c r="J554" s="7">
        <v>2221.44</v>
      </c>
      <c r="K554" s="7">
        <f>Tabela1[[#This Row],[Valor Bruto]]-Tabela1[[#This Row],[Valor Venda]]</f>
        <v>274.55999999999995</v>
      </c>
      <c r="L554" s="1">
        <v>44143</v>
      </c>
      <c r="M554" s="1">
        <v>44143</v>
      </c>
      <c r="N554">
        <v>551</v>
      </c>
      <c r="O554">
        <v>4</v>
      </c>
      <c r="P554" t="s">
        <v>52</v>
      </c>
      <c r="Q554">
        <v>0.1</v>
      </c>
      <c r="R554" s="7">
        <v>222.14400000000001</v>
      </c>
      <c r="S554">
        <v>5</v>
      </c>
      <c r="T554" t="s">
        <v>117</v>
      </c>
    </row>
    <row r="555" spans="1:20">
      <c r="A555">
        <v>552</v>
      </c>
      <c r="B555" s="1">
        <v>44130</v>
      </c>
      <c r="C555">
        <v>35</v>
      </c>
      <c r="D555" t="s">
        <v>38</v>
      </c>
      <c r="E555" t="s">
        <v>24</v>
      </c>
      <c r="F555" s="8">
        <v>41</v>
      </c>
      <c r="G555" s="7">
        <v>120</v>
      </c>
      <c r="H555" s="7">
        <v>4920</v>
      </c>
      <c r="I555" s="4">
        <v>0.04</v>
      </c>
      <c r="J555" s="7">
        <v>4723.2</v>
      </c>
      <c r="K555" s="7">
        <f>Tabela1[[#This Row],[Valor Bruto]]-Tabela1[[#This Row],[Valor Venda]]</f>
        <v>196.80000000000018</v>
      </c>
      <c r="L555" s="1">
        <v>44146</v>
      </c>
      <c r="M555" s="1">
        <v>44146</v>
      </c>
      <c r="N555">
        <v>552</v>
      </c>
      <c r="O555">
        <v>5</v>
      </c>
      <c r="P555" t="s">
        <v>69</v>
      </c>
      <c r="Q555">
        <v>0.06</v>
      </c>
      <c r="R555" s="7">
        <v>283.392</v>
      </c>
      <c r="S555">
        <v>6</v>
      </c>
      <c r="T555" t="s">
        <v>117</v>
      </c>
    </row>
    <row r="556" spans="1:20">
      <c r="A556">
        <v>553</v>
      </c>
      <c r="B556" s="1">
        <v>44130</v>
      </c>
      <c r="C556">
        <v>32</v>
      </c>
      <c r="D556" t="s">
        <v>77</v>
      </c>
      <c r="E556" t="s">
        <v>50</v>
      </c>
      <c r="F556" s="8">
        <v>15</v>
      </c>
      <c r="G556" s="7">
        <v>114</v>
      </c>
      <c r="H556" s="7">
        <v>1710</v>
      </c>
      <c r="I556" s="4">
        <v>0.06</v>
      </c>
      <c r="J556" s="7">
        <v>1607.4</v>
      </c>
      <c r="K556" s="7">
        <f>Tabela1[[#This Row],[Valor Bruto]]-Tabela1[[#This Row],[Valor Venda]]</f>
        <v>102.59999999999991</v>
      </c>
      <c r="L556" s="1">
        <v>44155</v>
      </c>
      <c r="M556" s="1">
        <v>44155</v>
      </c>
      <c r="N556">
        <v>553</v>
      </c>
      <c r="O556">
        <v>7</v>
      </c>
      <c r="P556" t="s">
        <v>52</v>
      </c>
      <c r="Q556">
        <v>0.08</v>
      </c>
      <c r="R556" s="7">
        <v>128.59200000000001</v>
      </c>
      <c r="S556">
        <v>7</v>
      </c>
      <c r="T556" t="s">
        <v>117</v>
      </c>
    </row>
    <row r="557" spans="1:20">
      <c r="A557">
        <v>554</v>
      </c>
      <c r="B557" s="1">
        <v>44131</v>
      </c>
      <c r="C557">
        <v>73</v>
      </c>
      <c r="D557" t="s">
        <v>38</v>
      </c>
      <c r="E557" t="s">
        <v>31</v>
      </c>
      <c r="F557" s="8">
        <v>14</v>
      </c>
      <c r="G557" s="7">
        <v>94</v>
      </c>
      <c r="H557" s="7">
        <v>1316</v>
      </c>
      <c r="I557" s="4">
        <v>0.03</v>
      </c>
      <c r="J557" s="7">
        <v>1276.52</v>
      </c>
      <c r="K557" s="7">
        <f>Tabela1[[#This Row],[Valor Bruto]]-Tabela1[[#This Row],[Valor Venda]]</f>
        <v>39.480000000000018</v>
      </c>
      <c r="L557" s="1">
        <v>44150</v>
      </c>
      <c r="M557" s="1">
        <v>44150</v>
      </c>
      <c r="N557">
        <v>554</v>
      </c>
      <c r="O557">
        <v>2</v>
      </c>
      <c r="P557" t="s">
        <v>43</v>
      </c>
      <c r="Q557">
        <v>0.05</v>
      </c>
      <c r="R557" s="7">
        <v>63.826000000000001</v>
      </c>
      <c r="S557">
        <v>1</v>
      </c>
      <c r="T557" t="s">
        <v>117</v>
      </c>
    </row>
    <row r="558" spans="1:20">
      <c r="A558">
        <v>555</v>
      </c>
      <c r="B558" s="1">
        <v>44131</v>
      </c>
      <c r="C558">
        <v>18</v>
      </c>
      <c r="D558" t="s">
        <v>83</v>
      </c>
      <c r="E558" t="s">
        <v>50</v>
      </c>
      <c r="F558" s="8">
        <v>25</v>
      </c>
      <c r="G558" s="7">
        <v>98</v>
      </c>
      <c r="H558" s="7">
        <v>2450</v>
      </c>
      <c r="I558" s="4">
        <v>0.1</v>
      </c>
      <c r="J558" s="7">
        <v>2205</v>
      </c>
      <c r="K558" s="7">
        <f>Tabela1[[#This Row],[Valor Bruto]]-Tabela1[[#This Row],[Valor Venda]]</f>
        <v>245</v>
      </c>
      <c r="L558" s="1">
        <v>44140</v>
      </c>
      <c r="M558" s="1">
        <v>44140</v>
      </c>
      <c r="N558">
        <v>555</v>
      </c>
      <c r="O558">
        <v>7</v>
      </c>
      <c r="P558" t="s">
        <v>34</v>
      </c>
      <c r="Q558">
        <v>0.09</v>
      </c>
      <c r="R558" s="7">
        <v>198.45</v>
      </c>
      <c r="S558">
        <v>2</v>
      </c>
      <c r="T558" t="s">
        <v>117</v>
      </c>
    </row>
    <row r="559" spans="1:20">
      <c r="A559">
        <v>556</v>
      </c>
      <c r="B559" s="1">
        <v>44132</v>
      </c>
      <c r="C559">
        <v>27</v>
      </c>
      <c r="D559" t="s">
        <v>101</v>
      </c>
      <c r="E559" t="s">
        <v>28</v>
      </c>
      <c r="F559" s="8">
        <v>43</v>
      </c>
      <c r="G559" s="7">
        <v>101</v>
      </c>
      <c r="H559" s="7">
        <v>4343</v>
      </c>
      <c r="I559" s="4">
        <v>0.13</v>
      </c>
      <c r="J559" s="7">
        <v>3778.41</v>
      </c>
      <c r="K559" s="7">
        <f>Tabela1[[#This Row],[Valor Bruto]]-Tabela1[[#This Row],[Valor Venda]]</f>
        <v>564.59000000000015</v>
      </c>
      <c r="L559" s="1">
        <v>44152</v>
      </c>
      <c r="M559" s="1">
        <v>44152</v>
      </c>
      <c r="N559">
        <v>556</v>
      </c>
      <c r="O559">
        <v>2</v>
      </c>
      <c r="P559" t="s">
        <v>43</v>
      </c>
      <c r="Q559">
        <v>0.1</v>
      </c>
      <c r="R559" s="7">
        <v>377.84100000000001</v>
      </c>
      <c r="S559">
        <v>3</v>
      </c>
      <c r="T559" t="s">
        <v>117</v>
      </c>
    </row>
    <row r="560" spans="1:20">
      <c r="A560">
        <v>557</v>
      </c>
      <c r="B560" s="1">
        <v>44133</v>
      </c>
      <c r="C560">
        <v>86</v>
      </c>
      <c r="D560" t="s">
        <v>90</v>
      </c>
      <c r="E560" t="s">
        <v>21</v>
      </c>
      <c r="F560" s="8">
        <v>45</v>
      </c>
      <c r="G560" s="7">
        <v>108</v>
      </c>
      <c r="H560" s="7">
        <v>4860</v>
      </c>
      <c r="I560" s="4">
        <v>0.06</v>
      </c>
      <c r="J560" s="7">
        <v>4568.3999999999996</v>
      </c>
      <c r="K560" s="7">
        <f>Tabela1[[#This Row],[Valor Bruto]]-Tabela1[[#This Row],[Valor Venda]]</f>
        <v>291.60000000000036</v>
      </c>
      <c r="L560" s="1">
        <v>44138</v>
      </c>
      <c r="M560" s="1">
        <v>44138</v>
      </c>
      <c r="N560">
        <v>557</v>
      </c>
      <c r="O560">
        <v>3</v>
      </c>
      <c r="P560" t="s">
        <v>22</v>
      </c>
      <c r="Q560">
        <v>0.1</v>
      </c>
      <c r="R560" s="7">
        <v>456.84</v>
      </c>
      <c r="S560">
        <v>4</v>
      </c>
      <c r="T560" t="s">
        <v>117</v>
      </c>
    </row>
    <row r="561" spans="1:20">
      <c r="A561">
        <v>558</v>
      </c>
      <c r="B561" s="1">
        <v>44133</v>
      </c>
      <c r="C561">
        <v>18</v>
      </c>
      <c r="D561" t="s">
        <v>83</v>
      </c>
      <c r="E561" t="s">
        <v>50</v>
      </c>
      <c r="F561" s="8">
        <v>38</v>
      </c>
      <c r="G561" s="7">
        <v>97</v>
      </c>
      <c r="H561" s="7">
        <v>3686</v>
      </c>
      <c r="I561" s="4">
        <v>0.09</v>
      </c>
      <c r="J561" s="7">
        <v>3354.26</v>
      </c>
      <c r="K561" s="7">
        <f>Tabela1[[#This Row],[Valor Bruto]]-Tabela1[[#This Row],[Valor Venda]]</f>
        <v>331.73999999999978</v>
      </c>
      <c r="L561" s="1">
        <v>44144</v>
      </c>
      <c r="M561" s="1">
        <v>44144</v>
      </c>
      <c r="N561">
        <v>558</v>
      </c>
      <c r="O561">
        <v>7</v>
      </c>
      <c r="P561" t="s">
        <v>43</v>
      </c>
      <c r="Q561">
        <v>7.0000000000000007E-2</v>
      </c>
      <c r="R561" s="7">
        <v>234.79820000000004</v>
      </c>
      <c r="S561">
        <v>5</v>
      </c>
      <c r="T561" t="s">
        <v>117</v>
      </c>
    </row>
    <row r="562" spans="1:20">
      <c r="A562">
        <v>559</v>
      </c>
      <c r="B562" s="1">
        <v>44133</v>
      </c>
      <c r="C562">
        <v>73</v>
      </c>
      <c r="D562" t="s">
        <v>38</v>
      </c>
      <c r="E562" t="s">
        <v>59</v>
      </c>
      <c r="F562" s="8">
        <v>31</v>
      </c>
      <c r="G562" s="7">
        <v>113</v>
      </c>
      <c r="H562" s="7">
        <v>3503</v>
      </c>
      <c r="I562" s="4">
        <v>0</v>
      </c>
      <c r="J562" s="7">
        <v>3503</v>
      </c>
      <c r="K562" s="7">
        <f>Tabela1[[#This Row],[Valor Bruto]]-Tabela1[[#This Row],[Valor Venda]]</f>
        <v>0</v>
      </c>
      <c r="L562" s="1">
        <v>44158</v>
      </c>
      <c r="M562" s="1">
        <v>44158</v>
      </c>
      <c r="N562">
        <v>559</v>
      </c>
      <c r="O562">
        <v>3</v>
      </c>
      <c r="P562" t="s">
        <v>29</v>
      </c>
      <c r="Q562">
        <v>0.08</v>
      </c>
      <c r="R562" s="7">
        <v>280.24</v>
      </c>
      <c r="S562">
        <v>6</v>
      </c>
      <c r="T562" t="s">
        <v>117</v>
      </c>
    </row>
    <row r="563" spans="1:20">
      <c r="A563">
        <v>560</v>
      </c>
      <c r="B563" s="1">
        <v>44134</v>
      </c>
      <c r="C563">
        <v>83</v>
      </c>
      <c r="D563" t="s">
        <v>100</v>
      </c>
      <c r="E563" t="s">
        <v>21</v>
      </c>
      <c r="F563" s="8">
        <v>12</v>
      </c>
      <c r="G563" s="7">
        <v>114</v>
      </c>
      <c r="H563" s="7">
        <v>1368</v>
      </c>
      <c r="I563" s="4">
        <v>0.08</v>
      </c>
      <c r="J563" s="7">
        <v>1258.56</v>
      </c>
      <c r="K563" s="7">
        <f>Tabela1[[#This Row],[Valor Bruto]]-Tabela1[[#This Row],[Valor Venda]]</f>
        <v>109.44000000000005</v>
      </c>
      <c r="L563" s="1">
        <v>44161</v>
      </c>
      <c r="M563" s="1">
        <v>44161</v>
      </c>
      <c r="N563">
        <v>560</v>
      </c>
      <c r="O563">
        <v>1</v>
      </c>
      <c r="P563" t="s">
        <v>34</v>
      </c>
      <c r="Q563">
        <v>7.0000000000000007E-2</v>
      </c>
      <c r="R563" s="7">
        <v>88.09920000000001</v>
      </c>
      <c r="S563">
        <v>7</v>
      </c>
      <c r="T563" t="s">
        <v>117</v>
      </c>
    </row>
    <row r="564" spans="1:20">
      <c r="A564">
        <v>561</v>
      </c>
      <c r="B564" s="1">
        <v>44134</v>
      </c>
      <c r="C564">
        <v>93</v>
      </c>
      <c r="D564" t="s">
        <v>33</v>
      </c>
      <c r="E564" t="s">
        <v>31</v>
      </c>
      <c r="F564" s="8">
        <v>40</v>
      </c>
      <c r="G564" s="7">
        <v>92</v>
      </c>
      <c r="H564" s="7">
        <v>3680</v>
      </c>
      <c r="I564" s="4">
        <v>0.13</v>
      </c>
      <c r="J564" s="7">
        <v>3201.6</v>
      </c>
      <c r="K564" s="7">
        <f>Tabela1[[#This Row],[Valor Bruto]]-Tabela1[[#This Row],[Valor Venda]]</f>
        <v>478.40000000000009</v>
      </c>
      <c r="L564" s="1">
        <v>44148</v>
      </c>
      <c r="M564" s="1">
        <v>44148</v>
      </c>
      <c r="N564">
        <v>561</v>
      </c>
      <c r="O564">
        <v>5</v>
      </c>
      <c r="P564" t="s">
        <v>69</v>
      </c>
      <c r="Q564">
        <v>0.1</v>
      </c>
      <c r="R564" s="7">
        <v>320.16000000000003</v>
      </c>
      <c r="S564">
        <v>1</v>
      </c>
      <c r="T564" t="s">
        <v>117</v>
      </c>
    </row>
    <row r="565" spans="1:20">
      <c r="A565">
        <v>562</v>
      </c>
      <c r="B565" s="1">
        <v>44136</v>
      </c>
      <c r="C565">
        <v>97</v>
      </c>
      <c r="D565" t="s">
        <v>66</v>
      </c>
      <c r="E565" t="s">
        <v>31</v>
      </c>
      <c r="F565" s="8">
        <v>26</v>
      </c>
      <c r="G565" s="7">
        <v>115</v>
      </c>
      <c r="H565" s="7">
        <v>2990</v>
      </c>
      <c r="I565" s="4">
        <v>0.12</v>
      </c>
      <c r="J565" s="7">
        <v>2631.2</v>
      </c>
      <c r="K565" s="7">
        <f>Tabela1[[#This Row],[Valor Bruto]]-Tabela1[[#This Row],[Valor Venda]]</f>
        <v>358.80000000000018</v>
      </c>
      <c r="L565" s="1">
        <v>44162</v>
      </c>
      <c r="M565" s="1">
        <v>44162</v>
      </c>
      <c r="N565">
        <v>562</v>
      </c>
      <c r="O565">
        <v>2</v>
      </c>
      <c r="P565" t="s">
        <v>32</v>
      </c>
      <c r="Q565">
        <v>0.06</v>
      </c>
      <c r="R565" s="7">
        <v>157.87199999999999</v>
      </c>
      <c r="S565">
        <v>2</v>
      </c>
      <c r="T565" t="s">
        <v>118</v>
      </c>
    </row>
    <row r="566" spans="1:20">
      <c r="A566">
        <v>563</v>
      </c>
      <c r="B566" s="1">
        <v>44137</v>
      </c>
      <c r="C566">
        <v>57</v>
      </c>
      <c r="D566" t="s">
        <v>89</v>
      </c>
      <c r="E566" t="s">
        <v>24</v>
      </c>
      <c r="F566" s="8">
        <v>20</v>
      </c>
      <c r="G566" s="7">
        <v>94</v>
      </c>
      <c r="H566" s="7">
        <v>1880</v>
      </c>
      <c r="I566" s="4">
        <v>0.04</v>
      </c>
      <c r="J566" s="7">
        <v>1804.8</v>
      </c>
      <c r="K566" s="7">
        <f>Tabela1[[#This Row],[Valor Bruto]]-Tabela1[[#This Row],[Valor Venda]]</f>
        <v>75.200000000000045</v>
      </c>
      <c r="L566" s="1">
        <v>44151</v>
      </c>
      <c r="M566" s="1">
        <v>44151</v>
      </c>
      <c r="N566">
        <v>563</v>
      </c>
      <c r="O566">
        <v>5</v>
      </c>
      <c r="P566" t="s">
        <v>22</v>
      </c>
      <c r="Q566">
        <v>0.1</v>
      </c>
      <c r="R566" s="7">
        <v>180.48000000000002</v>
      </c>
      <c r="S566">
        <v>3</v>
      </c>
      <c r="T566" t="s">
        <v>118</v>
      </c>
    </row>
    <row r="567" spans="1:20">
      <c r="A567">
        <v>564</v>
      </c>
      <c r="B567" s="1">
        <v>44138</v>
      </c>
      <c r="C567">
        <v>24</v>
      </c>
      <c r="D567" t="s">
        <v>74</v>
      </c>
      <c r="E567" t="s">
        <v>24</v>
      </c>
      <c r="F567" s="8">
        <v>42</v>
      </c>
      <c r="G567" s="7">
        <v>101</v>
      </c>
      <c r="H567" s="7">
        <v>4242</v>
      </c>
      <c r="I567" s="4">
        <v>0.08</v>
      </c>
      <c r="J567" s="7">
        <v>3902.64</v>
      </c>
      <c r="K567" s="7">
        <f>Tabela1[[#This Row],[Valor Bruto]]-Tabela1[[#This Row],[Valor Venda]]</f>
        <v>339.36000000000013</v>
      </c>
      <c r="L567" s="1">
        <v>44166</v>
      </c>
      <c r="M567" s="1">
        <v>44166</v>
      </c>
      <c r="N567">
        <v>564</v>
      </c>
      <c r="O567">
        <v>2</v>
      </c>
      <c r="P567" t="s">
        <v>34</v>
      </c>
      <c r="Q567">
        <v>7.0000000000000007E-2</v>
      </c>
      <c r="R567" s="7">
        <v>273.1848</v>
      </c>
      <c r="S567">
        <v>4</v>
      </c>
      <c r="T567" t="s">
        <v>118</v>
      </c>
    </row>
    <row r="568" spans="1:20">
      <c r="A568">
        <v>565</v>
      </c>
      <c r="B568" s="1">
        <v>44138</v>
      </c>
      <c r="C568">
        <v>34</v>
      </c>
      <c r="D568" t="s">
        <v>58</v>
      </c>
      <c r="E568" t="s">
        <v>46</v>
      </c>
      <c r="F568" s="8">
        <v>24</v>
      </c>
      <c r="G568" s="7">
        <v>117</v>
      </c>
      <c r="H568" s="7">
        <v>2808</v>
      </c>
      <c r="I568" s="4">
        <v>0.14000000000000001</v>
      </c>
      <c r="J568" s="7">
        <v>2414.88</v>
      </c>
      <c r="K568" s="7">
        <f>Tabela1[[#This Row],[Valor Bruto]]-Tabela1[[#This Row],[Valor Venda]]</f>
        <v>393.11999999999989</v>
      </c>
      <c r="L568" s="1">
        <v>44165</v>
      </c>
      <c r="M568" s="1">
        <v>44165</v>
      </c>
      <c r="N568">
        <v>565</v>
      </c>
      <c r="O568">
        <v>6</v>
      </c>
      <c r="P568" t="s">
        <v>47</v>
      </c>
      <c r="Q568">
        <v>0.1</v>
      </c>
      <c r="R568" s="7">
        <v>241.48800000000003</v>
      </c>
      <c r="S568">
        <v>5</v>
      </c>
      <c r="T568" t="s">
        <v>118</v>
      </c>
    </row>
    <row r="569" spans="1:20">
      <c r="A569">
        <v>566</v>
      </c>
      <c r="B569" s="1">
        <v>44138</v>
      </c>
      <c r="C569">
        <v>92</v>
      </c>
      <c r="D569" t="s">
        <v>26</v>
      </c>
      <c r="E569" t="s">
        <v>46</v>
      </c>
      <c r="F569" s="8">
        <v>15</v>
      </c>
      <c r="G569" s="7">
        <v>116</v>
      </c>
      <c r="H569" s="7">
        <v>1740</v>
      </c>
      <c r="I569" s="4">
        <v>0.01</v>
      </c>
      <c r="J569" s="7">
        <v>1722.6</v>
      </c>
      <c r="K569" s="7">
        <f>Tabela1[[#This Row],[Valor Bruto]]-Tabela1[[#This Row],[Valor Venda]]</f>
        <v>17.400000000000091</v>
      </c>
      <c r="L569" s="1">
        <v>44152</v>
      </c>
      <c r="M569" s="1">
        <v>44152</v>
      </c>
      <c r="N569">
        <v>566</v>
      </c>
      <c r="O569">
        <v>6</v>
      </c>
      <c r="P569" t="s">
        <v>43</v>
      </c>
      <c r="Q569">
        <v>0.08</v>
      </c>
      <c r="R569" s="7">
        <v>137.80799999999999</v>
      </c>
      <c r="S569">
        <v>6</v>
      </c>
      <c r="T569" t="s">
        <v>118</v>
      </c>
    </row>
    <row r="570" spans="1:20">
      <c r="A570">
        <v>567</v>
      </c>
      <c r="B570" s="1">
        <v>44138</v>
      </c>
      <c r="C570">
        <v>25</v>
      </c>
      <c r="D570" t="s">
        <v>63</v>
      </c>
      <c r="E570" t="s">
        <v>24</v>
      </c>
      <c r="F570" s="8">
        <v>37</v>
      </c>
      <c r="G570" s="7">
        <v>95</v>
      </c>
      <c r="H570" s="7">
        <v>3515</v>
      </c>
      <c r="I570" s="4">
        <v>0.05</v>
      </c>
      <c r="J570" s="7">
        <v>3339.25</v>
      </c>
      <c r="K570" s="7">
        <f>Tabela1[[#This Row],[Valor Bruto]]-Tabela1[[#This Row],[Valor Venda]]</f>
        <v>175.75</v>
      </c>
      <c r="L570" s="1">
        <v>44164</v>
      </c>
      <c r="M570" s="1">
        <v>44164</v>
      </c>
      <c r="N570">
        <v>567</v>
      </c>
      <c r="O570">
        <v>2</v>
      </c>
      <c r="P570" t="s">
        <v>69</v>
      </c>
      <c r="Q570">
        <v>0.1</v>
      </c>
      <c r="R570" s="7">
        <v>333.92500000000001</v>
      </c>
      <c r="S570">
        <v>7</v>
      </c>
      <c r="T570" t="s">
        <v>118</v>
      </c>
    </row>
    <row r="571" spans="1:20">
      <c r="A571">
        <v>568</v>
      </c>
      <c r="B571" s="1">
        <v>44139</v>
      </c>
      <c r="C571">
        <v>87</v>
      </c>
      <c r="D571" t="s">
        <v>40</v>
      </c>
      <c r="E571" t="s">
        <v>55</v>
      </c>
      <c r="F571" s="8">
        <v>19</v>
      </c>
      <c r="G571" s="7">
        <v>103</v>
      </c>
      <c r="H571" s="7">
        <v>1957</v>
      </c>
      <c r="I571" s="4">
        <v>0.08</v>
      </c>
      <c r="J571" s="7">
        <v>1800.44</v>
      </c>
      <c r="K571" s="7">
        <f>Tabela1[[#This Row],[Valor Bruto]]-Tabela1[[#This Row],[Valor Venda]]</f>
        <v>156.55999999999995</v>
      </c>
      <c r="L571" s="1">
        <v>44140</v>
      </c>
      <c r="M571" s="1">
        <v>44140</v>
      </c>
      <c r="N571">
        <v>568</v>
      </c>
      <c r="O571">
        <v>5</v>
      </c>
      <c r="P571" t="s">
        <v>43</v>
      </c>
      <c r="Q571">
        <v>0.09</v>
      </c>
      <c r="R571" s="7">
        <v>162.03960000000001</v>
      </c>
      <c r="S571">
        <v>1</v>
      </c>
      <c r="T571" t="s">
        <v>118</v>
      </c>
    </row>
    <row r="572" spans="1:20">
      <c r="A572">
        <v>569</v>
      </c>
      <c r="B572" s="1">
        <v>44139</v>
      </c>
      <c r="C572">
        <v>68</v>
      </c>
      <c r="D572" t="s">
        <v>49</v>
      </c>
      <c r="E572" t="s">
        <v>50</v>
      </c>
      <c r="F572" s="8">
        <v>46</v>
      </c>
      <c r="G572" s="7">
        <v>102</v>
      </c>
      <c r="H572" s="7">
        <v>4692</v>
      </c>
      <c r="I572" s="4">
        <v>0.09</v>
      </c>
      <c r="J572" s="7">
        <v>4269.72</v>
      </c>
      <c r="K572" s="7">
        <f>Tabela1[[#This Row],[Valor Bruto]]-Tabela1[[#This Row],[Valor Venda]]</f>
        <v>422.27999999999975</v>
      </c>
      <c r="L572" s="1">
        <v>44158</v>
      </c>
      <c r="M572" s="1">
        <v>44158</v>
      </c>
      <c r="N572">
        <v>569</v>
      </c>
      <c r="O572">
        <v>5</v>
      </c>
      <c r="P572" t="s">
        <v>47</v>
      </c>
      <c r="Q572">
        <v>0.06</v>
      </c>
      <c r="R572" s="7">
        <v>256.1832</v>
      </c>
      <c r="S572">
        <v>2</v>
      </c>
      <c r="T572" t="s">
        <v>118</v>
      </c>
    </row>
    <row r="573" spans="1:20">
      <c r="A573">
        <v>570</v>
      </c>
      <c r="B573" s="1">
        <v>44140</v>
      </c>
      <c r="C573">
        <v>59</v>
      </c>
      <c r="D573" t="s">
        <v>97</v>
      </c>
      <c r="E573" t="s">
        <v>41</v>
      </c>
      <c r="F573" s="8">
        <v>45</v>
      </c>
      <c r="G573" s="7">
        <v>98</v>
      </c>
      <c r="H573" s="7">
        <v>4410</v>
      </c>
      <c r="I573" s="4">
        <v>0.08</v>
      </c>
      <c r="J573" s="7">
        <v>4057.2</v>
      </c>
      <c r="K573" s="7">
        <f>Tabela1[[#This Row],[Valor Bruto]]-Tabela1[[#This Row],[Valor Venda]]</f>
        <v>352.80000000000018</v>
      </c>
      <c r="L573" s="1">
        <v>44167</v>
      </c>
      <c r="M573" s="1">
        <v>44167</v>
      </c>
      <c r="N573">
        <v>570</v>
      </c>
      <c r="O573">
        <v>4</v>
      </c>
      <c r="P573" t="s">
        <v>25</v>
      </c>
      <c r="Q573">
        <v>7.0000000000000007E-2</v>
      </c>
      <c r="R573" s="7">
        <v>284.00400000000002</v>
      </c>
      <c r="S573">
        <v>3</v>
      </c>
      <c r="T573" t="s">
        <v>118</v>
      </c>
    </row>
    <row r="574" spans="1:20">
      <c r="A574">
        <v>571</v>
      </c>
      <c r="B574" s="1">
        <v>44141</v>
      </c>
      <c r="C574">
        <v>38</v>
      </c>
      <c r="D574" t="s">
        <v>73</v>
      </c>
      <c r="E574" t="s">
        <v>59</v>
      </c>
      <c r="F574" s="8">
        <v>40</v>
      </c>
      <c r="G574" s="7">
        <v>112</v>
      </c>
      <c r="H574" s="7">
        <v>4480</v>
      </c>
      <c r="I574" s="4">
        <v>0.01</v>
      </c>
      <c r="J574" s="7">
        <v>4435.2</v>
      </c>
      <c r="K574" s="7">
        <f>Tabela1[[#This Row],[Valor Bruto]]-Tabela1[[#This Row],[Valor Venda]]</f>
        <v>44.800000000000182</v>
      </c>
      <c r="L574" s="1">
        <v>44161</v>
      </c>
      <c r="M574" s="1">
        <v>44161</v>
      </c>
      <c r="N574">
        <v>571</v>
      </c>
      <c r="O574">
        <v>7</v>
      </c>
      <c r="P574" t="s">
        <v>22</v>
      </c>
      <c r="Q574">
        <v>0.05</v>
      </c>
      <c r="R574" s="7">
        <v>221.76</v>
      </c>
      <c r="S574">
        <v>4</v>
      </c>
      <c r="T574" t="s">
        <v>118</v>
      </c>
    </row>
    <row r="575" spans="1:20">
      <c r="A575">
        <v>572</v>
      </c>
      <c r="B575" s="1">
        <v>44142</v>
      </c>
      <c r="C575">
        <v>94</v>
      </c>
      <c r="D575" t="s">
        <v>49</v>
      </c>
      <c r="E575" t="s">
        <v>50</v>
      </c>
      <c r="F575" s="8">
        <v>38</v>
      </c>
      <c r="G575" s="7">
        <v>99</v>
      </c>
      <c r="H575" s="7">
        <v>3762</v>
      </c>
      <c r="I575" s="4">
        <v>0</v>
      </c>
      <c r="J575" s="7">
        <v>3762</v>
      </c>
      <c r="K575" s="7">
        <f>Tabela1[[#This Row],[Valor Bruto]]-Tabela1[[#This Row],[Valor Venda]]</f>
        <v>0</v>
      </c>
      <c r="L575" s="1">
        <v>44162</v>
      </c>
      <c r="M575" s="1">
        <v>44162</v>
      </c>
      <c r="N575">
        <v>572</v>
      </c>
      <c r="O575">
        <v>6</v>
      </c>
      <c r="P575" t="s">
        <v>37</v>
      </c>
      <c r="Q575">
        <v>0.09</v>
      </c>
      <c r="R575" s="7">
        <v>338.58</v>
      </c>
      <c r="S575">
        <v>5</v>
      </c>
      <c r="T575" t="s">
        <v>118</v>
      </c>
    </row>
    <row r="576" spans="1:20">
      <c r="A576">
        <v>573</v>
      </c>
      <c r="B576" s="1">
        <v>44143</v>
      </c>
      <c r="C576">
        <v>17</v>
      </c>
      <c r="D576" t="s">
        <v>67</v>
      </c>
      <c r="E576" t="s">
        <v>31</v>
      </c>
      <c r="F576" s="8">
        <v>32</v>
      </c>
      <c r="G576" s="7">
        <v>99</v>
      </c>
      <c r="H576" s="7">
        <v>3168</v>
      </c>
      <c r="I576" s="4">
        <v>0.02</v>
      </c>
      <c r="J576" s="7">
        <v>3104.64</v>
      </c>
      <c r="K576" s="7">
        <f>Tabela1[[#This Row],[Valor Bruto]]-Tabela1[[#This Row],[Valor Venda]]</f>
        <v>63.360000000000127</v>
      </c>
      <c r="L576" s="1">
        <v>44162</v>
      </c>
      <c r="M576" s="1">
        <v>44162</v>
      </c>
      <c r="N576">
        <v>573</v>
      </c>
      <c r="O576">
        <v>6</v>
      </c>
      <c r="P576" t="s">
        <v>34</v>
      </c>
      <c r="Q576">
        <v>0.09</v>
      </c>
      <c r="R576" s="7">
        <v>279.41759999999999</v>
      </c>
      <c r="S576">
        <v>6</v>
      </c>
      <c r="T576" t="s">
        <v>118</v>
      </c>
    </row>
    <row r="577" spans="1:20">
      <c r="A577">
        <v>574</v>
      </c>
      <c r="B577" s="1">
        <v>44143</v>
      </c>
      <c r="C577">
        <v>85</v>
      </c>
      <c r="D577" t="s">
        <v>57</v>
      </c>
      <c r="E577" t="s">
        <v>41</v>
      </c>
      <c r="F577" s="8">
        <v>31</v>
      </c>
      <c r="G577" s="7">
        <v>96</v>
      </c>
      <c r="H577" s="7">
        <v>2976</v>
      </c>
      <c r="I577" s="4">
        <v>0.1</v>
      </c>
      <c r="J577" s="7">
        <v>2678.4</v>
      </c>
      <c r="K577" s="7">
        <f>Tabela1[[#This Row],[Valor Bruto]]-Tabela1[[#This Row],[Valor Venda]]</f>
        <v>297.59999999999991</v>
      </c>
      <c r="L577" s="1">
        <v>44146</v>
      </c>
      <c r="M577" s="1">
        <v>44146</v>
      </c>
      <c r="N577">
        <v>574</v>
      </c>
      <c r="O577">
        <v>5</v>
      </c>
      <c r="P577" t="s">
        <v>47</v>
      </c>
      <c r="Q577">
        <v>0.05</v>
      </c>
      <c r="R577" s="7">
        <v>133.92000000000002</v>
      </c>
      <c r="S577">
        <v>7</v>
      </c>
      <c r="T577" t="s">
        <v>118</v>
      </c>
    </row>
    <row r="578" spans="1:20">
      <c r="A578">
        <v>575</v>
      </c>
      <c r="B578" s="1">
        <v>44143</v>
      </c>
      <c r="C578">
        <v>68</v>
      </c>
      <c r="D578" t="s">
        <v>49</v>
      </c>
      <c r="E578" t="s">
        <v>50</v>
      </c>
      <c r="F578" s="8">
        <v>47</v>
      </c>
      <c r="G578" s="7">
        <v>103</v>
      </c>
      <c r="H578" s="7">
        <v>4841</v>
      </c>
      <c r="I578" s="4">
        <v>0.11</v>
      </c>
      <c r="J578" s="7">
        <v>4308.49</v>
      </c>
      <c r="K578" s="7">
        <f>Tabela1[[#This Row],[Valor Bruto]]-Tabela1[[#This Row],[Valor Venda]]</f>
        <v>532.51000000000022</v>
      </c>
      <c r="L578" s="1">
        <v>44173</v>
      </c>
      <c r="M578" s="1">
        <v>44173</v>
      </c>
      <c r="N578">
        <v>575</v>
      </c>
      <c r="O578">
        <v>6</v>
      </c>
      <c r="P578" t="s">
        <v>69</v>
      </c>
      <c r="Q578">
        <v>0.06</v>
      </c>
      <c r="R578" s="7">
        <v>258.50939999999997</v>
      </c>
      <c r="S578">
        <v>1</v>
      </c>
      <c r="T578" t="s">
        <v>118</v>
      </c>
    </row>
    <row r="579" spans="1:20">
      <c r="A579">
        <v>576</v>
      </c>
      <c r="B579" s="1">
        <v>44144</v>
      </c>
      <c r="C579">
        <v>31</v>
      </c>
      <c r="D579" t="s">
        <v>85</v>
      </c>
      <c r="E579" t="s">
        <v>46</v>
      </c>
      <c r="F579" s="8">
        <v>45</v>
      </c>
      <c r="G579" s="7">
        <v>90</v>
      </c>
      <c r="H579" s="7">
        <v>4050</v>
      </c>
      <c r="I579" s="4">
        <v>0.05</v>
      </c>
      <c r="J579" s="7">
        <v>3847.5</v>
      </c>
      <c r="K579" s="7">
        <f>Tabela1[[#This Row],[Valor Bruto]]-Tabela1[[#This Row],[Valor Venda]]</f>
        <v>202.5</v>
      </c>
      <c r="L579" s="1">
        <v>44158</v>
      </c>
      <c r="M579" s="1">
        <v>44158</v>
      </c>
      <c r="N579">
        <v>576</v>
      </c>
      <c r="O579">
        <v>1</v>
      </c>
      <c r="P579" t="s">
        <v>37</v>
      </c>
      <c r="Q579">
        <v>0.05</v>
      </c>
      <c r="R579" s="7">
        <v>192.375</v>
      </c>
      <c r="S579">
        <v>2</v>
      </c>
      <c r="T579" t="s">
        <v>118</v>
      </c>
    </row>
    <row r="580" spans="1:20">
      <c r="A580">
        <v>577</v>
      </c>
      <c r="B580" s="1">
        <v>44145</v>
      </c>
      <c r="C580">
        <v>4</v>
      </c>
      <c r="D580" t="s">
        <v>86</v>
      </c>
      <c r="E580" t="s">
        <v>28</v>
      </c>
      <c r="F580" s="8">
        <v>14</v>
      </c>
      <c r="G580" s="7">
        <v>101</v>
      </c>
      <c r="H580" s="7">
        <v>1414</v>
      </c>
      <c r="I580" s="4">
        <v>0.05</v>
      </c>
      <c r="J580" s="7">
        <v>1343.3</v>
      </c>
      <c r="K580" s="7">
        <f>Tabela1[[#This Row],[Valor Bruto]]-Tabela1[[#This Row],[Valor Venda]]</f>
        <v>70.700000000000045</v>
      </c>
      <c r="L580" s="1">
        <v>44154</v>
      </c>
      <c r="M580" s="1">
        <v>44154</v>
      </c>
      <c r="N580">
        <v>577</v>
      </c>
      <c r="O580">
        <v>5</v>
      </c>
      <c r="P580" t="s">
        <v>32</v>
      </c>
      <c r="Q580">
        <v>7.0000000000000007E-2</v>
      </c>
      <c r="R580" s="7">
        <v>94.031000000000006</v>
      </c>
      <c r="S580">
        <v>3</v>
      </c>
      <c r="T580" t="s">
        <v>118</v>
      </c>
    </row>
    <row r="581" spans="1:20">
      <c r="A581">
        <v>578</v>
      </c>
      <c r="B581" s="1">
        <v>44145</v>
      </c>
      <c r="C581">
        <v>82</v>
      </c>
      <c r="D581" t="s">
        <v>67</v>
      </c>
      <c r="E581" t="s">
        <v>21</v>
      </c>
      <c r="F581" s="8">
        <v>25</v>
      </c>
      <c r="G581" s="7">
        <v>106</v>
      </c>
      <c r="H581" s="7">
        <v>2650</v>
      </c>
      <c r="I581" s="4">
        <v>0.14000000000000001</v>
      </c>
      <c r="J581" s="7">
        <v>2279</v>
      </c>
      <c r="K581" s="7">
        <f>Tabela1[[#This Row],[Valor Bruto]]-Tabela1[[#This Row],[Valor Venda]]</f>
        <v>371</v>
      </c>
      <c r="L581" s="1">
        <v>44169</v>
      </c>
      <c r="M581" s="1">
        <v>44169</v>
      </c>
      <c r="N581">
        <v>578</v>
      </c>
      <c r="O581">
        <v>6</v>
      </c>
      <c r="P581" t="s">
        <v>69</v>
      </c>
      <c r="Q581">
        <v>0.06</v>
      </c>
      <c r="R581" s="7">
        <v>136.74</v>
      </c>
      <c r="S581">
        <v>4</v>
      </c>
      <c r="T581" t="s">
        <v>118</v>
      </c>
    </row>
    <row r="582" spans="1:20">
      <c r="A582">
        <v>579</v>
      </c>
      <c r="B582" s="1">
        <v>44145</v>
      </c>
      <c r="C582">
        <v>83</v>
      </c>
      <c r="D582" t="s">
        <v>100</v>
      </c>
      <c r="E582" t="s">
        <v>46</v>
      </c>
      <c r="F582" s="8">
        <v>46</v>
      </c>
      <c r="G582" s="7">
        <v>105</v>
      </c>
      <c r="H582" s="7">
        <v>4830</v>
      </c>
      <c r="I582" s="4">
        <v>0</v>
      </c>
      <c r="J582" s="7">
        <v>4830</v>
      </c>
      <c r="K582" s="7">
        <f>Tabela1[[#This Row],[Valor Bruto]]-Tabela1[[#This Row],[Valor Venda]]</f>
        <v>0</v>
      </c>
      <c r="L582" s="1">
        <v>44165</v>
      </c>
      <c r="M582" s="1">
        <v>44165</v>
      </c>
      <c r="N582">
        <v>579</v>
      </c>
      <c r="O582">
        <v>6</v>
      </c>
      <c r="P582" t="s">
        <v>34</v>
      </c>
      <c r="Q582">
        <v>0.1</v>
      </c>
      <c r="R582" s="7">
        <v>483</v>
      </c>
      <c r="S582">
        <v>5</v>
      </c>
      <c r="T582" t="s">
        <v>118</v>
      </c>
    </row>
    <row r="583" spans="1:20">
      <c r="A583">
        <v>580</v>
      </c>
      <c r="B583" s="1">
        <v>44145</v>
      </c>
      <c r="C583">
        <v>83</v>
      </c>
      <c r="D583" t="s">
        <v>100</v>
      </c>
      <c r="E583" t="s">
        <v>24</v>
      </c>
      <c r="F583" s="8">
        <v>14</v>
      </c>
      <c r="G583" s="7">
        <v>117</v>
      </c>
      <c r="H583" s="7">
        <v>1638</v>
      </c>
      <c r="I583" s="4">
        <v>0.12</v>
      </c>
      <c r="J583" s="7">
        <v>1441.44</v>
      </c>
      <c r="K583" s="7">
        <f>Tabela1[[#This Row],[Valor Bruto]]-Tabela1[[#This Row],[Valor Venda]]</f>
        <v>196.55999999999995</v>
      </c>
      <c r="L583" s="1">
        <v>44171</v>
      </c>
      <c r="M583" s="1">
        <v>44171</v>
      </c>
      <c r="N583">
        <v>580</v>
      </c>
      <c r="O583">
        <v>4</v>
      </c>
      <c r="P583" t="s">
        <v>29</v>
      </c>
      <c r="Q583">
        <v>0.09</v>
      </c>
      <c r="R583" s="7">
        <v>129.7296</v>
      </c>
      <c r="S583">
        <v>6</v>
      </c>
      <c r="T583" t="s">
        <v>118</v>
      </c>
    </row>
    <row r="584" spans="1:20">
      <c r="A584">
        <v>581</v>
      </c>
      <c r="B584" s="1">
        <v>44146</v>
      </c>
      <c r="C584">
        <v>64</v>
      </c>
      <c r="D584" t="s">
        <v>78</v>
      </c>
      <c r="E584" t="s">
        <v>41</v>
      </c>
      <c r="F584" s="8">
        <v>23</v>
      </c>
      <c r="G584" s="7">
        <v>90</v>
      </c>
      <c r="H584" s="7">
        <v>2070</v>
      </c>
      <c r="I584" s="4">
        <v>0</v>
      </c>
      <c r="J584" s="7">
        <v>2070</v>
      </c>
      <c r="K584" s="7">
        <f>Tabela1[[#This Row],[Valor Bruto]]-Tabela1[[#This Row],[Valor Venda]]</f>
        <v>0</v>
      </c>
      <c r="L584" s="1">
        <v>44148</v>
      </c>
      <c r="M584" s="1">
        <v>44148</v>
      </c>
      <c r="N584">
        <v>581</v>
      </c>
      <c r="O584">
        <v>2</v>
      </c>
      <c r="P584" t="s">
        <v>34</v>
      </c>
      <c r="Q584">
        <v>0.09</v>
      </c>
      <c r="R584" s="7">
        <v>186.29999999999998</v>
      </c>
      <c r="S584">
        <v>7</v>
      </c>
      <c r="T584" t="s">
        <v>118</v>
      </c>
    </row>
    <row r="585" spans="1:20">
      <c r="A585">
        <v>582</v>
      </c>
      <c r="B585" s="1">
        <v>44146</v>
      </c>
      <c r="C585">
        <v>76</v>
      </c>
      <c r="D585" t="s">
        <v>104</v>
      </c>
      <c r="E585" t="s">
        <v>24</v>
      </c>
      <c r="F585" s="8">
        <v>24</v>
      </c>
      <c r="G585" s="7">
        <v>94</v>
      </c>
      <c r="H585" s="7">
        <v>2256</v>
      </c>
      <c r="I585" s="4">
        <v>0.14000000000000001</v>
      </c>
      <c r="J585" s="7">
        <v>1940.1599999999999</v>
      </c>
      <c r="K585" s="7">
        <f>Tabela1[[#This Row],[Valor Bruto]]-Tabela1[[#This Row],[Valor Venda]]</f>
        <v>315.84000000000015</v>
      </c>
      <c r="L585" s="1">
        <v>44165</v>
      </c>
      <c r="M585" s="1">
        <v>44165</v>
      </c>
      <c r="N585">
        <v>582</v>
      </c>
      <c r="O585">
        <v>4</v>
      </c>
      <c r="P585" t="s">
        <v>43</v>
      </c>
      <c r="Q585">
        <v>0.06</v>
      </c>
      <c r="R585" s="7">
        <v>116.40959999999998</v>
      </c>
      <c r="S585">
        <v>1</v>
      </c>
      <c r="T585" t="s">
        <v>118</v>
      </c>
    </row>
    <row r="586" spans="1:20">
      <c r="A586">
        <v>583</v>
      </c>
      <c r="B586" s="1">
        <v>44146</v>
      </c>
      <c r="C586">
        <v>57</v>
      </c>
      <c r="D586" t="s">
        <v>89</v>
      </c>
      <c r="E586" t="s">
        <v>21</v>
      </c>
      <c r="F586" s="8">
        <v>45</v>
      </c>
      <c r="G586" s="7">
        <v>92</v>
      </c>
      <c r="H586" s="7">
        <v>4140</v>
      </c>
      <c r="I586" s="4">
        <v>0.02</v>
      </c>
      <c r="J586" s="7">
        <v>4057.2</v>
      </c>
      <c r="K586" s="7">
        <f>Tabela1[[#This Row],[Valor Bruto]]-Tabela1[[#This Row],[Valor Venda]]</f>
        <v>82.800000000000182</v>
      </c>
      <c r="L586" s="1">
        <v>44151</v>
      </c>
      <c r="M586" s="1">
        <v>44151</v>
      </c>
      <c r="N586">
        <v>583</v>
      </c>
      <c r="O586">
        <v>2</v>
      </c>
      <c r="P586" t="s">
        <v>34</v>
      </c>
      <c r="Q586">
        <v>7.0000000000000007E-2</v>
      </c>
      <c r="R586" s="7">
        <v>284.00400000000002</v>
      </c>
      <c r="S586">
        <v>2</v>
      </c>
      <c r="T586" t="s">
        <v>118</v>
      </c>
    </row>
    <row r="587" spans="1:20">
      <c r="A587">
        <v>584</v>
      </c>
      <c r="B587" s="1">
        <v>44146</v>
      </c>
      <c r="C587">
        <v>62</v>
      </c>
      <c r="D587" t="s">
        <v>38</v>
      </c>
      <c r="E587" t="s">
        <v>24</v>
      </c>
      <c r="F587" s="8">
        <v>31</v>
      </c>
      <c r="G587" s="7">
        <v>100</v>
      </c>
      <c r="H587" s="7">
        <v>3100</v>
      </c>
      <c r="I587" s="4">
        <v>0.08</v>
      </c>
      <c r="J587" s="7">
        <v>2852</v>
      </c>
      <c r="K587" s="7">
        <f>Tabela1[[#This Row],[Valor Bruto]]-Tabela1[[#This Row],[Valor Venda]]</f>
        <v>248</v>
      </c>
      <c r="L587" s="1">
        <v>44150</v>
      </c>
      <c r="M587" s="1">
        <v>44150</v>
      </c>
      <c r="N587">
        <v>584</v>
      </c>
      <c r="O587">
        <v>6</v>
      </c>
      <c r="P587" t="s">
        <v>47</v>
      </c>
      <c r="Q587">
        <v>0.06</v>
      </c>
      <c r="R587" s="7">
        <v>171.12</v>
      </c>
      <c r="S587">
        <v>3</v>
      </c>
      <c r="T587" t="s">
        <v>118</v>
      </c>
    </row>
    <row r="588" spans="1:20">
      <c r="A588">
        <v>585</v>
      </c>
      <c r="B588" s="1">
        <v>44147</v>
      </c>
      <c r="C588">
        <v>73</v>
      </c>
      <c r="D588" t="s">
        <v>38</v>
      </c>
      <c r="E588" t="s">
        <v>50</v>
      </c>
      <c r="F588" s="8">
        <v>40</v>
      </c>
      <c r="G588" s="7">
        <v>116</v>
      </c>
      <c r="H588" s="7">
        <v>4640</v>
      </c>
      <c r="I588" s="4">
        <v>0.08</v>
      </c>
      <c r="J588" s="7">
        <v>4268.8</v>
      </c>
      <c r="K588" s="7">
        <f>Tabela1[[#This Row],[Valor Bruto]]-Tabela1[[#This Row],[Valor Venda]]</f>
        <v>371.19999999999982</v>
      </c>
      <c r="L588" s="1">
        <v>44168</v>
      </c>
      <c r="M588" s="1">
        <v>44168</v>
      </c>
      <c r="N588">
        <v>585</v>
      </c>
      <c r="O588">
        <v>3</v>
      </c>
      <c r="P588" t="s">
        <v>47</v>
      </c>
      <c r="Q588">
        <v>7.0000000000000007E-2</v>
      </c>
      <c r="R588" s="7">
        <v>298.81600000000003</v>
      </c>
      <c r="S588">
        <v>4</v>
      </c>
      <c r="T588" t="s">
        <v>118</v>
      </c>
    </row>
    <row r="589" spans="1:20">
      <c r="A589">
        <v>586</v>
      </c>
      <c r="B589" s="1">
        <v>44147</v>
      </c>
      <c r="C589">
        <v>27</v>
      </c>
      <c r="D589" t="s">
        <v>101</v>
      </c>
      <c r="E589" t="s">
        <v>31</v>
      </c>
      <c r="F589" s="8">
        <v>10</v>
      </c>
      <c r="G589" s="7">
        <v>114</v>
      </c>
      <c r="H589" s="7">
        <v>1140</v>
      </c>
      <c r="I589" s="4">
        <v>0.11</v>
      </c>
      <c r="J589" s="7">
        <v>1014.6</v>
      </c>
      <c r="K589" s="7">
        <f>Tabela1[[#This Row],[Valor Bruto]]-Tabela1[[#This Row],[Valor Venda]]</f>
        <v>125.39999999999998</v>
      </c>
      <c r="L589" s="1">
        <v>44153</v>
      </c>
      <c r="M589" s="1">
        <v>44153</v>
      </c>
      <c r="N589">
        <v>586</v>
      </c>
      <c r="O589">
        <v>4</v>
      </c>
      <c r="P589" t="s">
        <v>34</v>
      </c>
      <c r="Q589">
        <v>7.0000000000000007E-2</v>
      </c>
      <c r="R589" s="7">
        <v>71.022000000000006</v>
      </c>
      <c r="S589">
        <v>5</v>
      </c>
      <c r="T589" t="s">
        <v>118</v>
      </c>
    </row>
    <row r="590" spans="1:20">
      <c r="A590">
        <v>587</v>
      </c>
      <c r="B590" s="1">
        <v>44147</v>
      </c>
      <c r="C590">
        <v>70</v>
      </c>
      <c r="D590" t="s">
        <v>67</v>
      </c>
      <c r="E590" t="s">
        <v>31</v>
      </c>
      <c r="F590" s="8">
        <v>22</v>
      </c>
      <c r="G590" s="7">
        <v>112</v>
      </c>
      <c r="H590" s="7">
        <v>2464</v>
      </c>
      <c r="I590" s="4">
        <v>0.02</v>
      </c>
      <c r="J590" s="7">
        <v>2414.7199999999998</v>
      </c>
      <c r="K590" s="7">
        <f>Tabela1[[#This Row],[Valor Bruto]]-Tabela1[[#This Row],[Valor Venda]]</f>
        <v>49.2800000000002</v>
      </c>
      <c r="L590" s="1">
        <v>44150</v>
      </c>
      <c r="M590" s="1">
        <v>44150</v>
      </c>
      <c r="N590">
        <v>587</v>
      </c>
      <c r="O590">
        <v>6</v>
      </c>
      <c r="P590" t="s">
        <v>34</v>
      </c>
      <c r="Q590">
        <v>0.1</v>
      </c>
      <c r="R590" s="7">
        <v>241.47199999999998</v>
      </c>
      <c r="S590">
        <v>6</v>
      </c>
      <c r="T590" t="s">
        <v>118</v>
      </c>
    </row>
    <row r="591" spans="1:20">
      <c r="A591">
        <v>588</v>
      </c>
      <c r="B591" s="1">
        <v>44147</v>
      </c>
      <c r="C591">
        <v>39</v>
      </c>
      <c r="D591" t="s">
        <v>38</v>
      </c>
      <c r="E591" t="s">
        <v>59</v>
      </c>
      <c r="F591" s="8">
        <v>37</v>
      </c>
      <c r="G591" s="7">
        <v>116</v>
      </c>
      <c r="H591" s="7">
        <v>4292</v>
      </c>
      <c r="I591" s="4">
        <v>0.15</v>
      </c>
      <c r="J591" s="7">
        <v>3648.2</v>
      </c>
      <c r="K591" s="7">
        <f>Tabela1[[#This Row],[Valor Bruto]]-Tabela1[[#This Row],[Valor Venda]]</f>
        <v>643.80000000000018</v>
      </c>
      <c r="L591" s="1">
        <v>44147</v>
      </c>
      <c r="M591" s="1">
        <v>44147</v>
      </c>
      <c r="N591">
        <v>588</v>
      </c>
      <c r="O591">
        <v>2</v>
      </c>
      <c r="P591" t="s">
        <v>43</v>
      </c>
      <c r="Q591">
        <v>0.08</v>
      </c>
      <c r="R591" s="7">
        <v>291.85599999999999</v>
      </c>
      <c r="S591">
        <v>7</v>
      </c>
      <c r="T591" t="s">
        <v>118</v>
      </c>
    </row>
    <row r="592" spans="1:20">
      <c r="A592">
        <v>589</v>
      </c>
      <c r="B592" s="1">
        <v>44148</v>
      </c>
      <c r="C592">
        <v>90</v>
      </c>
      <c r="D592" t="s">
        <v>60</v>
      </c>
      <c r="E592" t="s">
        <v>28</v>
      </c>
      <c r="F592" s="8">
        <v>34</v>
      </c>
      <c r="G592" s="7">
        <v>116</v>
      </c>
      <c r="H592" s="7">
        <v>3944</v>
      </c>
      <c r="I592" s="4">
        <v>0.13</v>
      </c>
      <c r="J592" s="7">
        <v>3431.2799999999997</v>
      </c>
      <c r="K592" s="7">
        <f>Tabela1[[#This Row],[Valor Bruto]]-Tabela1[[#This Row],[Valor Venda]]</f>
        <v>512.72000000000025</v>
      </c>
      <c r="L592" s="1">
        <v>44156</v>
      </c>
      <c r="M592" s="1">
        <v>44156</v>
      </c>
      <c r="N592">
        <v>589</v>
      </c>
      <c r="O592">
        <v>6</v>
      </c>
      <c r="P592" t="s">
        <v>43</v>
      </c>
      <c r="Q592">
        <v>0.1</v>
      </c>
      <c r="R592" s="7">
        <v>343.12799999999999</v>
      </c>
      <c r="S592">
        <v>1</v>
      </c>
      <c r="T592" t="s">
        <v>118</v>
      </c>
    </row>
    <row r="593" spans="1:20">
      <c r="A593">
        <v>590</v>
      </c>
      <c r="B593" s="1">
        <v>44150</v>
      </c>
      <c r="C593">
        <v>40</v>
      </c>
      <c r="D593" t="s">
        <v>49</v>
      </c>
      <c r="E593" t="s">
        <v>46</v>
      </c>
      <c r="F593" s="8">
        <v>40</v>
      </c>
      <c r="G593" s="7">
        <v>115</v>
      </c>
      <c r="H593" s="7">
        <v>4600</v>
      </c>
      <c r="I593" s="4">
        <v>7.0000000000000007E-2</v>
      </c>
      <c r="J593" s="7">
        <v>4278</v>
      </c>
      <c r="K593" s="7">
        <f>Tabela1[[#This Row],[Valor Bruto]]-Tabela1[[#This Row],[Valor Venda]]</f>
        <v>322</v>
      </c>
      <c r="L593" s="1">
        <v>44159</v>
      </c>
      <c r="M593" s="1">
        <v>44159</v>
      </c>
      <c r="N593">
        <v>590</v>
      </c>
      <c r="O593">
        <v>2</v>
      </c>
      <c r="P593" t="s">
        <v>37</v>
      </c>
      <c r="Q593">
        <v>0.1</v>
      </c>
      <c r="R593" s="7">
        <v>427.8</v>
      </c>
      <c r="S593">
        <v>2</v>
      </c>
      <c r="T593" t="s">
        <v>118</v>
      </c>
    </row>
    <row r="594" spans="1:20">
      <c r="A594">
        <v>591</v>
      </c>
      <c r="B594" s="1">
        <v>44150</v>
      </c>
      <c r="C594">
        <v>88</v>
      </c>
      <c r="D594" t="s">
        <v>38</v>
      </c>
      <c r="E594" t="s">
        <v>54</v>
      </c>
      <c r="F594" s="8">
        <v>42</v>
      </c>
      <c r="G594" s="7">
        <v>96</v>
      </c>
      <c r="H594" s="7">
        <v>4032</v>
      </c>
      <c r="I594" s="4">
        <v>0.08</v>
      </c>
      <c r="J594" s="7">
        <v>3709.44</v>
      </c>
      <c r="K594" s="7">
        <f>Tabela1[[#This Row],[Valor Bruto]]-Tabela1[[#This Row],[Valor Venda]]</f>
        <v>322.55999999999995</v>
      </c>
      <c r="L594" s="1">
        <v>44165</v>
      </c>
      <c r="M594" s="1">
        <v>44165</v>
      </c>
      <c r="N594">
        <v>591</v>
      </c>
      <c r="O594">
        <v>3</v>
      </c>
      <c r="P594" t="s">
        <v>22</v>
      </c>
      <c r="Q594">
        <v>0.08</v>
      </c>
      <c r="R594" s="7">
        <v>296.7552</v>
      </c>
      <c r="S594">
        <v>3</v>
      </c>
      <c r="T594" t="s">
        <v>118</v>
      </c>
    </row>
    <row r="595" spans="1:20">
      <c r="A595">
        <v>592</v>
      </c>
      <c r="B595" s="1">
        <v>44153</v>
      </c>
      <c r="C595">
        <v>41</v>
      </c>
      <c r="D595" t="s">
        <v>68</v>
      </c>
      <c r="E595" t="s">
        <v>46</v>
      </c>
      <c r="F595" s="8">
        <v>47</v>
      </c>
      <c r="G595" s="7">
        <v>92</v>
      </c>
      <c r="H595" s="7">
        <v>4324</v>
      </c>
      <c r="I595" s="4">
        <v>0.15</v>
      </c>
      <c r="J595" s="7">
        <v>3675.4</v>
      </c>
      <c r="K595" s="7">
        <f>Tabela1[[#This Row],[Valor Bruto]]-Tabela1[[#This Row],[Valor Venda]]</f>
        <v>648.59999999999991</v>
      </c>
      <c r="L595" s="1">
        <v>44165</v>
      </c>
      <c r="M595" s="1">
        <v>44165</v>
      </c>
      <c r="N595">
        <v>592</v>
      </c>
      <c r="O595">
        <v>5</v>
      </c>
      <c r="P595" t="s">
        <v>37</v>
      </c>
      <c r="Q595">
        <v>0.1</v>
      </c>
      <c r="R595" s="7">
        <v>367.54</v>
      </c>
      <c r="S595">
        <v>4</v>
      </c>
      <c r="T595" t="s">
        <v>118</v>
      </c>
    </row>
    <row r="596" spans="1:20">
      <c r="A596">
        <v>593</v>
      </c>
      <c r="B596" s="1">
        <v>44153</v>
      </c>
      <c r="C596">
        <v>92</v>
      </c>
      <c r="D596" t="s">
        <v>26</v>
      </c>
      <c r="E596" t="s">
        <v>46</v>
      </c>
      <c r="F596" s="8">
        <v>30</v>
      </c>
      <c r="G596" s="7">
        <v>116</v>
      </c>
      <c r="H596" s="7">
        <v>3480</v>
      </c>
      <c r="I596" s="4">
        <v>0.01</v>
      </c>
      <c r="J596" s="7">
        <v>3445.2</v>
      </c>
      <c r="K596" s="7">
        <f>Tabela1[[#This Row],[Valor Bruto]]-Tabela1[[#This Row],[Valor Venda]]</f>
        <v>34.800000000000182</v>
      </c>
      <c r="L596" s="1">
        <v>44162</v>
      </c>
      <c r="M596" s="1">
        <v>44162</v>
      </c>
      <c r="N596">
        <v>593</v>
      </c>
      <c r="O596">
        <v>4</v>
      </c>
      <c r="P596" t="s">
        <v>25</v>
      </c>
      <c r="Q596">
        <v>0.06</v>
      </c>
      <c r="R596" s="7">
        <v>206.71199999999999</v>
      </c>
      <c r="S596">
        <v>5</v>
      </c>
      <c r="T596" t="s">
        <v>118</v>
      </c>
    </row>
    <row r="597" spans="1:20">
      <c r="A597">
        <v>594</v>
      </c>
      <c r="B597" s="1">
        <v>44154</v>
      </c>
      <c r="C597">
        <v>84</v>
      </c>
      <c r="D597" t="s">
        <v>44</v>
      </c>
      <c r="E597" t="s">
        <v>28</v>
      </c>
      <c r="F597" s="8">
        <v>42</v>
      </c>
      <c r="G597" s="7">
        <v>100</v>
      </c>
      <c r="H597" s="7">
        <v>4200</v>
      </c>
      <c r="I597" s="4">
        <v>0.05</v>
      </c>
      <c r="J597" s="7">
        <v>3990</v>
      </c>
      <c r="K597" s="7">
        <f>Tabela1[[#This Row],[Valor Bruto]]-Tabela1[[#This Row],[Valor Venda]]</f>
        <v>210</v>
      </c>
      <c r="L597" s="1">
        <v>44170</v>
      </c>
      <c r="M597" s="1">
        <v>44170</v>
      </c>
      <c r="N597">
        <v>594</v>
      </c>
      <c r="O597">
        <v>7</v>
      </c>
      <c r="P597" t="s">
        <v>69</v>
      </c>
      <c r="Q597">
        <v>7.0000000000000007E-2</v>
      </c>
      <c r="R597" s="7">
        <v>279.3</v>
      </c>
      <c r="S597">
        <v>6</v>
      </c>
      <c r="T597" t="s">
        <v>118</v>
      </c>
    </row>
    <row r="598" spans="1:20">
      <c r="A598">
        <v>595</v>
      </c>
      <c r="B598" s="1">
        <v>44155</v>
      </c>
      <c r="C598">
        <v>8</v>
      </c>
      <c r="D598" t="s">
        <v>38</v>
      </c>
      <c r="E598" t="s">
        <v>59</v>
      </c>
      <c r="F598" s="8">
        <v>11</v>
      </c>
      <c r="G598" s="7">
        <v>118</v>
      </c>
      <c r="H598" s="7">
        <v>1298</v>
      </c>
      <c r="I598" s="4">
        <v>0.11</v>
      </c>
      <c r="J598" s="7">
        <v>1155.22</v>
      </c>
      <c r="K598" s="7">
        <f>Tabela1[[#This Row],[Valor Bruto]]-Tabela1[[#This Row],[Valor Venda]]</f>
        <v>142.77999999999997</v>
      </c>
      <c r="L598" s="1">
        <v>44155</v>
      </c>
      <c r="M598" s="1">
        <v>44155</v>
      </c>
      <c r="N598">
        <v>595</v>
      </c>
      <c r="O598">
        <v>5</v>
      </c>
      <c r="P598" t="s">
        <v>34</v>
      </c>
      <c r="Q598">
        <v>0.05</v>
      </c>
      <c r="R598" s="7">
        <v>57.761000000000003</v>
      </c>
      <c r="S598">
        <v>7</v>
      </c>
      <c r="T598" t="s">
        <v>118</v>
      </c>
    </row>
    <row r="599" spans="1:20">
      <c r="A599">
        <v>596</v>
      </c>
      <c r="B599" s="1">
        <v>44155</v>
      </c>
      <c r="C599">
        <v>76</v>
      </c>
      <c r="D599" t="s">
        <v>104</v>
      </c>
      <c r="E599" t="s">
        <v>28</v>
      </c>
      <c r="F599" s="8">
        <v>35</v>
      </c>
      <c r="G599" s="7">
        <v>105</v>
      </c>
      <c r="H599" s="7">
        <v>3675</v>
      </c>
      <c r="I599" s="4">
        <v>0.04</v>
      </c>
      <c r="J599" s="7">
        <v>3528</v>
      </c>
      <c r="K599" s="7">
        <f>Tabela1[[#This Row],[Valor Bruto]]-Tabela1[[#This Row],[Valor Venda]]</f>
        <v>147</v>
      </c>
      <c r="L599" s="1">
        <v>44183</v>
      </c>
      <c r="M599" s="1">
        <v>44183</v>
      </c>
      <c r="N599">
        <v>596</v>
      </c>
      <c r="O599">
        <v>4</v>
      </c>
      <c r="P599" t="s">
        <v>22</v>
      </c>
      <c r="Q599">
        <v>0.05</v>
      </c>
      <c r="R599" s="7">
        <v>176.4</v>
      </c>
      <c r="S599">
        <v>1</v>
      </c>
      <c r="T599" t="s">
        <v>118</v>
      </c>
    </row>
    <row r="600" spans="1:20">
      <c r="A600">
        <v>597</v>
      </c>
      <c r="B600" s="1">
        <v>44156</v>
      </c>
      <c r="C600">
        <v>29</v>
      </c>
      <c r="D600" t="s">
        <v>98</v>
      </c>
      <c r="E600" t="s">
        <v>28</v>
      </c>
      <c r="F600" s="8">
        <v>14</v>
      </c>
      <c r="G600" s="7">
        <v>120</v>
      </c>
      <c r="H600" s="7">
        <v>1680</v>
      </c>
      <c r="I600" s="4">
        <v>0.08</v>
      </c>
      <c r="J600" s="7">
        <v>1545.6</v>
      </c>
      <c r="K600" s="7">
        <f>Tabela1[[#This Row],[Valor Bruto]]-Tabela1[[#This Row],[Valor Venda]]</f>
        <v>134.40000000000009</v>
      </c>
      <c r="L600" s="1">
        <v>44181</v>
      </c>
      <c r="M600" s="1">
        <v>44181</v>
      </c>
      <c r="N600">
        <v>597</v>
      </c>
      <c r="O600">
        <v>7</v>
      </c>
      <c r="P600" t="s">
        <v>32</v>
      </c>
      <c r="Q600">
        <v>0.08</v>
      </c>
      <c r="R600" s="7">
        <v>123.648</v>
      </c>
      <c r="S600">
        <v>2</v>
      </c>
      <c r="T600" t="s">
        <v>118</v>
      </c>
    </row>
    <row r="601" spans="1:20">
      <c r="A601">
        <v>598</v>
      </c>
      <c r="B601" s="1">
        <v>44157</v>
      </c>
      <c r="C601">
        <v>57</v>
      </c>
      <c r="D601" t="s">
        <v>89</v>
      </c>
      <c r="E601" t="s">
        <v>31</v>
      </c>
      <c r="F601" s="8">
        <v>33</v>
      </c>
      <c r="G601" s="7">
        <v>95</v>
      </c>
      <c r="H601" s="7">
        <v>3135</v>
      </c>
      <c r="I601" s="4">
        <v>0.1</v>
      </c>
      <c r="J601" s="7">
        <v>2821.5</v>
      </c>
      <c r="K601" s="7">
        <f>Tabela1[[#This Row],[Valor Bruto]]-Tabela1[[#This Row],[Valor Venda]]</f>
        <v>313.5</v>
      </c>
      <c r="L601" s="1">
        <v>44173</v>
      </c>
      <c r="M601" s="1">
        <v>44173</v>
      </c>
      <c r="N601">
        <v>598</v>
      </c>
      <c r="O601">
        <v>3</v>
      </c>
      <c r="P601" t="s">
        <v>52</v>
      </c>
      <c r="Q601">
        <v>0.09</v>
      </c>
      <c r="R601" s="7">
        <v>253.935</v>
      </c>
      <c r="S601">
        <v>3</v>
      </c>
      <c r="T601" t="s">
        <v>118</v>
      </c>
    </row>
    <row r="602" spans="1:20">
      <c r="A602">
        <v>599</v>
      </c>
      <c r="B602" s="1">
        <v>44158</v>
      </c>
      <c r="C602">
        <v>88</v>
      </c>
      <c r="D602" t="s">
        <v>38</v>
      </c>
      <c r="E602" t="s">
        <v>41</v>
      </c>
      <c r="F602" s="8">
        <v>10</v>
      </c>
      <c r="G602" s="7">
        <v>113</v>
      </c>
      <c r="H602" s="7">
        <v>1130</v>
      </c>
      <c r="I602" s="4">
        <v>0.1</v>
      </c>
      <c r="J602" s="7">
        <v>1017</v>
      </c>
      <c r="K602" s="7">
        <f>Tabela1[[#This Row],[Valor Bruto]]-Tabela1[[#This Row],[Valor Venda]]</f>
        <v>113</v>
      </c>
      <c r="L602" s="1">
        <v>44183</v>
      </c>
      <c r="M602" s="1">
        <v>44183</v>
      </c>
      <c r="N602">
        <v>599</v>
      </c>
      <c r="O602">
        <v>7</v>
      </c>
      <c r="P602" t="s">
        <v>29</v>
      </c>
      <c r="Q602">
        <v>0.06</v>
      </c>
      <c r="R602" s="7">
        <v>61.019999999999996</v>
      </c>
      <c r="S602">
        <v>4</v>
      </c>
      <c r="T602" t="s">
        <v>118</v>
      </c>
    </row>
    <row r="603" spans="1:20">
      <c r="A603">
        <v>600</v>
      </c>
      <c r="B603" s="1">
        <v>44158</v>
      </c>
      <c r="C603">
        <v>12</v>
      </c>
      <c r="D603" t="s">
        <v>45</v>
      </c>
      <c r="E603" t="s">
        <v>28</v>
      </c>
      <c r="F603" s="8">
        <v>46</v>
      </c>
      <c r="G603" s="7">
        <v>113</v>
      </c>
      <c r="H603" s="7">
        <v>5198</v>
      </c>
      <c r="I603" s="4">
        <v>0.14000000000000001</v>
      </c>
      <c r="J603" s="7">
        <v>4470.28</v>
      </c>
      <c r="K603" s="7">
        <f>Tabela1[[#This Row],[Valor Bruto]]-Tabela1[[#This Row],[Valor Venda]]</f>
        <v>727.72000000000025</v>
      </c>
      <c r="L603" s="1">
        <v>44185</v>
      </c>
      <c r="M603" s="1">
        <v>44185</v>
      </c>
      <c r="N603">
        <v>600</v>
      </c>
      <c r="O603">
        <v>6</v>
      </c>
      <c r="P603" t="s">
        <v>32</v>
      </c>
      <c r="Q603">
        <v>0.09</v>
      </c>
      <c r="R603" s="7">
        <v>402.32519999999994</v>
      </c>
      <c r="S603">
        <v>5</v>
      </c>
      <c r="T603" t="s">
        <v>118</v>
      </c>
    </row>
    <row r="604" spans="1:20">
      <c r="A604">
        <v>601</v>
      </c>
      <c r="B604" s="1">
        <v>44159</v>
      </c>
      <c r="C604">
        <v>30</v>
      </c>
      <c r="D604" t="s">
        <v>96</v>
      </c>
      <c r="E604" t="s">
        <v>31</v>
      </c>
      <c r="F604" s="8">
        <v>15</v>
      </c>
      <c r="G604" s="7">
        <v>104</v>
      </c>
      <c r="H604" s="7">
        <v>1560</v>
      </c>
      <c r="I604" s="4">
        <v>0.08</v>
      </c>
      <c r="J604" s="7">
        <v>1435.2</v>
      </c>
      <c r="K604" s="7">
        <f>Tabela1[[#This Row],[Valor Bruto]]-Tabela1[[#This Row],[Valor Venda]]</f>
        <v>124.79999999999995</v>
      </c>
      <c r="L604" s="1">
        <v>44170</v>
      </c>
      <c r="M604" s="1">
        <v>44170</v>
      </c>
      <c r="N604">
        <v>601</v>
      </c>
      <c r="O604">
        <v>4</v>
      </c>
      <c r="P604" t="s">
        <v>69</v>
      </c>
      <c r="Q604">
        <v>0.08</v>
      </c>
      <c r="R604" s="7">
        <v>114.816</v>
      </c>
      <c r="S604">
        <v>6</v>
      </c>
      <c r="T604" t="s">
        <v>118</v>
      </c>
    </row>
    <row r="605" spans="1:20">
      <c r="A605">
        <v>602</v>
      </c>
      <c r="B605" s="1">
        <v>44159</v>
      </c>
      <c r="C605">
        <v>92</v>
      </c>
      <c r="D605" t="s">
        <v>26</v>
      </c>
      <c r="E605" t="s">
        <v>28</v>
      </c>
      <c r="F605" s="8">
        <v>26</v>
      </c>
      <c r="G605" s="7">
        <v>120</v>
      </c>
      <c r="H605" s="7">
        <v>3120</v>
      </c>
      <c r="I605" s="4">
        <v>0</v>
      </c>
      <c r="J605" s="7">
        <v>3120</v>
      </c>
      <c r="K605" s="7">
        <f>Tabela1[[#This Row],[Valor Bruto]]-Tabela1[[#This Row],[Valor Venda]]</f>
        <v>0</v>
      </c>
      <c r="L605" s="1">
        <v>44181</v>
      </c>
      <c r="M605" s="1">
        <v>44181</v>
      </c>
      <c r="N605">
        <v>602</v>
      </c>
      <c r="O605">
        <v>2</v>
      </c>
      <c r="P605" t="s">
        <v>34</v>
      </c>
      <c r="Q605">
        <v>7.0000000000000007E-2</v>
      </c>
      <c r="R605" s="7">
        <v>218.40000000000003</v>
      </c>
      <c r="S605">
        <v>7</v>
      </c>
      <c r="T605" t="s">
        <v>118</v>
      </c>
    </row>
    <row r="606" spans="1:20">
      <c r="A606">
        <v>603</v>
      </c>
      <c r="B606" s="1">
        <v>44160</v>
      </c>
      <c r="C606">
        <v>100</v>
      </c>
      <c r="D606" t="s">
        <v>38</v>
      </c>
      <c r="E606" t="s">
        <v>28</v>
      </c>
      <c r="F606" s="8">
        <v>23</v>
      </c>
      <c r="G606" s="7">
        <v>101</v>
      </c>
      <c r="H606" s="7">
        <v>2323</v>
      </c>
      <c r="I606" s="4">
        <v>0</v>
      </c>
      <c r="J606" s="7">
        <v>2323</v>
      </c>
      <c r="K606" s="7">
        <f>Tabela1[[#This Row],[Valor Bruto]]-Tabela1[[#This Row],[Valor Venda]]</f>
        <v>0</v>
      </c>
      <c r="L606" s="1">
        <v>44179</v>
      </c>
      <c r="M606" s="1">
        <v>44179</v>
      </c>
      <c r="N606">
        <v>603</v>
      </c>
      <c r="O606">
        <v>6</v>
      </c>
      <c r="P606" t="s">
        <v>22</v>
      </c>
      <c r="Q606">
        <v>0.08</v>
      </c>
      <c r="R606" s="7">
        <v>185.84</v>
      </c>
      <c r="S606">
        <v>1</v>
      </c>
      <c r="T606" t="s">
        <v>118</v>
      </c>
    </row>
    <row r="607" spans="1:20">
      <c r="A607">
        <v>604</v>
      </c>
      <c r="B607" s="1">
        <v>44161</v>
      </c>
      <c r="C607">
        <v>1</v>
      </c>
      <c r="D607" t="s">
        <v>93</v>
      </c>
      <c r="E607" t="s">
        <v>41</v>
      </c>
      <c r="F607" s="8">
        <v>45</v>
      </c>
      <c r="G607" s="7">
        <v>104</v>
      </c>
      <c r="H607" s="7">
        <v>4680</v>
      </c>
      <c r="I607" s="4">
        <v>0.1</v>
      </c>
      <c r="J607" s="7">
        <v>4212</v>
      </c>
      <c r="K607" s="7">
        <f>Tabela1[[#This Row],[Valor Bruto]]-Tabela1[[#This Row],[Valor Venda]]</f>
        <v>468</v>
      </c>
      <c r="L607" s="1">
        <v>44161</v>
      </c>
      <c r="M607" s="1">
        <v>44161</v>
      </c>
      <c r="N607">
        <v>604</v>
      </c>
      <c r="O607">
        <v>4</v>
      </c>
      <c r="P607" t="s">
        <v>32</v>
      </c>
      <c r="Q607">
        <v>0.06</v>
      </c>
      <c r="R607" s="7">
        <v>252.72</v>
      </c>
      <c r="S607">
        <v>2</v>
      </c>
      <c r="T607" t="s">
        <v>118</v>
      </c>
    </row>
    <row r="608" spans="1:20">
      <c r="A608">
        <v>605</v>
      </c>
      <c r="B608" s="1">
        <v>44161</v>
      </c>
      <c r="C608">
        <v>82</v>
      </c>
      <c r="D608" t="s">
        <v>67</v>
      </c>
      <c r="E608" t="s">
        <v>21</v>
      </c>
      <c r="F608" s="8">
        <v>13</v>
      </c>
      <c r="G608" s="7">
        <v>90</v>
      </c>
      <c r="H608" s="7">
        <v>1170</v>
      </c>
      <c r="I608" s="4">
        <v>0.11</v>
      </c>
      <c r="J608" s="7">
        <v>1041.3</v>
      </c>
      <c r="K608" s="7">
        <f>Tabela1[[#This Row],[Valor Bruto]]-Tabela1[[#This Row],[Valor Venda]]</f>
        <v>128.70000000000005</v>
      </c>
      <c r="L608" s="1">
        <v>44161</v>
      </c>
      <c r="M608" s="1">
        <v>44161</v>
      </c>
      <c r="N608">
        <v>605</v>
      </c>
      <c r="O608">
        <v>4</v>
      </c>
      <c r="P608" t="s">
        <v>52</v>
      </c>
      <c r="Q608">
        <v>7.0000000000000007E-2</v>
      </c>
      <c r="R608" s="7">
        <v>72.891000000000005</v>
      </c>
      <c r="S608">
        <v>3</v>
      </c>
      <c r="T608" t="s">
        <v>118</v>
      </c>
    </row>
    <row r="609" spans="1:20">
      <c r="A609">
        <v>606</v>
      </c>
      <c r="B609" s="1">
        <v>44162</v>
      </c>
      <c r="C609">
        <v>80</v>
      </c>
      <c r="D609" t="s">
        <v>38</v>
      </c>
      <c r="E609" t="s">
        <v>21</v>
      </c>
      <c r="F609" s="8">
        <v>28</v>
      </c>
      <c r="G609" s="7">
        <v>117</v>
      </c>
      <c r="H609" s="7">
        <v>3276</v>
      </c>
      <c r="I609" s="4">
        <v>0.11</v>
      </c>
      <c r="J609" s="7">
        <v>2915.64</v>
      </c>
      <c r="K609" s="7">
        <f>Tabela1[[#This Row],[Valor Bruto]]-Tabela1[[#This Row],[Valor Venda]]</f>
        <v>360.36000000000013</v>
      </c>
      <c r="L609" s="1">
        <v>44165</v>
      </c>
      <c r="M609" s="1">
        <v>44165</v>
      </c>
      <c r="N609">
        <v>606</v>
      </c>
      <c r="O609">
        <v>4</v>
      </c>
      <c r="P609" t="s">
        <v>43</v>
      </c>
      <c r="Q609">
        <v>7.0000000000000007E-2</v>
      </c>
      <c r="R609" s="7">
        <v>204.09480000000002</v>
      </c>
      <c r="S609">
        <v>4</v>
      </c>
      <c r="T609" t="s">
        <v>118</v>
      </c>
    </row>
    <row r="610" spans="1:20">
      <c r="A610">
        <v>607</v>
      </c>
      <c r="B610" s="1">
        <v>44162</v>
      </c>
      <c r="C610">
        <v>39</v>
      </c>
      <c r="D610" t="s">
        <v>38</v>
      </c>
      <c r="E610" t="s">
        <v>50</v>
      </c>
      <c r="F610" s="8">
        <v>21</v>
      </c>
      <c r="G610" s="7">
        <v>104</v>
      </c>
      <c r="H610" s="7">
        <v>2184</v>
      </c>
      <c r="I610" s="4">
        <v>0.14000000000000001</v>
      </c>
      <c r="J610" s="7">
        <v>1878.24</v>
      </c>
      <c r="K610" s="7">
        <f>Tabela1[[#This Row],[Valor Bruto]]-Tabela1[[#This Row],[Valor Venda]]</f>
        <v>305.76</v>
      </c>
      <c r="L610" s="1">
        <v>44168</v>
      </c>
      <c r="M610" s="1">
        <v>44168</v>
      </c>
      <c r="N610">
        <v>607</v>
      </c>
      <c r="O610">
        <v>2</v>
      </c>
      <c r="P610" t="s">
        <v>69</v>
      </c>
      <c r="Q610">
        <v>0.1</v>
      </c>
      <c r="R610" s="7">
        <v>187.82400000000001</v>
      </c>
      <c r="S610">
        <v>5</v>
      </c>
      <c r="T610" t="s">
        <v>118</v>
      </c>
    </row>
    <row r="611" spans="1:20">
      <c r="A611">
        <v>608</v>
      </c>
      <c r="B611" s="1">
        <v>44162</v>
      </c>
      <c r="C611">
        <v>63</v>
      </c>
      <c r="D611" t="s">
        <v>80</v>
      </c>
      <c r="E611" t="s">
        <v>28</v>
      </c>
      <c r="F611" s="8">
        <v>18</v>
      </c>
      <c r="G611" s="7">
        <v>110</v>
      </c>
      <c r="H611" s="7">
        <v>1980</v>
      </c>
      <c r="I611" s="4">
        <v>0.1</v>
      </c>
      <c r="J611" s="7">
        <v>1782</v>
      </c>
      <c r="K611" s="7">
        <f>Tabela1[[#This Row],[Valor Bruto]]-Tabela1[[#This Row],[Valor Venda]]</f>
        <v>198</v>
      </c>
      <c r="L611" s="1">
        <v>44173</v>
      </c>
      <c r="M611" s="1">
        <v>44173</v>
      </c>
      <c r="N611">
        <v>608</v>
      </c>
      <c r="O611">
        <v>5</v>
      </c>
      <c r="P611" t="s">
        <v>69</v>
      </c>
      <c r="Q611">
        <v>0.1</v>
      </c>
      <c r="R611" s="7">
        <v>178.20000000000002</v>
      </c>
      <c r="S611">
        <v>6</v>
      </c>
      <c r="T611" t="s">
        <v>118</v>
      </c>
    </row>
    <row r="612" spans="1:20">
      <c r="A612">
        <v>609</v>
      </c>
      <c r="B612" s="1">
        <v>44163</v>
      </c>
      <c r="C612">
        <v>34</v>
      </c>
      <c r="D612" t="s">
        <v>58</v>
      </c>
      <c r="E612" t="s">
        <v>31</v>
      </c>
      <c r="F612" s="8">
        <v>29</v>
      </c>
      <c r="G612" s="7">
        <v>103</v>
      </c>
      <c r="H612" s="7">
        <v>2987</v>
      </c>
      <c r="I612" s="4">
        <v>0.09</v>
      </c>
      <c r="J612" s="7">
        <v>2718.17</v>
      </c>
      <c r="K612" s="7">
        <f>Tabela1[[#This Row],[Valor Bruto]]-Tabela1[[#This Row],[Valor Venda]]</f>
        <v>268.82999999999993</v>
      </c>
      <c r="L612" s="1">
        <v>44179</v>
      </c>
      <c r="M612" s="1">
        <v>44179</v>
      </c>
      <c r="N612">
        <v>609</v>
      </c>
      <c r="O612">
        <v>1</v>
      </c>
      <c r="P612" t="s">
        <v>47</v>
      </c>
      <c r="Q612">
        <v>0.08</v>
      </c>
      <c r="R612" s="7">
        <v>217.45360000000002</v>
      </c>
      <c r="S612">
        <v>7</v>
      </c>
      <c r="T612" t="s">
        <v>118</v>
      </c>
    </row>
    <row r="613" spans="1:20">
      <c r="A613">
        <v>610</v>
      </c>
      <c r="B613" s="1">
        <v>44163</v>
      </c>
      <c r="C613">
        <v>50</v>
      </c>
      <c r="D613" t="s">
        <v>81</v>
      </c>
      <c r="E613" t="s">
        <v>41</v>
      </c>
      <c r="F613" s="8">
        <v>41</v>
      </c>
      <c r="G613" s="7">
        <v>118</v>
      </c>
      <c r="H613" s="7">
        <v>4838</v>
      </c>
      <c r="I613" s="4">
        <v>0.13</v>
      </c>
      <c r="J613" s="7">
        <v>4209.0599999999995</v>
      </c>
      <c r="K613" s="7">
        <f>Tabela1[[#This Row],[Valor Bruto]]-Tabela1[[#This Row],[Valor Venda]]</f>
        <v>628.94000000000051</v>
      </c>
      <c r="L613" s="1">
        <v>44183</v>
      </c>
      <c r="M613" s="1">
        <v>44183</v>
      </c>
      <c r="N613">
        <v>610</v>
      </c>
      <c r="O613">
        <v>4</v>
      </c>
      <c r="P613" t="s">
        <v>69</v>
      </c>
      <c r="Q613">
        <v>0.05</v>
      </c>
      <c r="R613" s="7">
        <v>210.45299999999997</v>
      </c>
      <c r="S613">
        <v>1</v>
      </c>
      <c r="T613" t="s">
        <v>118</v>
      </c>
    </row>
    <row r="614" spans="1:20">
      <c r="A614">
        <v>611</v>
      </c>
      <c r="B614" s="1">
        <v>44165</v>
      </c>
      <c r="C614">
        <v>56</v>
      </c>
      <c r="D614" t="s">
        <v>67</v>
      </c>
      <c r="E614" t="s">
        <v>54</v>
      </c>
      <c r="F614" s="8">
        <v>36</v>
      </c>
      <c r="G614" s="7">
        <v>109</v>
      </c>
      <c r="H614" s="7">
        <v>3924</v>
      </c>
      <c r="I614" s="4">
        <v>0.05</v>
      </c>
      <c r="J614" s="7">
        <v>3727.8</v>
      </c>
      <c r="K614" s="7">
        <f>Tabela1[[#This Row],[Valor Bruto]]-Tabela1[[#This Row],[Valor Venda]]</f>
        <v>196.19999999999982</v>
      </c>
      <c r="L614" s="1">
        <v>44177</v>
      </c>
      <c r="M614" s="1">
        <v>44177</v>
      </c>
      <c r="N614">
        <v>611</v>
      </c>
      <c r="O614">
        <v>4</v>
      </c>
      <c r="P614" t="s">
        <v>37</v>
      </c>
      <c r="Q614">
        <v>0.1</v>
      </c>
      <c r="R614" s="7">
        <v>372.78000000000003</v>
      </c>
      <c r="S614">
        <v>2</v>
      </c>
      <c r="T614" t="s">
        <v>118</v>
      </c>
    </row>
    <row r="615" spans="1:20">
      <c r="A615">
        <v>612</v>
      </c>
      <c r="B615" s="1">
        <v>44166</v>
      </c>
      <c r="C615">
        <v>72</v>
      </c>
      <c r="D615" t="s">
        <v>38</v>
      </c>
      <c r="E615" t="s">
        <v>24</v>
      </c>
      <c r="F615" s="8">
        <v>18</v>
      </c>
      <c r="G615" s="7">
        <v>99</v>
      </c>
      <c r="H615" s="7">
        <v>1782</v>
      </c>
      <c r="I615" s="4">
        <v>0.02</v>
      </c>
      <c r="J615" s="7">
        <v>1746.36</v>
      </c>
      <c r="K615" s="7">
        <f>Tabela1[[#This Row],[Valor Bruto]]-Tabela1[[#This Row],[Valor Venda]]</f>
        <v>35.6400000000001</v>
      </c>
      <c r="L615" s="1">
        <v>44168</v>
      </c>
      <c r="M615" s="1">
        <v>44168</v>
      </c>
      <c r="N615">
        <v>612</v>
      </c>
      <c r="O615">
        <v>4</v>
      </c>
      <c r="P615" t="s">
        <v>32</v>
      </c>
      <c r="Q615">
        <v>0.09</v>
      </c>
      <c r="R615" s="7">
        <v>157.17239999999998</v>
      </c>
      <c r="S615">
        <v>3</v>
      </c>
      <c r="T615" t="s">
        <v>119</v>
      </c>
    </row>
    <row r="616" spans="1:20">
      <c r="A616">
        <v>613</v>
      </c>
      <c r="B616" s="1">
        <v>44166</v>
      </c>
      <c r="C616">
        <v>11</v>
      </c>
      <c r="D616" t="s">
        <v>60</v>
      </c>
      <c r="E616" t="s">
        <v>28</v>
      </c>
      <c r="F616" s="8">
        <v>38</v>
      </c>
      <c r="G616" s="7">
        <v>115</v>
      </c>
      <c r="H616" s="7">
        <v>4370</v>
      </c>
      <c r="I616" s="4">
        <v>0.12</v>
      </c>
      <c r="J616" s="7">
        <v>3845.6</v>
      </c>
      <c r="K616" s="7">
        <f>Tabela1[[#This Row],[Valor Bruto]]-Tabela1[[#This Row],[Valor Venda]]</f>
        <v>524.40000000000009</v>
      </c>
      <c r="L616" s="1">
        <v>44190</v>
      </c>
      <c r="M616" s="1">
        <v>44190</v>
      </c>
      <c r="N616">
        <v>613</v>
      </c>
      <c r="O616">
        <v>6</v>
      </c>
      <c r="P616" t="s">
        <v>69</v>
      </c>
      <c r="Q616">
        <v>0.06</v>
      </c>
      <c r="R616" s="7">
        <v>230.73599999999999</v>
      </c>
      <c r="S616">
        <v>4</v>
      </c>
      <c r="T616" t="s">
        <v>119</v>
      </c>
    </row>
    <row r="617" spans="1:20">
      <c r="A617">
        <v>614</v>
      </c>
      <c r="B617" s="1">
        <v>44166</v>
      </c>
      <c r="C617">
        <v>21</v>
      </c>
      <c r="D617" t="s">
        <v>87</v>
      </c>
      <c r="E617" t="s">
        <v>24</v>
      </c>
      <c r="F617" s="8">
        <v>21</v>
      </c>
      <c r="G617" s="7">
        <v>95</v>
      </c>
      <c r="H617" s="7">
        <v>1995</v>
      </c>
      <c r="I617" s="4">
        <v>0</v>
      </c>
      <c r="J617" s="7">
        <v>1995</v>
      </c>
      <c r="K617" s="7">
        <f>Tabela1[[#This Row],[Valor Bruto]]-Tabela1[[#This Row],[Valor Venda]]</f>
        <v>0</v>
      </c>
      <c r="L617" s="1">
        <v>44195</v>
      </c>
      <c r="M617" s="1">
        <v>44195</v>
      </c>
      <c r="N617">
        <v>614</v>
      </c>
      <c r="O617">
        <v>7</v>
      </c>
      <c r="P617" t="s">
        <v>52</v>
      </c>
      <c r="Q617">
        <v>0.1</v>
      </c>
      <c r="R617" s="7">
        <v>199.5</v>
      </c>
      <c r="S617">
        <v>5</v>
      </c>
      <c r="T617" t="s">
        <v>119</v>
      </c>
    </row>
    <row r="618" spans="1:20">
      <c r="A618">
        <v>615</v>
      </c>
      <c r="B618" s="1">
        <v>44166</v>
      </c>
      <c r="C618">
        <v>15</v>
      </c>
      <c r="D618" t="s">
        <v>77</v>
      </c>
      <c r="E618" t="s">
        <v>31</v>
      </c>
      <c r="F618" s="8">
        <v>36</v>
      </c>
      <c r="G618" s="7">
        <v>113</v>
      </c>
      <c r="H618" s="7">
        <v>4068</v>
      </c>
      <c r="I618" s="4">
        <v>0.1</v>
      </c>
      <c r="J618" s="7">
        <v>3661.2</v>
      </c>
      <c r="K618" s="7">
        <f>Tabela1[[#This Row],[Valor Bruto]]-Tabela1[[#This Row],[Valor Venda]]</f>
        <v>406.80000000000018</v>
      </c>
      <c r="L618" s="1">
        <v>44192</v>
      </c>
      <c r="M618" s="1">
        <v>44192</v>
      </c>
      <c r="N618">
        <v>615</v>
      </c>
      <c r="O618">
        <v>7</v>
      </c>
      <c r="P618" t="s">
        <v>22</v>
      </c>
      <c r="Q618">
        <v>0.06</v>
      </c>
      <c r="R618" s="7">
        <v>219.67199999999997</v>
      </c>
      <c r="S618">
        <v>6</v>
      </c>
      <c r="T618" t="s">
        <v>119</v>
      </c>
    </row>
    <row r="619" spans="1:20">
      <c r="A619">
        <v>616</v>
      </c>
      <c r="B619" s="1">
        <v>44166</v>
      </c>
      <c r="C619">
        <v>64</v>
      </c>
      <c r="D619" t="s">
        <v>78</v>
      </c>
      <c r="E619" t="s">
        <v>50</v>
      </c>
      <c r="F619" s="8">
        <v>16</v>
      </c>
      <c r="G619" s="7">
        <v>103</v>
      </c>
      <c r="H619" s="7">
        <v>1648</v>
      </c>
      <c r="I619" s="4">
        <v>0.15</v>
      </c>
      <c r="J619" s="7">
        <v>1400.8</v>
      </c>
      <c r="K619" s="7">
        <f>Tabela1[[#This Row],[Valor Bruto]]-Tabela1[[#This Row],[Valor Venda]]</f>
        <v>247.20000000000005</v>
      </c>
      <c r="L619" s="1">
        <v>44190</v>
      </c>
      <c r="M619" s="1">
        <v>44190</v>
      </c>
      <c r="N619">
        <v>616</v>
      </c>
      <c r="O619">
        <v>4</v>
      </c>
      <c r="P619" t="s">
        <v>47</v>
      </c>
      <c r="Q619">
        <v>0.05</v>
      </c>
      <c r="R619" s="7">
        <v>70.040000000000006</v>
      </c>
      <c r="S619">
        <v>7</v>
      </c>
      <c r="T619" t="s">
        <v>119</v>
      </c>
    </row>
    <row r="620" spans="1:20">
      <c r="A620">
        <v>617</v>
      </c>
      <c r="B620" s="1">
        <v>44166</v>
      </c>
      <c r="C620">
        <v>95</v>
      </c>
      <c r="D620" t="s">
        <v>38</v>
      </c>
      <c r="E620" t="s">
        <v>21</v>
      </c>
      <c r="F620" s="8">
        <v>35</v>
      </c>
      <c r="G620" s="7">
        <v>110</v>
      </c>
      <c r="H620" s="7">
        <v>3850</v>
      </c>
      <c r="I620" s="4">
        <v>0.03</v>
      </c>
      <c r="J620" s="7">
        <v>3734.5</v>
      </c>
      <c r="K620" s="7">
        <f>Tabela1[[#This Row],[Valor Bruto]]-Tabela1[[#This Row],[Valor Venda]]</f>
        <v>115.5</v>
      </c>
      <c r="L620" s="1">
        <v>44172</v>
      </c>
      <c r="M620" s="1">
        <v>44172</v>
      </c>
      <c r="N620">
        <v>617</v>
      </c>
      <c r="O620">
        <v>1</v>
      </c>
      <c r="P620" t="s">
        <v>32</v>
      </c>
      <c r="Q620">
        <v>0.1</v>
      </c>
      <c r="R620" s="7">
        <v>373.45000000000005</v>
      </c>
      <c r="S620">
        <v>1</v>
      </c>
      <c r="T620" t="s">
        <v>119</v>
      </c>
    </row>
    <row r="621" spans="1:20">
      <c r="A621">
        <v>618</v>
      </c>
      <c r="B621" s="1">
        <v>44167</v>
      </c>
      <c r="C621">
        <v>33</v>
      </c>
      <c r="D621" t="s">
        <v>76</v>
      </c>
      <c r="E621" t="s">
        <v>50</v>
      </c>
      <c r="F621" s="8">
        <v>16</v>
      </c>
      <c r="G621" s="7">
        <v>100</v>
      </c>
      <c r="H621" s="7">
        <v>1600</v>
      </c>
      <c r="I621" s="4">
        <v>0.03</v>
      </c>
      <c r="J621" s="7">
        <v>1552</v>
      </c>
      <c r="K621" s="7">
        <f>Tabela1[[#This Row],[Valor Bruto]]-Tabela1[[#This Row],[Valor Venda]]</f>
        <v>48</v>
      </c>
      <c r="L621" s="1">
        <v>44168</v>
      </c>
      <c r="M621" s="1">
        <v>44168</v>
      </c>
      <c r="N621">
        <v>618</v>
      </c>
      <c r="O621">
        <v>6</v>
      </c>
      <c r="P621" t="s">
        <v>43</v>
      </c>
      <c r="Q621">
        <v>0.08</v>
      </c>
      <c r="R621" s="7">
        <v>124.16</v>
      </c>
      <c r="S621">
        <v>2</v>
      </c>
      <c r="T621" t="s">
        <v>119</v>
      </c>
    </row>
    <row r="622" spans="1:20">
      <c r="A622">
        <v>619</v>
      </c>
      <c r="B622" s="1">
        <v>44167</v>
      </c>
      <c r="C622">
        <v>18</v>
      </c>
      <c r="D622" t="s">
        <v>83</v>
      </c>
      <c r="E622" t="s">
        <v>24</v>
      </c>
      <c r="F622" s="8">
        <v>28</v>
      </c>
      <c r="G622" s="7">
        <v>96</v>
      </c>
      <c r="H622" s="7">
        <v>2688</v>
      </c>
      <c r="I622" s="4">
        <v>0.04</v>
      </c>
      <c r="J622" s="7">
        <v>2580.48</v>
      </c>
      <c r="K622" s="7">
        <f>Tabela1[[#This Row],[Valor Bruto]]-Tabela1[[#This Row],[Valor Venda]]</f>
        <v>107.51999999999998</v>
      </c>
      <c r="L622" s="1">
        <v>44178</v>
      </c>
      <c r="M622" s="1">
        <v>44178</v>
      </c>
      <c r="N622">
        <v>619</v>
      </c>
      <c r="O622">
        <v>4</v>
      </c>
      <c r="P622" t="s">
        <v>37</v>
      </c>
      <c r="Q622">
        <v>0.06</v>
      </c>
      <c r="R622" s="7">
        <v>154.8288</v>
      </c>
      <c r="S622">
        <v>3</v>
      </c>
      <c r="T622" t="s">
        <v>119</v>
      </c>
    </row>
    <row r="623" spans="1:20">
      <c r="A623">
        <v>620</v>
      </c>
      <c r="B623" s="1">
        <v>44167</v>
      </c>
      <c r="C623">
        <v>29</v>
      </c>
      <c r="D623" t="s">
        <v>98</v>
      </c>
      <c r="E623" t="s">
        <v>59</v>
      </c>
      <c r="F623" s="8">
        <v>22</v>
      </c>
      <c r="G623" s="7">
        <v>92</v>
      </c>
      <c r="H623" s="7">
        <v>2024</v>
      </c>
      <c r="I623" s="4">
        <v>0.13</v>
      </c>
      <c r="J623" s="7">
        <v>1760.88</v>
      </c>
      <c r="K623" s="7">
        <f>Tabela1[[#This Row],[Valor Bruto]]-Tabela1[[#This Row],[Valor Venda]]</f>
        <v>263.11999999999989</v>
      </c>
      <c r="L623" s="1">
        <v>44186</v>
      </c>
      <c r="M623" s="1">
        <v>44186</v>
      </c>
      <c r="N623">
        <v>620</v>
      </c>
      <c r="O623">
        <v>5</v>
      </c>
      <c r="P623" t="s">
        <v>52</v>
      </c>
      <c r="Q623">
        <v>0.08</v>
      </c>
      <c r="R623" s="7">
        <v>140.87040000000002</v>
      </c>
      <c r="S623">
        <v>4</v>
      </c>
      <c r="T623" t="s">
        <v>119</v>
      </c>
    </row>
    <row r="624" spans="1:20">
      <c r="A624">
        <v>621</v>
      </c>
      <c r="B624" s="1">
        <v>44167</v>
      </c>
      <c r="C624">
        <v>75</v>
      </c>
      <c r="D624" t="s">
        <v>38</v>
      </c>
      <c r="E624" t="s">
        <v>55</v>
      </c>
      <c r="F624" s="8">
        <v>19</v>
      </c>
      <c r="G624" s="7">
        <v>112</v>
      </c>
      <c r="H624" s="7">
        <v>2128</v>
      </c>
      <c r="I624" s="4">
        <v>0.04</v>
      </c>
      <c r="J624" s="7">
        <v>2042.88</v>
      </c>
      <c r="K624" s="7">
        <f>Tabela1[[#This Row],[Valor Bruto]]-Tabela1[[#This Row],[Valor Venda]]</f>
        <v>85.119999999999891</v>
      </c>
      <c r="L624" s="1">
        <v>44195</v>
      </c>
      <c r="M624" s="1">
        <v>44195</v>
      </c>
      <c r="N624">
        <v>621</v>
      </c>
      <c r="O624">
        <v>6</v>
      </c>
      <c r="P624" t="s">
        <v>25</v>
      </c>
      <c r="Q624">
        <v>0.05</v>
      </c>
      <c r="R624" s="7">
        <v>102.14400000000001</v>
      </c>
      <c r="S624">
        <v>5</v>
      </c>
      <c r="T624" t="s">
        <v>119</v>
      </c>
    </row>
    <row r="625" spans="1:20">
      <c r="A625">
        <v>622</v>
      </c>
      <c r="B625" s="1">
        <v>44168</v>
      </c>
      <c r="C625">
        <v>26</v>
      </c>
      <c r="D625" t="s">
        <v>95</v>
      </c>
      <c r="E625" t="s">
        <v>28</v>
      </c>
      <c r="F625" s="8">
        <v>38</v>
      </c>
      <c r="G625" s="7">
        <v>90</v>
      </c>
      <c r="H625" s="7">
        <v>3420</v>
      </c>
      <c r="I625" s="4">
        <v>0.15</v>
      </c>
      <c r="J625" s="7">
        <v>2907</v>
      </c>
      <c r="K625" s="7">
        <f>Tabela1[[#This Row],[Valor Bruto]]-Tabela1[[#This Row],[Valor Venda]]</f>
        <v>513</v>
      </c>
      <c r="L625" s="1">
        <v>44180</v>
      </c>
      <c r="M625" s="1">
        <v>44180</v>
      </c>
      <c r="N625">
        <v>622</v>
      </c>
      <c r="O625">
        <v>3</v>
      </c>
      <c r="P625" t="s">
        <v>52</v>
      </c>
      <c r="Q625">
        <v>0.06</v>
      </c>
      <c r="R625" s="7">
        <v>174.42</v>
      </c>
      <c r="S625">
        <v>6</v>
      </c>
      <c r="T625" t="s">
        <v>119</v>
      </c>
    </row>
    <row r="626" spans="1:20">
      <c r="A626">
        <v>623</v>
      </c>
      <c r="B626" s="1">
        <v>44168</v>
      </c>
      <c r="C626">
        <v>49</v>
      </c>
      <c r="D626" t="s">
        <v>38</v>
      </c>
      <c r="E626" t="s">
        <v>21</v>
      </c>
      <c r="F626" s="8">
        <v>32</v>
      </c>
      <c r="G626" s="7">
        <v>96</v>
      </c>
      <c r="H626" s="7">
        <v>3072</v>
      </c>
      <c r="I626" s="4">
        <v>0.15</v>
      </c>
      <c r="J626" s="7">
        <v>2611.1999999999998</v>
      </c>
      <c r="K626" s="7">
        <f>Tabela1[[#This Row],[Valor Bruto]]-Tabela1[[#This Row],[Valor Venda]]</f>
        <v>460.80000000000018</v>
      </c>
      <c r="L626" s="1">
        <v>44178</v>
      </c>
      <c r="M626" s="1">
        <v>44178</v>
      </c>
      <c r="N626">
        <v>623</v>
      </c>
      <c r="O626">
        <v>4</v>
      </c>
      <c r="P626" t="s">
        <v>37</v>
      </c>
      <c r="Q626">
        <v>0.08</v>
      </c>
      <c r="R626" s="7">
        <v>208.89599999999999</v>
      </c>
      <c r="S626">
        <v>7</v>
      </c>
      <c r="T626" t="s">
        <v>119</v>
      </c>
    </row>
    <row r="627" spans="1:20">
      <c r="A627">
        <v>624</v>
      </c>
      <c r="B627" s="1">
        <v>44168</v>
      </c>
      <c r="C627">
        <v>83</v>
      </c>
      <c r="D627" t="s">
        <v>100</v>
      </c>
      <c r="E627" t="s">
        <v>54</v>
      </c>
      <c r="F627" s="8">
        <v>19</v>
      </c>
      <c r="G627" s="7">
        <v>106</v>
      </c>
      <c r="H627" s="7">
        <v>2014</v>
      </c>
      <c r="I627" s="4">
        <v>0.15</v>
      </c>
      <c r="J627" s="7">
        <v>1711.9</v>
      </c>
      <c r="K627" s="7">
        <f>Tabela1[[#This Row],[Valor Bruto]]-Tabela1[[#This Row],[Valor Venda]]</f>
        <v>302.09999999999991</v>
      </c>
      <c r="L627" s="1">
        <v>44172</v>
      </c>
      <c r="M627" s="1">
        <v>44172</v>
      </c>
      <c r="N627">
        <v>624</v>
      </c>
      <c r="O627">
        <v>5</v>
      </c>
      <c r="P627" t="s">
        <v>34</v>
      </c>
      <c r="Q627">
        <v>0.06</v>
      </c>
      <c r="R627" s="7">
        <v>102.714</v>
      </c>
      <c r="S627">
        <v>1</v>
      </c>
      <c r="T627" t="s">
        <v>119</v>
      </c>
    </row>
    <row r="628" spans="1:20">
      <c r="A628">
        <v>625</v>
      </c>
      <c r="B628" s="1">
        <v>44168</v>
      </c>
      <c r="C628">
        <v>21</v>
      </c>
      <c r="D628" t="s">
        <v>87</v>
      </c>
      <c r="E628" t="s">
        <v>46</v>
      </c>
      <c r="F628" s="8">
        <v>27</v>
      </c>
      <c r="G628" s="7">
        <v>104</v>
      </c>
      <c r="H628" s="7">
        <v>2808</v>
      </c>
      <c r="I628" s="4">
        <v>0.14000000000000001</v>
      </c>
      <c r="J628" s="7">
        <v>2414.88</v>
      </c>
      <c r="K628" s="7">
        <f>Tabela1[[#This Row],[Valor Bruto]]-Tabela1[[#This Row],[Valor Venda]]</f>
        <v>393.11999999999989</v>
      </c>
      <c r="L628" s="1">
        <v>44171</v>
      </c>
      <c r="M628" s="1">
        <v>44171</v>
      </c>
      <c r="N628">
        <v>625</v>
      </c>
      <c r="O628">
        <v>2</v>
      </c>
      <c r="P628" t="s">
        <v>25</v>
      </c>
      <c r="Q628">
        <v>0.1</v>
      </c>
      <c r="R628" s="7">
        <v>241.48800000000003</v>
      </c>
      <c r="S628">
        <v>2</v>
      </c>
      <c r="T628" t="s">
        <v>119</v>
      </c>
    </row>
    <row r="629" spans="1:20">
      <c r="A629">
        <v>626</v>
      </c>
      <c r="B629" s="1">
        <v>44169</v>
      </c>
      <c r="C629">
        <v>59</v>
      </c>
      <c r="D629" t="s">
        <v>97</v>
      </c>
      <c r="E629" t="s">
        <v>24</v>
      </c>
      <c r="F629" s="8">
        <v>42</v>
      </c>
      <c r="G629" s="7">
        <v>110</v>
      </c>
      <c r="H629" s="7">
        <v>4620</v>
      </c>
      <c r="I629" s="4">
        <v>0.1</v>
      </c>
      <c r="J629" s="7">
        <v>4158</v>
      </c>
      <c r="K629" s="7">
        <f>Tabela1[[#This Row],[Valor Bruto]]-Tabela1[[#This Row],[Valor Venda]]</f>
        <v>462</v>
      </c>
      <c r="L629" s="1">
        <v>44187</v>
      </c>
      <c r="M629" s="1">
        <v>44187</v>
      </c>
      <c r="N629">
        <v>626</v>
      </c>
      <c r="O629">
        <v>6</v>
      </c>
      <c r="P629" t="s">
        <v>47</v>
      </c>
      <c r="Q629">
        <v>0.05</v>
      </c>
      <c r="R629" s="7">
        <v>207.9</v>
      </c>
      <c r="S629">
        <v>3</v>
      </c>
      <c r="T629" t="s">
        <v>119</v>
      </c>
    </row>
    <row r="630" spans="1:20">
      <c r="A630">
        <v>627</v>
      </c>
      <c r="B630" s="1">
        <v>44170</v>
      </c>
      <c r="C630">
        <v>6</v>
      </c>
      <c r="D630" t="s">
        <v>88</v>
      </c>
      <c r="E630" t="s">
        <v>31</v>
      </c>
      <c r="F630" s="8">
        <v>48</v>
      </c>
      <c r="G630" s="7">
        <v>99</v>
      </c>
      <c r="H630" s="7">
        <v>4752</v>
      </c>
      <c r="I630" s="4">
        <v>0.08</v>
      </c>
      <c r="J630" s="7">
        <v>4371.84</v>
      </c>
      <c r="K630" s="7">
        <f>Tabela1[[#This Row],[Valor Bruto]]-Tabela1[[#This Row],[Valor Venda]]</f>
        <v>380.15999999999985</v>
      </c>
      <c r="L630" s="1">
        <v>44183</v>
      </c>
      <c r="M630" s="1">
        <v>44183</v>
      </c>
      <c r="N630">
        <v>627</v>
      </c>
      <c r="O630">
        <v>5</v>
      </c>
      <c r="P630" t="s">
        <v>25</v>
      </c>
      <c r="Q630">
        <v>0.1</v>
      </c>
      <c r="R630" s="7">
        <v>437.18400000000003</v>
      </c>
      <c r="S630">
        <v>4</v>
      </c>
      <c r="T630" t="s">
        <v>119</v>
      </c>
    </row>
    <row r="631" spans="1:20">
      <c r="A631">
        <v>628</v>
      </c>
      <c r="B631" s="1">
        <v>44170</v>
      </c>
      <c r="C631">
        <v>90</v>
      </c>
      <c r="D631" t="s">
        <v>60</v>
      </c>
      <c r="E631" t="s">
        <v>54</v>
      </c>
      <c r="F631" s="8">
        <v>24</v>
      </c>
      <c r="G631" s="7">
        <v>96</v>
      </c>
      <c r="H631" s="7">
        <v>2304</v>
      </c>
      <c r="I631" s="4">
        <v>0.1</v>
      </c>
      <c r="J631" s="7">
        <v>2073.6</v>
      </c>
      <c r="K631" s="7">
        <f>Tabela1[[#This Row],[Valor Bruto]]-Tabela1[[#This Row],[Valor Venda]]</f>
        <v>230.40000000000009</v>
      </c>
      <c r="L631" s="1">
        <v>44187</v>
      </c>
      <c r="M631" s="1">
        <v>44187</v>
      </c>
      <c r="N631">
        <v>628</v>
      </c>
      <c r="O631">
        <v>1</v>
      </c>
      <c r="P631" t="s">
        <v>29</v>
      </c>
      <c r="Q631">
        <v>0.09</v>
      </c>
      <c r="R631" s="7">
        <v>186.624</v>
      </c>
      <c r="S631">
        <v>5</v>
      </c>
      <c r="T631" t="s">
        <v>119</v>
      </c>
    </row>
    <row r="632" spans="1:20">
      <c r="A632">
        <v>629</v>
      </c>
      <c r="B632" s="1">
        <v>44171</v>
      </c>
      <c r="C632">
        <v>44</v>
      </c>
      <c r="D632" t="s">
        <v>71</v>
      </c>
      <c r="E632" t="s">
        <v>21</v>
      </c>
      <c r="F632" s="8">
        <v>47</v>
      </c>
      <c r="G632" s="7">
        <v>109</v>
      </c>
      <c r="H632" s="7">
        <v>5123</v>
      </c>
      <c r="I632" s="4">
        <v>0.05</v>
      </c>
      <c r="J632" s="7">
        <v>4866.8500000000004</v>
      </c>
      <c r="K632" s="7">
        <f>Tabela1[[#This Row],[Valor Bruto]]-Tabela1[[#This Row],[Valor Venda]]</f>
        <v>256.14999999999964</v>
      </c>
      <c r="L632" s="1">
        <v>44198</v>
      </c>
      <c r="M632" s="1">
        <v>44198</v>
      </c>
      <c r="N632">
        <v>629</v>
      </c>
      <c r="O632">
        <v>5</v>
      </c>
      <c r="P632" t="s">
        <v>52</v>
      </c>
      <c r="Q632">
        <v>0.05</v>
      </c>
      <c r="R632" s="7">
        <v>243.34250000000003</v>
      </c>
      <c r="S632">
        <v>6</v>
      </c>
      <c r="T632" t="s">
        <v>119</v>
      </c>
    </row>
    <row r="633" spans="1:20">
      <c r="A633">
        <v>630</v>
      </c>
      <c r="B633" s="1">
        <v>44171</v>
      </c>
      <c r="C633">
        <v>77</v>
      </c>
      <c r="D633" t="s">
        <v>65</v>
      </c>
      <c r="E633" t="s">
        <v>59</v>
      </c>
      <c r="F633" s="8">
        <v>42</v>
      </c>
      <c r="G633" s="7">
        <v>102</v>
      </c>
      <c r="H633" s="7">
        <v>4284</v>
      </c>
      <c r="I633" s="4">
        <v>0.14000000000000001</v>
      </c>
      <c r="J633" s="7">
        <v>3684.24</v>
      </c>
      <c r="K633" s="7">
        <f>Tabela1[[#This Row],[Valor Bruto]]-Tabela1[[#This Row],[Valor Venda]]</f>
        <v>599.76000000000022</v>
      </c>
      <c r="L633" s="1">
        <v>44185</v>
      </c>
      <c r="M633" s="1">
        <v>44185</v>
      </c>
      <c r="N633">
        <v>630</v>
      </c>
      <c r="O633">
        <v>2</v>
      </c>
      <c r="P633" t="s">
        <v>25</v>
      </c>
      <c r="Q633">
        <v>0.06</v>
      </c>
      <c r="R633" s="7">
        <v>221.05439999999999</v>
      </c>
      <c r="S633">
        <v>7</v>
      </c>
      <c r="T633" t="s">
        <v>119</v>
      </c>
    </row>
    <row r="634" spans="1:20">
      <c r="A634">
        <v>631</v>
      </c>
      <c r="B634" s="1">
        <v>44171</v>
      </c>
      <c r="C634">
        <v>4</v>
      </c>
      <c r="D634" t="s">
        <v>86</v>
      </c>
      <c r="E634" t="s">
        <v>55</v>
      </c>
      <c r="F634" s="8">
        <v>35</v>
      </c>
      <c r="G634" s="7">
        <v>115</v>
      </c>
      <c r="H634" s="7">
        <v>4025</v>
      </c>
      <c r="I634" s="4">
        <v>0.12</v>
      </c>
      <c r="J634" s="7">
        <v>3542</v>
      </c>
      <c r="K634" s="7">
        <f>Tabela1[[#This Row],[Valor Bruto]]-Tabela1[[#This Row],[Valor Venda]]</f>
        <v>483</v>
      </c>
      <c r="L634" s="1">
        <v>44186</v>
      </c>
      <c r="M634" s="1">
        <v>44186</v>
      </c>
      <c r="N634">
        <v>631</v>
      </c>
      <c r="O634">
        <v>3</v>
      </c>
      <c r="P634" t="s">
        <v>32</v>
      </c>
      <c r="Q634">
        <v>0.06</v>
      </c>
      <c r="R634" s="7">
        <v>212.51999999999998</v>
      </c>
      <c r="S634">
        <v>1</v>
      </c>
      <c r="T634" t="s">
        <v>119</v>
      </c>
    </row>
    <row r="635" spans="1:20">
      <c r="A635">
        <v>632</v>
      </c>
      <c r="B635" s="1">
        <v>44172</v>
      </c>
      <c r="C635">
        <v>43</v>
      </c>
      <c r="D635" t="s">
        <v>99</v>
      </c>
      <c r="E635" t="s">
        <v>28</v>
      </c>
      <c r="F635" s="8">
        <v>39</v>
      </c>
      <c r="G635" s="7">
        <v>118</v>
      </c>
      <c r="H635" s="7">
        <v>4602</v>
      </c>
      <c r="I635" s="4">
        <v>0.12</v>
      </c>
      <c r="J635" s="7">
        <v>4049.76</v>
      </c>
      <c r="K635" s="7">
        <f>Tabela1[[#This Row],[Valor Bruto]]-Tabela1[[#This Row],[Valor Venda]]</f>
        <v>552.23999999999978</v>
      </c>
      <c r="L635" s="1">
        <v>44197</v>
      </c>
      <c r="M635" s="1">
        <v>44197</v>
      </c>
      <c r="N635">
        <v>632</v>
      </c>
      <c r="O635">
        <v>3</v>
      </c>
      <c r="P635" t="s">
        <v>32</v>
      </c>
      <c r="Q635">
        <v>7.0000000000000007E-2</v>
      </c>
      <c r="R635" s="7">
        <v>283.48320000000007</v>
      </c>
      <c r="S635">
        <v>2</v>
      </c>
      <c r="T635" t="s">
        <v>119</v>
      </c>
    </row>
    <row r="636" spans="1:20">
      <c r="A636">
        <v>633</v>
      </c>
      <c r="B636" s="1">
        <v>44172</v>
      </c>
      <c r="C636">
        <v>63</v>
      </c>
      <c r="D636" t="s">
        <v>80</v>
      </c>
      <c r="E636" t="s">
        <v>55</v>
      </c>
      <c r="F636" s="8">
        <v>32</v>
      </c>
      <c r="G636" s="7">
        <v>108</v>
      </c>
      <c r="H636" s="7">
        <v>3456</v>
      </c>
      <c r="I636" s="4">
        <v>0.11</v>
      </c>
      <c r="J636" s="7">
        <v>3075.84</v>
      </c>
      <c r="K636" s="7">
        <f>Tabela1[[#This Row],[Valor Bruto]]-Tabela1[[#This Row],[Valor Venda]]</f>
        <v>380.15999999999985</v>
      </c>
      <c r="L636" s="1">
        <v>44200</v>
      </c>
      <c r="M636" s="1">
        <v>44200</v>
      </c>
      <c r="N636">
        <v>633</v>
      </c>
      <c r="O636">
        <v>4</v>
      </c>
      <c r="P636" t="s">
        <v>47</v>
      </c>
      <c r="Q636">
        <v>0.08</v>
      </c>
      <c r="R636" s="7">
        <v>246.06720000000001</v>
      </c>
      <c r="S636">
        <v>3</v>
      </c>
      <c r="T636" t="s">
        <v>119</v>
      </c>
    </row>
    <row r="637" spans="1:20">
      <c r="A637">
        <v>634</v>
      </c>
      <c r="B637" s="1">
        <v>44173</v>
      </c>
      <c r="C637">
        <v>2</v>
      </c>
      <c r="D637" t="s">
        <v>35</v>
      </c>
      <c r="E637" t="s">
        <v>50</v>
      </c>
      <c r="F637" s="8">
        <v>15</v>
      </c>
      <c r="G637" s="7">
        <v>117</v>
      </c>
      <c r="H637" s="7">
        <v>1755</v>
      </c>
      <c r="I637" s="4">
        <v>0.08</v>
      </c>
      <c r="J637" s="7">
        <v>1614.6</v>
      </c>
      <c r="K637" s="7">
        <f>Tabela1[[#This Row],[Valor Bruto]]-Tabela1[[#This Row],[Valor Venda]]</f>
        <v>140.40000000000009</v>
      </c>
      <c r="L637" s="1">
        <v>44197</v>
      </c>
      <c r="M637" s="1">
        <v>44197</v>
      </c>
      <c r="N637">
        <v>634</v>
      </c>
      <c r="O637">
        <v>4</v>
      </c>
      <c r="P637" t="s">
        <v>69</v>
      </c>
      <c r="Q637">
        <v>7.0000000000000007E-2</v>
      </c>
      <c r="R637" s="7">
        <v>113.02200000000001</v>
      </c>
      <c r="S637">
        <v>4</v>
      </c>
      <c r="T637" t="s">
        <v>119</v>
      </c>
    </row>
    <row r="638" spans="1:20">
      <c r="A638">
        <v>635</v>
      </c>
      <c r="B638" s="1">
        <v>44173</v>
      </c>
      <c r="C638">
        <v>93</v>
      </c>
      <c r="D638" t="s">
        <v>33</v>
      </c>
      <c r="E638" t="s">
        <v>28</v>
      </c>
      <c r="F638" s="8">
        <v>45</v>
      </c>
      <c r="G638" s="7">
        <v>100</v>
      </c>
      <c r="H638" s="7">
        <v>4500</v>
      </c>
      <c r="I638" s="4">
        <v>0.02</v>
      </c>
      <c r="J638" s="7">
        <v>4410</v>
      </c>
      <c r="K638" s="7">
        <f>Tabela1[[#This Row],[Valor Bruto]]-Tabela1[[#This Row],[Valor Venda]]</f>
        <v>90</v>
      </c>
      <c r="L638" s="1">
        <v>44198</v>
      </c>
      <c r="M638" s="1">
        <v>44198</v>
      </c>
      <c r="N638">
        <v>635</v>
      </c>
      <c r="O638">
        <v>6</v>
      </c>
      <c r="P638" t="s">
        <v>29</v>
      </c>
      <c r="Q638">
        <v>0.09</v>
      </c>
      <c r="R638" s="7">
        <v>396.9</v>
      </c>
      <c r="S638">
        <v>5</v>
      </c>
      <c r="T638" t="s">
        <v>119</v>
      </c>
    </row>
    <row r="639" spans="1:20">
      <c r="A639">
        <v>636</v>
      </c>
      <c r="B639" s="1">
        <v>44174</v>
      </c>
      <c r="C639">
        <v>11</v>
      </c>
      <c r="D639" t="s">
        <v>60</v>
      </c>
      <c r="E639" t="s">
        <v>59</v>
      </c>
      <c r="F639" s="8">
        <v>34</v>
      </c>
      <c r="G639" s="7">
        <v>103</v>
      </c>
      <c r="H639" s="7">
        <v>3502</v>
      </c>
      <c r="I639" s="4">
        <v>0.02</v>
      </c>
      <c r="J639" s="7">
        <v>3431.96</v>
      </c>
      <c r="K639" s="7">
        <f>Tabela1[[#This Row],[Valor Bruto]]-Tabela1[[#This Row],[Valor Venda]]</f>
        <v>70.039999999999964</v>
      </c>
      <c r="L639" s="1">
        <v>44187</v>
      </c>
      <c r="M639" s="1">
        <v>44187</v>
      </c>
      <c r="N639">
        <v>636</v>
      </c>
      <c r="O639">
        <v>7</v>
      </c>
      <c r="P639" t="s">
        <v>34</v>
      </c>
      <c r="Q639">
        <v>0.09</v>
      </c>
      <c r="R639" s="7">
        <v>308.87639999999999</v>
      </c>
      <c r="S639">
        <v>6</v>
      </c>
      <c r="T639" t="s">
        <v>119</v>
      </c>
    </row>
    <row r="640" spans="1:20">
      <c r="A640">
        <v>637</v>
      </c>
      <c r="B640" s="1">
        <v>44176</v>
      </c>
      <c r="C640">
        <v>64</v>
      </c>
      <c r="D640" t="s">
        <v>78</v>
      </c>
      <c r="E640" t="s">
        <v>24</v>
      </c>
      <c r="F640" s="8">
        <v>13</v>
      </c>
      <c r="G640" s="7">
        <v>101</v>
      </c>
      <c r="H640" s="7">
        <v>1313</v>
      </c>
      <c r="I640" s="4">
        <v>0.12</v>
      </c>
      <c r="J640" s="7">
        <v>1155.44</v>
      </c>
      <c r="K640" s="7">
        <f>Tabela1[[#This Row],[Valor Bruto]]-Tabela1[[#This Row],[Valor Venda]]</f>
        <v>157.55999999999995</v>
      </c>
      <c r="L640" s="1">
        <v>44203</v>
      </c>
      <c r="M640" s="1">
        <v>44203</v>
      </c>
      <c r="N640">
        <v>637</v>
      </c>
      <c r="O640">
        <v>7</v>
      </c>
      <c r="P640" t="s">
        <v>37</v>
      </c>
      <c r="Q640">
        <v>7.0000000000000007E-2</v>
      </c>
      <c r="R640" s="7">
        <v>80.880800000000008</v>
      </c>
      <c r="S640">
        <v>7</v>
      </c>
      <c r="T640" t="s">
        <v>119</v>
      </c>
    </row>
    <row r="641" spans="1:20">
      <c r="A641">
        <v>638</v>
      </c>
      <c r="B641" s="1">
        <v>44176</v>
      </c>
      <c r="C641">
        <v>85</v>
      </c>
      <c r="D641" t="s">
        <v>57</v>
      </c>
      <c r="E641" t="s">
        <v>21</v>
      </c>
      <c r="F641" s="8">
        <v>47</v>
      </c>
      <c r="G641" s="7">
        <v>115</v>
      </c>
      <c r="H641" s="7">
        <v>5405</v>
      </c>
      <c r="I641" s="4">
        <v>0.01</v>
      </c>
      <c r="J641" s="7">
        <v>5350.95</v>
      </c>
      <c r="K641" s="7">
        <f>Tabela1[[#This Row],[Valor Bruto]]-Tabela1[[#This Row],[Valor Venda]]</f>
        <v>54.050000000000182</v>
      </c>
      <c r="L641" s="1">
        <v>44196</v>
      </c>
      <c r="M641" s="1">
        <v>44196</v>
      </c>
      <c r="N641">
        <v>638</v>
      </c>
      <c r="O641">
        <v>6</v>
      </c>
      <c r="P641" t="s">
        <v>69</v>
      </c>
      <c r="Q641">
        <v>0.1</v>
      </c>
      <c r="R641" s="7">
        <v>535.09500000000003</v>
      </c>
      <c r="S641">
        <v>1</v>
      </c>
      <c r="T641" t="s">
        <v>119</v>
      </c>
    </row>
    <row r="642" spans="1:20">
      <c r="A642">
        <v>639</v>
      </c>
      <c r="B642" s="1">
        <v>44177</v>
      </c>
      <c r="C642">
        <v>1</v>
      </c>
      <c r="D642" t="s">
        <v>93</v>
      </c>
      <c r="E642" t="s">
        <v>54</v>
      </c>
      <c r="F642" s="8">
        <v>29</v>
      </c>
      <c r="G642" s="7">
        <v>103</v>
      </c>
      <c r="H642" s="7">
        <v>2987</v>
      </c>
      <c r="I642" s="4">
        <v>0.11</v>
      </c>
      <c r="J642" s="7">
        <v>2658.43</v>
      </c>
      <c r="K642" s="7">
        <f>Tabela1[[#This Row],[Valor Bruto]]-Tabela1[[#This Row],[Valor Venda]]</f>
        <v>328.57000000000016</v>
      </c>
      <c r="L642" s="1">
        <v>44184</v>
      </c>
      <c r="M642" s="1">
        <v>44184</v>
      </c>
      <c r="N642">
        <v>639</v>
      </c>
      <c r="O642">
        <v>5</v>
      </c>
      <c r="P642" t="s">
        <v>25</v>
      </c>
      <c r="Q642">
        <v>0.09</v>
      </c>
      <c r="R642" s="7">
        <v>239.25869999999998</v>
      </c>
      <c r="S642">
        <v>2</v>
      </c>
      <c r="T642" t="s">
        <v>119</v>
      </c>
    </row>
    <row r="643" spans="1:20">
      <c r="A643">
        <v>640</v>
      </c>
      <c r="B643" s="1">
        <v>44177</v>
      </c>
      <c r="C643">
        <v>40</v>
      </c>
      <c r="D643" t="s">
        <v>49</v>
      </c>
      <c r="E643" t="s">
        <v>50</v>
      </c>
      <c r="F643" s="8">
        <v>40</v>
      </c>
      <c r="G643" s="7">
        <v>115</v>
      </c>
      <c r="H643" s="7">
        <v>4600</v>
      </c>
      <c r="I643" s="4">
        <v>0.09</v>
      </c>
      <c r="J643" s="7">
        <v>4186</v>
      </c>
      <c r="K643" s="7">
        <f>Tabela1[[#This Row],[Valor Bruto]]-Tabela1[[#This Row],[Valor Venda]]</f>
        <v>414</v>
      </c>
      <c r="L643" s="1">
        <v>44181</v>
      </c>
      <c r="M643" s="1">
        <v>44181</v>
      </c>
      <c r="N643">
        <v>640</v>
      </c>
      <c r="O643">
        <v>3</v>
      </c>
      <c r="P643" t="s">
        <v>22</v>
      </c>
      <c r="Q643">
        <v>0.09</v>
      </c>
      <c r="R643" s="7">
        <v>376.74</v>
      </c>
      <c r="S643">
        <v>3</v>
      </c>
      <c r="T643" t="s">
        <v>119</v>
      </c>
    </row>
    <row r="644" spans="1:20">
      <c r="A644">
        <v>641</v>
      </c>
      <c r="B644" s="1">
        <v>44179</v>
      </c>
      <c r="C644">
        <v>36</v>
      </c>
      <c r="D644" t="s">
        <v>70</v>
      </c>
      <c r="E644" t="s">
        <v>31</v>
      </c>
      <c r="F644" s="8">
        <v>23</v>
      </c>
      <c r="G644" s="7">
        <v>90</v>
      </c>
      <c r="H644" s="7">
        <v>2070</v>
      </c>
      <c r="I644" s="4">
        <v>0.13</v>
      </c>
      <c r="J644" s="7">
        <v>1800.9</v>
      </c>
      <c r="K644" s="7">
        <f>Tabela1[[#This Row],[Valor Bruto]]-Tabela1[[#This Row],[Valor Venda]]</f>
        <v>269.09999999999991</v>
      </c>
      <c r="L644" s="1">
        <v>44188</v>
      </c>
      <c r="M644" s="1">
        <v>44188</v>
      </c>
      <c r="N644">
        <v>641</v>
      </c>
      <c r="O644">
        <v>5</v>
      </c>
      <c r="P644" t="s">
        <v>34</v>
      </c>
      <c r="Q644">
        <v>0.06</v>
      </c>
      <c r="R644" s="7">
        <v>108.054</v>
      </c>
      <c r="S644">
        <v>4</v>
      </c>
      <c r="T644" t="s">
        <v>119</v>
      </c>
    </row>
    <row r="645" spans="1:20">
      <c r="A645">
        <v>642</v>
      </c>
      <c r="B645" s="1">
        <v>44179</v>
      </c>
      <c r="C645">
        <v>21</v>
      </c>
      <c r="D645" t="s">
        <v>87</v>
      </c>
      <c r="E645" t="s">
        <v>31</v>
      </c>
      <c r="F645" s="8">
        <v>31</v>
      </c>
      <c r="G645" s="7">
        <v>100</v>
      </c>
      <c r="H645" s="7">
        <v>3100</v>
      </c>
      <c r="I645" s="4">
        <v>0.11</v>
      </c>
      <c r="J645" s="7">
        <v>2759</v>
      </c>
      <c r="K645" s="7">
        <f>Tabela1[[#This Row],[Valor Bruto]]-Tabela1[[#This Row],[Valor Venda]]</f>
        <v>341</v>
      </c>
      <c r="L645" s="1">
        <v>44203</v>
      </c>
      <c r="M645" s="1">
        <v>44203</v>
      </c>
      <c r="N645">
        <v>642</v>
      </c>
      <c r="O645">
        <v>1</v>
      </c>
      <c r="P645" t="s">
        <v>52</v>
      </c>
      <c r="Q645">
        <v>0.05</v>
      </c>
      <c r="R645" s="7">
        <v>137.95000000000002</v>
      </c>
      <c r="S645">
        <v>5</v>
      </c>
      <c r="T645" t="s">
        <v>119</v>
      </c>
    </row>
    <row r="646" spans="1:20">
      <c r="A646">
        <v>643</v>
      </c>
      <c r="B646" s="1">
        <v>44179</v>
      </c>
      <c r="C646">
        <v>55</v>
      </c>
      <c r="D646" t="s">
        <v>44</v>
      </c>
      <c r="E646" t="s">
        <v>28</v>
      </c>
      <c r="F646" s="8">
        <v>25</v>
      </c>
      <c r="G646" s="7">
        <v>96</v>
      </c>
      <c r="H646" s="7">
        <v>2400</v>
      </c>
      <c r="I646" s="4">
        <v>0.03</v>
      </c>
      <c r="J646" s="7">
        <v>2328</v>
      </c>
      <c r="K646" s="7">
        <f>Tabela1[[#This Row],[Valor Bruto]]-Tabela1[[#This Row],[Valor Venda]]</f>
        <v>72</v>
      </c>
      <c r="L646" s="1">
        <v>44189</v>
      </c>
      <c r="M646" s="1">
        <v>44189</v>
      </c>
      <c r="N646">
        <v>643</v>
      </c>
      <c r="O646">
        <v>5</v>
      </c>
      <c r="P646" t="s">
        <v>43</v>
      </c>
      <c r="Q646">
        <v>0.05</v>
      </c>
      <c r="R646" s="7">
        <v>116.4</v>
      </c>
      <c r="S646">
        <v>6</v>
      </c>
      <c r="T646" t="s">
        <v>119</v>
      </c>
    </row>
    <row r="647" spans="1:20">
      <c r="A647">
        <v>644</v>
      </c>
      <c r="B647" s="1">
        <v>44180</v>
      </c>
      <c r="C647">
        <v>84</v>
      </c>
      <c r="D647" t="s">
        <v>44</v>
      </c>
      <c r="E647" t="s">
        <v>28</v>
      </c>
      <c r="F647" s="8">
        <v>12</v>
      </c>
      <c r="G647" s="7">
        <v>94</v>
      </c>
      <c r="H647" s="7">
        <v>1128</v>
      </c>
      <c r="I647" s="4">
        <v>0.05</v>
      </c>
      <c r="J647" s="7">
        <v>1071.5999999999999</v>
      </c>
      <c r="K647" s="7">
        <f>Tabela1[[#This Row],[Valor Bruto]]-Tabela1[[#This Row],[Valor Venda]]</f>
        <v>56.400000000000091</v>
      </c>
      <c r="L647" s="1">
        <v>44187</v>
      </c>
      <c r="M647" s="1">
        <v>44187</v>
      </c>
      <c r="N647">
        <v>644</v>
      </c>
      <c r="O647">
        <v>2</v>
      </c>
      <c r="P647" t="s">
        <v>32</v>
      </c>
      <c r="Q647">
        <v>0.1</v>
      </c>
      <c r="R647" s="7">
        <v>107.16</v>
      </c>
      <c r="S647">
        <v>7</v>
      </c>
      <c r="T647" t="s">
        <v>119</v>
      </c>
    </row>
    <row r="648" spans="1:20">
      <c r="A648">
        <v>645</v>
      </c>
      <c r="B648" s="1">
        <v>44180</v>
      </c>
      <c r="C648">
        <v>18</v>
      </c>
      <c r="D648" t="s">
        <v>83</v>
      </c>
      <c r="E648" t="s">
        <v>21</v>
      </c>
      <c r="F648" s="8">
        <v>48</v>
      </c>
      <c r="G648" s="7">
        <v>96</v>
      </c>
      <c r="H648" s="7">
        <v>4608</v>
      </c>
      <c r="I648" s="4">
        <v>0.06</v>
      </c>
      <c r="J648" s="7">
        <v>4331.5200000000004</v>
      </c>
      <c r="K648" s="7">
        <f>Tabela1[[#This Row],[Valor Bruto]]-Tabela1[[#This Row],[Valor Venda]]</f>
        <v>276.47999999999956</v>
      </c>
      <c r="L648" s="1">
        <v>44182</v>
      </c>
      <c r="M648" s="1">
        <v>44182</v>
      </c>
      <c r="N648">
        <v>645</v>
      </c>
      <c r="O648">
        <v>1</v>
      </c>
      <c r="P648" t="s">
        <v>37</v>
      </c>
      <c r="Q648">
        <v>7.0000000000000007E-2</v>
      </c>
      <c r="R648" s="7">
        <v>303.20640000000009</v>
      </c>
      <c r="S648">
        <v>1</v>
      </c>
      <c r="T648" t="s">
        <v>119</v>
      </c>
    </row>
    <row r="649" spans="1:20">
      <c r="A649">
        <v>646</v>
      </c>
      <c r="B649" s="1">
        <v>44180</v>
      </c>
      <c r="C649">
        <v>46</v>
      </c>
      <c r="D649" t="s">
        <v>94</v>
      </c>
      <c r="E649" t="s">
        <v>28</v>
      </c>
      <c r="F649" s="8">
        <v>35</v>
      </c>
      <c r="G649" s="7">
        <v>93</v>
      </c>
      <c r="H649" s="7">
        <v>3255</v>
      </c>
      <c r="I649" s="4">
        <v>0.15</v>
      </c>
      <c r="J649" s="7">
        <v>2766.75</v>
      </c>
      <c r="K649" s="7">
        <f>Tabela1[[#This Row],[Valor Bruto]]-Tabela1[[#This Row],[Valor Venda]]</f>
        <v>488.25</v>
      </c>
      <c r="L649" s="1">
        <v>44181</v>
      </c>
      <c r="N649">
        <v>646</v>
      </c>
      <c r="O649">
        <v>4</v>
      </c>
      <c r="P649" t="s">
        <v>52</v>
      </c>
      <c r="Q649">
        <v>0.06</v>
      </c>
      <c r="R649" s="7">
        <v>166.005</v>
      </c>
      <c r="S649">
        <v>2</v>
      </c>
      <c r="T649" t="s">
        <v>119</v>
      </c>
    </row>
    <row r="650" spans="1:20">
      <c r="A650">
        <v>647</v>
      </c>
      <c r="B650" s="1">
        <v>44181</v>
      </c>
      <c r="C650">
        <v>15</v>
      </c>
      <c r="D650" t="s">
        <v>77</v>
      </c>
      <c r="E650" t="s">
        <v>28</v>
      </c>
      <c r="F650" s="8">
        <v>46</v>
      </c>
      <c r="G650" s="7">
        <v>96</v>
      </c>
      <c r="H650" s="7">
        <v>4416</v>
      </c>
      <c r="I650" s="4">
        <v>0.13</v>
      </c>
      <c r="J650" s="7">
        <v>3841.92</v>
      </c>
      <c r="K650" s="7">
        <f>Tabela1[[#This Row],[Valor Bruto]]-Tabela1[[#This Row],[Valor Venda]]</f>
        <v>574.07999999999993</v>
      </c>
      <c r="L650" s="1">
        <v>44192</v>
      </c>
      <c r="M650" s="1">
        <v>44192</v>
      </c>
      <c r="N650">
        <v>647</v>
      </c>
      <c r="O650">
        <v>5</v>
      </c>
      <c r="P650" t="s">
        <v>69</v>
      </c>
      <c r="Q650">
        <v>0.08</v>
      </c>
      <c r="R650" s="7">
        <v>307.35360000000003</v>
      </c>
      <c r="S650">
        <v>3</v>
      </c>
      <c r="T650" t="s">
        <v>119</v>
      </c>
    </row>
    <row r="651" spans="1:20">
      <c r="A651">
        <v>648</v>
      </c>
      <c r="B651" s="1">
        <v>44182</v>
      </c>
      <c r="C651">
        <v>18</v>
      </c>
      <c r="D651" t="s">
        <v>83</v>
      </c>
      <c r="E651" t="s">
        <v>28</v>
      </c>
      <c r="F651" s="8">
        <v>42</v>
      </c>
      <c r="G651" s="7">
        <v>100</v>
      </c>
      <c r="H651" s="7">
        <v>4200</v>
      </c>
      <c r="I651" s="4">
        <v>0.14000000000000001</v>
      </c>
      <c r="J651" s="7">
        <v>3612</v>
      </c>
      <c r="K651" s="7">
        <f>Tabela1[[#This Row],[Valor Bruto]]-Tabela1[[#This Row],[Valor Venda]]</f>
        <v>588</v>
      </c>
      <c r="L651" s="1">
        <v>44183</v>
      </c>
      <c r="M651" s="1">
        <v>44183</v>
      </c>
      <c r="N651">
        <v>648</v>
      </c>
      <c r="O651">
        <v>6</v>
      </c>
      <c r="P651" t="s">
        <v>47</v>
      </c>
      <c r="Q651">
        <v>0.05</v>
      </c>
      <c r="R651" s="7">
        <v>180.60000000000002</v>
      </c>
      <c r="S651">
        <v>4</v>
      </c>
      <c r="T651" t="s">
        <v>119</v>
      </c>
    </row>
    <row r="652" spans="1:20">
      <c r="A652">
        <v>649</v>
      </c>
      <c r="B652" s="1">
        <v>44182</v>
      </c>
      <c r="C652">
        <v>56</v>
      </c>
      <c r="D652" t="s">
        <v>67</v>
      </c>
      <c r="E652" t="s">
        <v>50</v>
      </c>
      <c r="F652" s="8">
        <v>22</v>
      </c>
      <c r="G652" s="7">
        <v>92</v>
      </c>
      <c r="H652" s="7">
        <v>2024</v>
      </c>
      <c r="I652" s="4">
        <v>0.02</v>
      </c>
      <c r="J652" s="7">
        <v>1983.52</v>
      </c>
      <c r="K652" s="7">
        <f>Tabela1[[#This Row],[Valor Bruto]]-Tabela1[[#This Row],[Valor Venda]]</f>
        <v>40.480000000000018</v>
      </c>
      <c r="L652" s="1">
        <v>44196</v>
      </c>
      <c r="M652" s="1">
        <v>44196</v>
      </c>
      <c r="N652">
        <v>649</v>
      </c>
      <c r="O652">
        <v>5</v>
      </c>
      <c r="P652" t="s">
        <v>43</v>
      </c>
      <c r="Q652">
        <v>0.1</v>
      </c>
      <c r="R652" s="7">
        <v>198.352</v>
      </c>
      <c r="S652">
        <v>5</v>
      </c>
      <c r="T652" t="s">
        <v>119</v>
      </c>
    </row>
    <row r="653" spans="1:20">
      <c r="A653">
        <v>650</v>
      </c>
      <c r="B653" s="1">
        <v>44182</v>
      </c>
      <c r="C653">
        <v>52</v>
      </c>
      <c r="D653" t="s">
        <v>23</v>
      </c>
      <c r="E653" t="s">
        <v>50</v>
      </c>
      <c r="F653" s="8">
        <v>21</v>
      </c>
      <c r="G653" s="7">
        <v>119</v>
      </c>
      <c r="H653" s="7">
        <v>2499</v>
      </c>
      <c r="I653" s="4">
        <v>0.13</v>
      </c>
      <c r="J653" s="7">
        <v>2174.13</v>
      </c>
      <c r="K653" s="7">
        <f>Tabela1[[#This Row],[Valor Bruto]]-Tabela1[[#This Row],[Valor Venda]]</f>
        <v>324.86999999999989</v>
      </c>
      <c r="L653" s="1">
        <v>44199</v>
      </c>
      <c r="M653" s="1">
        <v>44199</v>
      </c>
      <c r="N653">
        <v>650</v>
      </c>
      <c r="O653">
        <v>4</v>
      </c>
      <c r="P653" t="s">
        <v>34</v>
      </c>
      <c r="Q653">
        <v>0.05</v>
      </c>
      <c r="R653" s="7">
        <v>108.70650000000001</v>
      </c>
      <c r="S653">
        <v>6</v>
      </c>
      <c r="T653" t="s">
        <v>119</v>
      </c>
    </row>
    <row r="654" spans="1:20">
      <c r="A654">
        <v>651</v>
      </c>
      <c r="B654" s="1">
        <v>44182</v>
      </c>
      <c r="C654">
        <v>6</v>
      </c>
      <c r="D654" t="s">
        <v>88</v>
      </c>
      <c r="E654" t="s">
        <v>46</v>
      </c>
      <c r="F654" s="8">
        <v>29</v>
      </c>
      <c r="G654" s="7">
        <v>97</v>
      </c>
      <c r="H654" s="7">
        <v>2813</v>
      </c>
      <c r="I654" s="4">
        <v>0.09</v>
      </c>
      <c r="J654" s="7">
        <v>2559.83</v>
      </c>
      <c r="K654" s="7">
        <f>Tabela1[[#This Row],[Valor Bruto]]-Tabela1[[#This Row],[Valor Venda]]</f>
        <v>253.17000000000007</v>
      </c>
      <c r="L654" s="1">
        <v>44206</v>
      </c>
      <c r="M654" s="1">
        <v>44206</v>
      </c>
      <c r="N654">
        <v>651</v>
      </c>
      <c r="O654">
        <v>7</v>
      </c>
      <c r="P654" t="s">
        <v>52</v>
      </c>
      <c r="Q654">
        <v>7.0000000000000007E-2</v>
      </c>
      <c r="R654" s="7">
        <v>179.18810000000002</v>
      </c>
      <c r="S654">
        <v>7</v>
      </c>
      <c r="T654" t="s">
        <v>119</v>
      </c>
    </row>
    <row r="655" spans="1:20">
      <c r="A655">
        <v>652</v>
      </c>
      <c r="B655" s="1">
        <v>44184</v>
      </c>
      <c r="C655">
        <v>49</v>
      </c>
      <c r="D655" t="s">
        <v>38</v>
      </c>
      <c r="E655" t="s">
        <v>50</v>
      </c>
      <c r="F655" s="8">
        <v>45</v>
      </c>
      <c r="G655" s="7">
        <v>103</v>
      </c>
      <c r="H655" s="7">
        <v>4635</v>
      </c>
      <c r="I655" s="4">
        <v>0.02</v>
      </c>
      <c r="J655" s="7">
        <v>4542.3</v>
      </c>
      <c r="K655" s="7">
        <f>Tabela1[[#This Row],[Valor Bruto]]-Tabela1[[#This Row],[Valor Venda]]</f>
        <v>92.699999999999818</v>
      </c>
      <c r="L655" s="1">
        <v>44207</v>
      </c>
      <c r="M655" s="1">
        <v>44207</v>
      </c>
      <c r="N655">
        <v>652</v>
      </c>
      <c r="O655">
        <v>7</v>
      </c>
      <c r="P655" t="s">
        <v>22</v>
      </c>
      <c r="Q655">
        <v>0.09</v>
      </c>
      <c r="R655" s="7">
        <v>408.80700000000002</v>
      </c>
      <c r="S655">
        <v>1</v>
      </c>
      <c r="T655" t="s">
        <v>119</v>
      </c>
    </row>
    <row r="656" spans="1:20">
      <c r="A656">
        <v>653</v>
      </c>
      <c r="B656" s="1">
        <v>44185</v>
      </c>
      <c r="C656">
        <v>99</v>
      </c>
      <c r="D656" t="s">
        <v>84</v>
      </c>
      <c r="E656" t="s">
        <v>41</v>
      </c>
      <c r="F656" s="8">
        <v>27</v>
      </c>
      <c r="G656" s="7">
        <v>91</v>
      </c>
      <c r="H656" s="7">
        <v>2457</v>
      </c>
      <c r="I656" s="4">
        <v>0.08</v>
      </c>
      <c r="J656" s="7">
        <v>2260.44</v>
      </c>
      <c r="K656" s="7">
        <f>Tabela1[[#This Row],[Valor Bruto]]-Tabela1[[#This Row],[Valor Venda]]</f>
        <v>196.55999999999995</v>
      </c>
      <c r="L656" s="1">
        <v>44193</v>
      </c>
      <c r="M656" s="1">
        <v>44193</v>
      </c>
      <c r="N656">
        <v>653</v>
      </c>
      <c r="O656">
        <v>7</v>
      </c>
      <c r="P656" t="s">
        <v>22</v>
      </c>
      <c r="Q656">
        <v>0.05</v>
      </c>
      <c r="R656" s="7">
        <v>113.02200000000001</v>
      </c>
      <c r="S656">
        <v>2</v>
      </c>
      <c r="T656" t="s">
        <v>119</v>
      </c>
    </row>
    <row r="657" spans="1:20">
      <c r="A657">
        <v>654</v>
      </c>
      <c r="B657" s="1">
        <v>44186</v>
      </c>
      <c r="C657">
        <v>71</v>
      </c>
      <c r="D657" t="s">
        <v>20</v>
      </c>
      <c r="E657" t="s">
        <v>59</v>
      </c>
      <c r="F657" s="8">
        <v>30</v>
      </c>
      <c r="G657" s="7">
        <v>108</v>
      </c>
      <c r="H657" s="7">
        <v>3240</v>
      </c>
      <c r="I657" s="4">
        <v>0.13</v>
      </c>
      <c r="J657" s="7">
        <v>2818.8</v>
      </c>
      <c r="K657" s="7">
        <f>Tabela1[[#This Row],[Valor Bruto]]-Tabela1[[#This Row],[Valor Venda]]</f>
        <v>421.19999999999982</v>
      </c>
      <c r="L657" s="1">
        <v>44197</v>
      </c>
      <c r="M657" s="1">
        <v>44197</v>
      </c>
      <c r="N657">
        <v>654</v>
      </c>
      <c r="O657">
        <v>2</v>
      </c>
      <c r="P657" t="s">
        <v>29</v>
      </c>
      <c r="Q657">
        <v>7.0000000000000007E-2</v>
      </c>
      <c r="R657" s="7">
        <v>197.31600000000003</v>
      </c>
      <c r="S657">
        <v>3</v>
      </c>
      <c r="T657" t="s">
        <v>119</v>
      </c>
    </row>
    <row r="658" spans="1:20">
      <c r="A658">
        <v>655</v>
      </c>
      <c r="B658" s="1">
        <v>44186</v>
      </c>
      <c r="C658">
        <v>73</v>
      </c>
      <c r="D658" t="s">
        <v>38</v>
      </c>
      <c r="E658" t="s">
        <v>59</v>
      </c>
      <c r="F658" s="8">
        <v>40</v>
      </c>
      <c r="G658" s="7">
        <v>92</v>
      </c>
      <c r="H658" s="7">
        <v>3680</v>
      </c>
      <c r="I658" s="4">
        <v>0.02</v>
      </c>
      <c r="J658" s="7">
        <v>3606.4</v>
      </c>
      <c r="K658" s="7">
        <f>Tabela1[[#This Row],[Valor Bruto]]-Tabela1[[#This Row],[Valor Venda]]</f>
        <v>73.599999999999909</v>
      </c>
      <c r="L658" s="1">
        <v>44196</v>
      </c>
      <c r="M658" s="1">
        <v>44196</v>
      </c>
      <c r="N658">
        <v>655</v>
      </c>
      <c r="O658">
        <v>7</v>
      </c>
      <c r="P658" t="s">
        <v>37</v>
      </c>
      <c r="Q658">
        <v>0.05</v>
      </c>
      <c r="R658" s="7">
        <v>180.32000000000002</v>
      </c>
      <c r="S658">
        <v>4</v>
      </c>
      <c r="T658" t="s">
        <v>119</v>
      </c>
    </row>
    <row r="659" spans="1:20">
      <c r="A659">
        <v>656</v>
      </c>
      <c r="B659" s="1">
        <v>44186</v>
      </c>
      <c r="C659">
        <v>6</v>
      </c>
      <c r="D659" t="s">
        <v>88</v>
      </c>
      <c r="E659" t="s">
        <v>24</v>
      </c>
      <c r="F659" s="8">
        <v>37</v>
      </c>
      <c r="G659" s="7">
        <v>92</v>
      </c>
      <c r="H659" s="7">
        <v>3404</v>
      </c>
      <c r="I659" s="4">
        <v>0.04</v>
      </c>
      <c r="J659" s="7">
        <v>3267.84</v>
      </c>
      <c r="K659" s="7">
        <f>Tabela1[[#This Row],[Valor Bruto]]-Tabela1[[#This Row],[Valor Venda]]</f>
        <v>136.15999999999985</v>
      </c>
      <c r="L659" s="1">
        <v>44205</v>
      </c>
      <c r="M659" s="1">
        <v>44205</v>
      </c>
      <c r="N659">
        <v>656</v>
      </c>
      <c r="O659">
        <v>6</v>
      </c>
      <c r="P659" t="s">
        <v>52</v>
      </c>
      <c r="Q659">
        <v>0.08</v>
      </c>
      <c r="R659" s="7">
        <v>261.42720000000003</v>
      </c>
      <c r="S659">
        <v>5</v>
      </c>
      <c r="T659" t="s">
        <v>119</v>
      </c>
    </row>
    <row r="660" spans="1:20">
      <c r="A660">
        <v>657</v>
      </c>
      <c r="B660" s="1">
        <v>44186</v>
      </c>
      <c r="C660">
        <v>13</v>
      </c>
      <c r="D660" t="s">
        <v>75</v>
      </c>
      <c r="E660" t="s">
        <v>55</v>
      </c>
      <c r="F660" s="8">
        <v>40</v>
      </c>
      <c r="G660" s="7">
        <v>111</v>
      </c>
      <c r="H660" s="7">
        <v>4440</v>
      </c>
      <c r="I660" s="4">
        <v>0.02</v>
      </c>
      <c r="J660" s="7">
        <v>4351.2</v>
      </c>
      <c r="K660" s="7">
        <f>Tabela1[[#This Row],[Valor Bruto]]-Tabela1[[#This Row],[Valor Venda]]</f>
        <v>88.800000000000182</v>
      </c>
      <c r="L660" s="1">
        <v>44189</v>
      </c>
      <c r="M660" s="1">
        <v>44189</v>
      </c>
      <c r="N660">
        <v>657</v>
      </c>
      <c r="O660">
        <v>7</v>
      </c>
      <c r="P660" t="s">
        <v>25</v>
      </c>
      <c r="Q660">
        <v>0.08</v>
      </c>
      <c r="R660" s="7">
        <v>348.096</v>
      </c>
      <c r="S660">
        <v>6</v>
      </c>
      <c r="T660" t="s">
        <v>119</v>
      </c>
    </row>
    <row r="661" spans="1:20">
      <c r="A661">
        <v>658</v>
      </c>
      <c r="B661" s="1">
        <v>44187</v>
      </c>
      <c r="C661">
        <v>72</v>
      </c>
      <c r="D661" t="s">
        <v>38</v>
      </c>
      <c r="E661" t="s">
        <v>21</v>
      </c>
      <c r="F661" s="8">
        <v>31</v>
      </c>
      <c r="G661" s="7">
        <v>104</v>
      </c>
      <c r="H661" s="7">
        <v>3224</v>
      </c>
      <c r="I661" s="4">
        <v>0.11</v>
      </c>
      <c r="J661" s="7">
        <v>2869.36</v>
      </c>
      <c r="K661" s="7">
        <f>Tabela1[[#This Row],[Valor Bruto]]-Tabela1[[#This Row],[Valor Venda]]</f>
        <v>354.63999999999987</v>
      </c>
      <c r="L661" s="1">
        <v>44196</v>
      </c>
      <c r="M661" s="1">
        <v>44196</v>
      </c>
      <c r="N661">
        <v>658</v>
      </c>
      <c r="O661">
        <v>5</v>
      </c>
      <c r="P661" t="s">
        <v>22</v>
      </c>
      <c r="Q661">
        <v>0.06</v>
      </c>
      <c r="R661" s="7">
        <v>172.16159999999999</v>
      </c>
      <c r="S661">
        <v>7</v>
      </c>
      <c r="T661" t="s">
        <v>119</v>
      </c>
    </row>
    <row r="662" spans="1:20">
      <c r="A662">
        <v>659</v>
      </c>
      <c r="B662" s="1">
        <v>44187</v>
      </c>
      <c r="C662">
        <v>9</v>
      </c>
      <c r="D662" t="s">
        <v>36</v>
      </c>
      <c r="E662" t="s">
        <v>24</v>
      </c>
      <c r="F662" s="8">
        <v>36</v>
      </c>
      <c r="G662" s="7">
        <v>98</v>
      </c>
      <c r="H662" s="7">
        <v>3528</v>
      </c>
      <c r="I662" s="4">
        <v>0.14000000000000001</v>
      </c>
      <c r="J662" s="7">
        <v>3034.08</v>
      </c>
      <c r="K662" s="7">
        <f>Tabela1[[#This Row],[Valor Bruto]]-Tabela1[[#This Row],[Valor Venda]]</f>
        <v>493.92000000000007</v>
      </c>
      <c r="L662" s="1">
        <v>44209</v>
      </c>
      <c r="M662" s="1">
        <v>44209</v>
      </c>
      <c r="N662">
        <v>659</v>
      </c>
      <c r="O662">
        <v>4</v>
      </c>
      <c r="P662" t="s">
        <v>52</v>
      </c>
      <c r="Q662">
        <v>0.1</v>
      </c>
      <c r="R662" s="7">
        <v>303.40800000000002</v>
      </c>
      <c r="S662">
        <v>1</v>
      </c>
      <c r="T662" t="s">
        <v>119</v>
      </c>
    </row>
    <row r="663" spans="1:20">
      <c r="A663">
        <v>660</v>
      </c>
      <c r="B663" s="1">
        <v>44190</v>
      </c>
      <c r="C663">
        <v>57</v>
      </c>
      <c r="D663" t="s">
        <v>89</v>
      </c>
      <c r="E663" t="s">
        <v>28</v>
      </c>
      <c r="F663" s="8">
        <v>25</v>
      </c>
      <c r="G663" s="7">
        <v>106</v>
      </c>
      <c r="H663" s="7">
        <v>2650</v>
      </c>
      <c r="I663" s="4">
        <v>0.06</v>
      </c>
      <c r="J663" s="7">
        <v>2491</v>
      </c>
      <c r="K663" s="7">
        <f>Tabela1[[#This Row],[Valor Bruto]]-Tabela1[[#This Row],[Valor Venda]]</f>
        <v>159</v>
      </c>
      <c r="L663" s="1">
        <v>44192</v>
      </c>
      <c r="M663" s="1">
        <v>44192</v>
      </c>
      <c r="N663">
        <v>660</v>
      </c>
      <c r="O663">
        <v>7</v>
      </c>
      <c r="P663" t="s">
        <v>34</v>
      </c>
      <c r="Q663">
        <v>0.09</v>
      </c>
      <c r="R663" s="7">
        <v>224.19</v>
      </c>
      <c r="S663">
        <v>2</v>
      </c>
      <c r="T663" t="s">
        <v>119</v>
      </c>
    </row>
    <row r="664" spans="1:20">
      <c r="A664">
        <v>661</v>
      </c>
      <c r="B664" s="1">
        <v>44190</v>
      </c>
      <c r="C664">
        <v>6</v>
      </c>
      <c r="D664" t="s">
        <v>88</v>
      </c>
      <c r="E664" t="s">
        <v>46</v>
      </c>
      <c r="F664" s="8">
        <v>15</v>
      </c>
      <c r="G664" s="7">
        <v>118</v>
      </c>
      <c r="H664" s="7">
        <v>1770</v>
      </c>
      <c r="I664" s="4">
        <v>0.15</v>
      </c>
      <c r="J664" s="7">
        <v>1504.5</v>
      </c>
      <c r="K664" s="7">
        <f>Tabela1[[#This Row],[Valor Bruto]]-Tabela1[[#This Row],[Valor Venda]]</f>
        <v>265.5</v>
      </c>
      <c r="L664" s="1">
        <v>44214</v>
      </c>
      <c r="M664" s="1">
        <v>44214</v>
      </c>
      <c r="N664">
        <v>661</v>
      </c>
      <c r="O664">
        <v>5</v>
      </c>
      <c r="P664" t="s">
        <v>69</v>
      </c>
      <c r="Q664">
        <v>0.05</v>
      </c>
      <c r="R664" s="7">
        <v>75.225000000000009</v>
      </c>
      <c r="S664">
        <v>3</v>
      </c>
      <c r="T664" t="s">
        <v>119</v>
      </c>
    </row>
    <row r="665" spans="1:20">
      <c r="A665">
        <v>662</v>
      </c>
      <c r="B665" s="1">
        <v>44191</v>
      </c>
      <c r="C665">
        <v>48</v>
      </c>
      <c r="D665" t="s">
        <v>61</v>
      </c>
      <c r="E665" t="s">
        <v>24</v>
      </c>
      <c r="F665" s="8">
        <v>32</v>
      </c>
      <c r="G665" s="7">
        <v>93</v>
      </c>
      <c r="H665" s="7">
        <v>2976</v>
      </c>
      <c r="I665" s="4">
        <v>0.11</v>
      </c>
      <c r="J665" s="7">
        <v>2648.64</v>
      </c>
      <c r="K665" s="7">
        <f>Tabela1[[#This Row],[Valor Bruto]]-Tabela1[[#This Row],[Valor Venda]]</f>
        <v>327.36000000000013</v>
      </c>
      <c r="L665" s="1">
        <v>44208</v>
      </c>
      <c r="M665" s="1">
        <v>44208</v>
      </c>
      <c r="N665">
        <v>662</v>
      </c>
      <c r="O665">
        <v>4</v>
      </c>
      <c r="P665" t="s">
        <v>22</v>
      </c>
      <c r="Q665">
        <v>0.1</v>
      </c>
      <c r="R665" s="7">
        <v>264.86399999999998</v>
      </c>
      <c r="S665">
        <v>4</v>
      </c>
      <c r="T665" t="s">
        <v>119</v>
      </c>
    </row>
    <row r="666" spans="1:20">
      <c r="A666">
        <v>663</v>
      </c>
      <c r="B666" s="1">
        <v>44191</v>
      </c>
      <c r="C666">
        <v>38</v>
      </c>
      <c r="D666" t="s">
        <v>73</v>
      </c>
      <c r="E666" t="s">
        <v>54</v>
      </c>
      <c r="F666" s="8">
        <v>28</v>
      </c>
      <c r="G666" s="7">
        <v>90</v>
      </c>
      <c r="H666" s="7">
        <v>2520</v>
      </c>
      <c r="I666" s="4">
        <v>0.06</v>
      </c>
      <c r="J666" s="7">
        <v>2368.8000000000002</v>
      </c>
      <c r="K666" s="7">
        <f>Tabela1[[#This Row],[Valor Bruto]]-Tabela1[[#This Row],[Valor Venda]]</f>
        <v>151.19999999999982</v>
      </c>
      <c r="L666" s="1">
        <v>44195</v>
      </c>
      <c r="M666" s="1">
        <v>44195</v>
      </c>
      <c r="N666">
        <v>663</v>
      </c>
      <c r="O666">
        <v>7</v>
      </c>
      <c r="P666" t="s">
        <v>47</v>
      </c>
      <c r="Q666">
        <v>0.06</v>
      </c>
      <c r="R666" s="7">
        <v>142.12800000000001</v>
      </c>
      <c r="S666">
        <v>5</v>
      </c>
      <c r="T666" t="s">
        <v>119</v>
      </c>
    </row>
    <row r="667" spans="1:20">
      <c r="A667">
        <v>664</v>
      </c>
      <c r="B667" s="1">
        <v>44191</v>
      </c>
      <c r="C667">
        <v>93</v>
      </c>
      <c r="D667" t="s">
        <v>33</v>
      </c>
      <c r="E667" t="s">
        <v>21</v>
      </c>
      <c r="F667" s="8">
        <v>29</v>
      </c>
      <c r="G667" s="7">
        <v>92</v>
      </c>
      <c r="H667" s="7">
        <v>2668</v>
      </c>
      <c r="I667" s="4">
        <v>0.13</v>
      </c>
      <c r="J667" s="7">
        <v>2321.16</v>
      </c>
      <c r="K667" s="7">
        <f>Tabela1[[#This Row],[Valor Bruto]]-Tabela1[[#This Row],[Valor Venda]]</f>
        <v>346.84000000000015</v>
      </c>
      <c r="L667" s="1">
        <v>44218</v>
      </c>
      <c r="N667">
        <v>664</v>
      </c>
      <c r="O667">
        <v>3</v>
      </c>
      <c r="P667" t="s">
        <v>69</v>
      </c>
      <c r="Q667">
        <v>0.08</v>
      </c>
      <c r="R667" s="7">
        <v>185.69280000000001</v>
      </c>
      <c r="S667">
        <v>6</v>
      </c>
      <c r="T667" t="s">
        <v>119</v>
      </c>
    </row>
    <row r="668" spans="1:20">
      <c r="A668">
        <v>665</v>
      </c>
      <c r="B668" s="1">
        <v>44192</v>
      </c>
      <c r="C668">
        <v>58</v>
      </c>
      <c r="D668" t="s">
        <v>72</v>
      </c>
      <c r="E668" t="s">
        <v>46</v>
      </c>
      <c r="F668" s="8">
        <v>11</v>
      </c>
      <c r="G668" s="7">
        <v>117</v>
      </c>
      <c r="H668" s="7">
        <v>1287</v>
      </c>
      <c r="I668" s="4">
        <v>0.14000000000000001</v>
      </c>
      <c r="J668" s="7">
        <v>1106.82</v>
      </c>
      <c r="K668" s="7">
        <f>Tabela1[[#This Row],[Valor Bruto]]-Tabela1[[#This Row],[Valor Venda]]</f>
        <v>180.18000000000006</v>
      </c>
      <c r="L668" s="1">
        <v>44192</v>
      </c>
      <c r="M668" s="1">
        <v>44192</v>
      </c>
      <c r="N668">
        <v>665</v>
      </c>
      <c r="O668">
        <v>1</v>
      </c>
      <c r="P668" t="s">
        <v>25</v>
      </c>
      <c r="Q668">
        <v>0.09</v>
      </c>
      <c r="R668" s="7">
        <v>99.613799999999998</v>
      </c>
      <c r="S668">
        <v>7</v>
      </c>
      <c r="T668" t="s">
        <v>119</v>
      </c>
    </row>
    <row r="669" spans="1:20">
      <c r="A669">
        <v>666</v>
      </c>
      <c r="B669" s="1">
        <v>44193</v>
      </c>
      <c r="C669">
        <v>76</v>
      </c>
      <c r="D669" t="s">
        <v>104</v>
      </c>
      <c r="E669" t="s">
        <v>54</v>
      </c>
      <c r="F669" s="8">
        <v>13</v>
      </c>
      <c r="G669" s="7">
        <v>93</v>
      </c>
      <c r="H669" s="7">
        <v>1209</v>
      </c>
      <c r="I669" s="4">
        <v>0</v>
      </c>
      <c r="J669" s="7">
        <v>1209</v>
      </c>
      <c r="K669" s="7">
        <f>Tabela1[[#This Row],[Valor Bruto]]-Tabela1[[#This Row],[Valor Venda]]</f>
        <v>0</v>
      </c>
      <c r="L669" s="1">
        <v>44210</v>
      </c>
      <c r="M669" s="1">
        <v>44210</v>
      </c>
      <c r="N669">
        <v>666</v>
      </c>
      <c r="O669">
        <v>7</v>
      </c>
      <c r="P669" t="s">
        <v>47</v>
      </c>
      <c r="Q669">
        <v>0.1</v>
      </c>
      <c r="R669" s="7">
        <v>120.9</v>
      </c>
      <c r="S669">
        <v>1</v>
      </c>
      <c r="T669" t="s">
        <v>119</v>
      </c>
    </row>
    <row r="670" spans="1:20">
      <c r="A670">
        <v>667</v>
      </c>
      <c r="B670" s="1">
        <v>44193</v>
      </c>
      <c r="C670">
        <v>66</v>
      </c>
      <c r="D670" t="s">
        <v>30</v>
      </c>
      <c r="E670" t="s">
        <v>41</v>
      </c>
      <c r="F670" s="8">
        <v>17</v>
      </c>
      <c r="G670" s="7">
        <v>118</v>
      </c>
      <c r="H670" s="7">
        <v>2006</v>
      </c>
      <c r="I670" s="4">
        <v>0.06</v>
      </c>
      <c r="J670" s="7">
        <v>1885.64</v>
      </c>
      <c r="K670" s="7">
        <f>Tabela1[[#This Row],[Valor Bruto]]-Tabela1[[#This Row],[Valor Venda]]</f>
        <v>120.3599999999999</v>
      </c>
      <c r="L670" s="1">
        <v>44198</v>
      </c>
      <c r="M670" s="1">
        <v>44198</v>
      </c>
      <c r="N670">
        <v>667</v>
      </c>
      <c r="O670">
        <v>7</v>
      </c>
      <c r="P670" t="s">
        <v>25</v>
      </c>
      <c r="Q670">
        <v>0.06</v>
      </c>
      <c r="R670" s="7">
        <v>113.1384</v>
      </c>
      <c r="S670">
        <v>2</v>
      </c>
      <c r="T670" t="s">
        <v>119</v>
      </c>
    </row>
    <row r="671" spans="1:20">
      <c r="A671">
        <v>668</v>
      </c>
      <c r="B671" s="1">
        <v>44194</v>
      </c>
      <c r="C671">
        <v>18</v>
      </c>
      <c r="D671" t="s">
        <v>83</v>
      </c>
      <c r="E671" t="s">
        <v>28</v>
      </c>
      <c r="F671" s="8">
        <v>10</v>
      </c>
      <c r="G671" s="7">
        <v>112</v>
      </c>
      <c r="H671" s="7">
        <v>1120</v>
      </c>
      <c r="I671" s="4">
        <v>0.06</v>
      </c>
      <c r="J671" s="7">
        <v>1052.8</v>
      </c>
      <c r="K671" s="7">
        <f>Tabela1[[#This Row],[Valor Bruto]]-Tabela1[[#This Row],[Valor Venda]]</f>
        <v>67.200000000000045</v>
      </c>
      <c r="L671" s="1">
        <v>44194</v>
      </c>
      <c r="M671" s="1">
        <v>44194</v>
      </c>
      <c r="N671">
        <v>668</v>
      </c>
      <c r="O671">
        <v>7</v>
      </c>
      <c r="P671" t="s">
        <v>22</v>
      </c>
      <c r="Q671">
        <v>0.08</v>
      </c>
      <c r="R671" s="7">
        <v>84.224000000000004</v>
      </c>
      <c r="S671">
        <v>3</v>
      </c>
      <c r="T671" t="s">
        <v>119</v>
      </c>
    </row>
    <row r="672" spans="1:20">
      <c r="A672">
        <v>669</v>
      </c>
      <c r="B672" s="1">
        <v>44195</v>
      </c>
      <c r="C672">
        <v>11</v>
      </c>
      <c r="D672" t="s">
        <v>60</v>
      </c>
      <c r="E672" t="s">
        <v>59</v>
      </c>
      <c r="F672" s="8">
        <v>31</v>
      </c>
      <c r="G672" s="7">
        <v>115</v>
      </c>
      <c r="H672" s="7">
        <v>3565</v>
      </c>
      <c r="I672" s="4">
        <v>0.04</v>
      </c>
      <c r="J672" s="7">
        <v>3422.4</v>
      </c>
      <c r="K672" s="7">
        <f>Tabela1[[#This Row],[Valor Bruto]]-Tabela1[[#This Row],[Valor Venda]]</f>
        <v>142.59999999999991</v>
      </c>
      <c r="L672" s="1">
        <v>44200</v>
      </c>
      <c r="M672" s="1">
        <v>44200</v>
      </c>
      <c r="N672">
        <v>669</v>
      </c>
      <c r="O672">
        <v>3</v>
      </c>
      <c r="P672" t="s">
        <v>34</v>
      </c>
      <c r="Q672">
        <v>0.09</v>
      </c>
      <c r="R672" s="7">
        <v>308.01600000000002</v>
      </c>
      <c r="S672">
        <v>4</v>
      </c>
      <c r="T672" t="s">
        <v>119</v>
      </c>
    </row>
    <row r="673" spans="1:20">
      <c r="A673">
        <v>670</v>
      </c>
      <c r="B673" s="1">
        <v>44195</v>
      </c>
      <c r="C673">
        <v>22</v>
      </c>
      <c r="D673" t="s">
        <v>51</v>
      </c>
      <c r="E673" t="s">
        <v>31</v>
      </c>
      <c r="F673" s="8">
        <v>37</v>
      </c>
      <c r="G673" s="7">
        <v>110</v>
      </c>
      <c r="H673" s="7">
        <v>4070</v>
      </c>
      <c r="I673" s="4">
        <v>0.05</v>
      </c>
      <c r="J673" s="7">
        <v>3866.5</v>
      </c>
      <c r="K673" s="7">
        <f>Tabela1[[#This Row],[Valor Bruto]]-Tabela1[[#This Row],[Valor Venda]]</f>
        <v>203.5</v>
      </c>
      <c r="L673" s="1">
        <v>44210</v>
      </c>
      <c r="N673">
        <v>670</v>
      </c>
      <c r="O673">
        <v>6</v>
      </c>
      <c r="P673" t="s">
        <v>37</v>
      </c>
      <c r="Q673">
        <v>0.06</v>
      </c>
      <c r="R673" s="7">
        <v>231.98999999999998</v>
      </c>
      <c r="S673">
        <v>5</v>
      </c>
      <c r="T673" t="s">
        <v>119</v>
      </c>
    </row>
    <row r="674" spans="1:20">
      <c r="A674">
        <v>671</v>
      </c>
      <c r="B674" s="1">
        <v>44195</v>
      </c>
      <c r="C674">
        <v>79</v>
      </c>
      <c r="D674" t="s">
        <v>33</v>
      </c>
      <c r="E674" t="s">
        <v>55</v>
      </c>
      <c r="F674" s="8">
        <v>21</v>
      </c>
      <c r="G674" s="7">
        <v>103</v>
      </c>
      <c r="H674" s="7">
        <v>2163</v>
      </c>
      <c r="I674" s="4">
        <v>0.09</v>
      </c>
      <c r="J674" s="7">
        <v>1968.33</v>
      </c>
      <c r="K674" s="7">
        <f>Tabela1[[#This Row],[Valor Bruto]]-Tabela1[[#This Row],[Valor Venda]]</f>
        <v>194.67000000000007</v>
      </c>
      <c r="L674" s="1">
        <v>44221</v>
      </c>
      <c r="M674" s="1">
        <v>44221</v>
      </c>
      <c r="N674">
        <v>671</v>
      </c>
      <c r="O674">
        <v>5</v>
      </c>
      <c r="P674" t="s">
        <v>52</v>
      </c>
      <c r="Q674">
        <v>7.0000000000000007E-2</v>
      </c>
      <c r="R674" s="7">
        <v>137.78310000000002</v>
      </c>
      <c r="S674">
        <v>6</v>
      </c>
      <c r="T674" t="s">
        <v>119</v>
      </c>
    </row>
    <row r="675" spans="1:20">
      <c r="A675">
        <v>672</v>
      </c>
      <c r="B675" s="1">
        <v>44196</v>
      </c>
      <c r="C675">
        <v>72</v>
      </c>
      <c r="D675" t="s">
        <v>38</v>
      </c>
      <c r="E675" t="s">
        <v>59</v>
      </c>
      <c r="F675" s="8">
        <v>44</v>
      </c>
      <c r="G675" s="7">
        <v>116</v>
      </c>
      <c r="H675" s="7">
        <v>5104</v>
      </c>
      <c r="I675" s="4">
        <v>0.11</v>
      </c>
      <c r="J675" s="7">
        <v>4542.5599999999995</v>
      </c>
      <c r="K675" s="7">
        <f>Tabela1[[#This Row],[Valor Bruto]]-Tabela1[[#This Row],[Valor Venda]]</f>
        <v>561.44000000000051</v>
      </c>
      <c r="L675" s="1">
        <v>44211</v>
      </c>
      <c r="M675" s="1">
        <v>44211</v>
      </c>
      <c r="N675">
        <v>672</v>
      </c>
      <c r="O675">
        <v>6</v>
      </c>
      <c r="P675" t="s">
        <v>43</v>
      </c>
      <c r="Q675">
        <v>0.05</v>
      </c>
      <c r="R675" s="7">
        <v>227.12799999999999</v>
      </c>
      <c r="S675">
        <v>7</v>
      </c>
      <c r="T675" t="s">
        <v>119</v>
      </c>
    </row>
    <row r="676" spans="1:20">
      <c r="A676">
        <v>673</v>
      </c>
      <c r="B676" s="1">
        <v>44196</v>
      </c>
      <c r="C676">
        <v>86</v>
      </c>
      <c r="D676" t="s">
        <v>90</v>
      </c>
      <c r="E676" t="s">
        <v>50</v>
      </c>
      <c r="F676" s="8">
        <v>28</v>
      </c>
      <c r="G676" s="7">
        <v>110</v>
      </c>
      <c r="H676" s="7">
        <v>3080</v>
      </c>
      <c r="I676" s="4">
        <v>0.12</v>
      </c>
      <c r="J676" s="7">
        <v>2710.4</v>
      </c>
      <c r="K676" s="7">
        <f>Tabela1[[#This Row],[Valor Bruto]]-Tabela1[[#This Row],[Valor Venda]]</f>
        <v>369.59999999999991</v>
      </c>
      <c r="L676" s="1">
        <v>44199</v>
      </c>
      <c r="M676" s="1">
        <v>44199</v>
      </c>
      <c r="N676">
        <v>673</v>
      </c>
      <c r="O676">
        <v>4</v>
      </c>
      <c r="P676" t="s">
        <v>22</v>
      </c>
      <c r="Q676">
        <v>0.05</v>
      </c>
      <c r="R676" s="7">
        <v>135.52000000000001</v>
      </c>
      <c r="S676">
        <v>1</v>
      </c>
      <c r="T676" t="s">
        <v>119</v>
      </c>
    </row>
    <row r="677" spans="1:20">
      <c r="A677">
        <v>674</v>
      </c>
      <c r="B677" s="1">
        <v>44199</v>
      </c>
      <c r="C677">
        <v>13</v>
      </c>
      <c r="D677" t="s">
        <v>75</v>
      </c>
      <c r="E677" t="s">
        <v>24</v>
      </c>
      <c r="F677" s="8">
        <v>19</v>
      </c>
      <c r="G677" s="7">
        <v>115</v>
      </c>
      <c r="H677" s="7">
        <v>2185</v>
      </c>
      <c r="I677" s="4">
        <v>0.06</v>
      </c>
      <c r="J677" s="7">
        <v>2053.9</v>
      </c>
      <c r="K677" s="7">
        <f>Tabela1[[#This Row],[Valor Bruto]]-Tabela1[[#This Row],[Valor Venda]]</f>
        <v>131.09999999999991</v>
      </c>
      <c r="L677" s="1">
        <v>44210</v>
      </c>
      <c r="M677" s="1">
        <v>44210</v>
      </c>
      <c r="N677">
        <v>674</v>
      </c>
      <c r="O677">
        <v>3</v>
      </c>
      <c r="P677" t="s">
        <v>52</v>
      </c>
      <c r="Q677">
        <v>0.05</v>
      </c>
      <c r="R677" s="7">
        <v>102.69500000000001</v>
      </c>
      <c r="S677">
        <v>2</v>
      </c>
      <c r="T677" t="s">
        <v>108</v>
      </c>
    </row>
    <row r="678" spans="1:20">
      <c r="A678">
        <v>675</v>
      </c>
      <c r="B678" s="1">
        <v>44199</v>
      </c>
      <c r="C678">
        <v>64</v>
      </c>
      <c r="D678" t="s">
        <v>78</v>
      </c>
      <c r="E678" t="s">
        <v>24</v>
      </c>
      <c r="F678" s="8">
        <v>27</v>
      </c>
      <c r="G678" s="7">
        <v>99</v>
      </c>
      <c r="H678" s="7">
        <v>2673</v>
      </c>
      <c r="I678" s="4">
        <v>0.08</v>
      </c>
      <c r="J678" s="7">
        <v>2459.16</v>
      </c>
      <c r="K678" s="7">
        <f>Tabela1[[#This Row],[Valor Bruto]]-Tabela1[[#This Row],[Valor Venda]]</f>
        <v>213.84000000000015</v>
      </c>
      <c r="L678" s="1">
        <v>44208</v>
      </c>
      <c r="M678" s="1">
        <v>44208</v>
      </c>
      <c r="N678">
        <v>675</v>
      </c>
      <c r="O678">
        <v>6</v>
      </c>
      <c r="P678" t="s">
        <v>69</v>
      </c>
      <c r="Q678">
        <v>0.09</v>
      </c>
      <c r="R678" s="7">
        <v>221.32439999999997</v>
      </c>
      <c r="S678">
        <v>3</v>
      </c>
      <c r="T678" t="s">
        <v>108</v>
      </c>
    </row>
    <row r="679" spans="1:20">
      <c r="A679">
        <v>676</v>
      </c>
      <c r="B679" s="1">
        <v>44199</v>
      </c>
      <c r="C679">
        <v>20</v>
      </c>
      <c r="D679" t="s">
        <v>39</v>
      </c>
      <c r="E679" t="s">
        <v>54</v>
      </c>
      <c r="F679" s="8">
        <v>47</v>
      </c>
      <c r="G679" s="7">
        <v>94</v>
      </c>
      <c r="H679" s="7">
        <v>4418</v>
      </c>
      <c r="I679" s="4">
        <v>0.08</v>
      </c>
      <c r="J679" s="7">
        <v>4064.56</v>
      </c>
      <c r="K679" s="7">
        <f>Tabela1[[#This Row],[Valor Bruto]]-Tabela1[[#This Row],[Valor Venda]]</f>
        <v>353.44000000000005</v>
      </c>
      <c r="L679" s="1">
        <v>44215</v>
      </c>
      <c r="M679" s="1">
        <v>44215</v>
      </c>
      <c r="N679">
        <v>676</v>
      </c>
      <c r="O679">
        <v>7</v>
      </c>
      <c r="P679" t="s">
        <v>69</v>
      </c>
      <c r="Q679">
        <v>0.1</v>
      </c>
      <c r="R679" s="7">
        <v>406.45600000000002</v>
      </c>
      <c r="S679">
        <v>4</v>
      </c>
      <c r="T679" t="s">
        <v>108</v>
      </c>
    </row>
    <row r="680" spans="1:20">
      <c r="A680">
        <v>677</v>
      </c>
      <c r="B680" s="1">
        <v>44200</v>
      </c>
      <c r="C680">
        <v>47</v>
      </c>
      <c r="D680" t="s">
        <v>40</v>
      </c>
      <c r="E680" t="s">
        <v>31</v>
      </c>
      <c r="F680" s="8">
        <v>34</v>
      </c>
      <c r="G680" s="7">
        <v>108</v>
      </c>
      <c r="H680" s="7">
        <v>3672</v>
      </c>
      <c r="I680" s="4">
        <v>0.01</v>
      </c>
      <c r="J680" s="7">
        <v>3635.28</v>
      </c>
      <c r="K680" s="7">
        <f>Tabela1[[#This Row],[Valor Bruto]]-Tabela1[[#This Row],[Valor Venda]]</f>
        <v>36.7199999999998</v>
      </c>
      <c r="L680" s="1">
        <v>44204</v>
      </c>
      <c r="M680" s="1">
        <v>44204</v>
      </c>
      <c r="N680">
        <v>677</v>
      </c>
      <c r="O680">
        <v>6</v>
      </c>
      <c r="P680" t="s">
        <v>52</v>
      </c>
      <c r="Q680">
        <v>0.05</v>
      </c>
      <c r="R680" s="7">
        <v>181.76400000000001</v>
      </c>
      <c r="S680">
        <v>5</v>
      </c>
      <c r="T680" t="s">
        <v>108</v>
      </c>
    </row>
    <row r="681" spans="1:20">
      <c r="A681">
        <v>678</v>
      </c>
      <c r="B681" s="1">
        <v>44201</v>
      </c>
      <c r="C681">
        <v>92</v>
      </c>
      <c r="D681" t="s">
        <v>26</v>
      </c>
      <c r="E681" t="s">
        <v>46</v>
      </c>
      <c r="F681" s="8">
        <v>30</v>
      </c>
      <c r="G681" s="7">
        <v>95</v>
      </c>
      <c r="H681" s="7">
        <v>2850</v>
      </c>
      <c r="I681" s="4">
        <v>0.03</v>
      </c>
      <c r="J681" s="7">
        <v>2764.5</v>
      </c>
      <c r="K681" s="7">
        <f>Tabela1[[#This Row],[Valor Bruto]]-Tabela1[[#This Row],[Valor Venda]]</f>
        <v>85.5</v>
      </c>
      <c r="L681" s="1">
        <v>44217</v>
      </c>
      <c r="M681" s="1">
        <v>44217</v>
      </c>
      <c r="N681">
        <v>678</v>
      </c>
      <c r="O681">
        <v>7</v>
      </c>
      <c r="P681" t="s">
        <v>47</v>
      </c>
      <c r="Q681">
        <v>0.08</v>
      </c>
      <c r="R681" s="7">
        <v>221.16</v>
      </c>
      <c r="S681">
        <v>6</v>
      </c>
      <c r="T681" t="s">
        <v>108</v>
      </c>
    </row>
    <row r="682" spans="1:20">
      <c r="A682">
        <v>679</v>
      </c>
      <c r="B682" s="1">
        <v>44202</v>
      </c>
      <c r="C682">
        <v>70</v>
      </c>
      <c r="D682" t="s">
        <v>67</v>
      </c>
      <c r="E682" t="s">
        <v>46</v>
      </c>
      <c r="F682" s="8">
        <v>30</v>
      </c>
      <c r="G682" s="7">
        <v>91</v>
      </c>
      <c r="H682" s="7">
        <v>2730</v>
      </c>
      <c r="I682" s="4">
        <v>0.05</v>
      </c>
      <c r="J682" s="7">
        <v>2593.5</v>
      </c>
      <c r="K682" s="7">
        <f>Tabela1[[#This Row],[Valor Bruto]]-Tabela1[[#This Row],[Valor Venda]]</f>
        <v>136.5</v>
      </c>
      <c r="L682" s="1">
        <v>44228</v>
      </c>
      <c r="M682" s="1">
        <v>44228</v>
      </c>
      <c r="N682">
        <v>679</v>
      </c>
      <c r="O682">
        <v>4</v>
      </c>
      <c r="P682" t="s">
        <v>32</v>
      </c>
      <c r="Q682">
        <v>0.08</v>
      </c>
      <c r="R682" s="7">
        <v>207.48000000000002</v>
      </c>
      <c r="S682">
        <v>7</v>
      </c>
      <c r="T682" t="s">
        <v>108</v>
      </c>
    </row>
    <row r="683" spans="1:20">
      <c r="A683">
        <v>680</v>
      </c>
      <c r="B683" s="1">
        <v>44202</v>
      </c>
      <c r="C683">
        <v>33</v>
      </c>
      <c r="D683" t="s">
        <v>76</v>
      </c>
      <c r="E683" t="s">
        <v>46</v>
      </c>
      <c r="F683" s="8">
        <v>29</v>
      </c>
      <c r="G683" s="7">
        <v>92</v>
      </c>
      <c r="H683" s="7">
        <v>2668</v>
      </c>
      <c r="I683" s="4">
        <v>0.14000000000000001</v>
      </c>
      <c r="J683" s="7">
        <v>2294.48</v>
      </c>
      <c r="K683" s="7">
        <f>Tabela1[[#This Row],[Valor Bruto]]-Tabela1[[#This Row],[Valor Venda]]</f>
        <v>373.52</v>
      </c>
      <c r="L683" s="1">
        <v>44204</v>
      </c>
      <c r="M683" s="1">
        <v>44204</v>
      </c>
      <c r="N683">
        <v>680</v>
      </c>
      <c r="O683">
        <v>1</v>
      </c>
      <c r="P683" t="s">
        <v>25</v>
      </c>
      <c r="Q683">
        <v>0.08</v>
      </c>
      <c r="R683" s="7">
        <v>183.55840000000001</v>
      </c>
      <c r="S683">
        <v>1</v>
      </c>
      <c r="T683" t="s">
        <v>108</v>
      </c>
    </row>
    <row r="684" spans="1:20">
      <c r="A684">
        <v>681</v>
      </c>
      <c r="B684" s="1">
        <v>44202</v>
      </c>
      <c r="C684">
        <v>50</v>
      </c>
      <c r="D684" t="s">
        <v>81</v>
      </c>
      <c r="E684" t="s">
        <v>50</v>
      </c>
      <c r="F684" s="8">
        <v>19</v>
      </c>
      <c r="G684" s="7">
        <v>111</v>
      </c>
      <c r="H684" s="7">
        <v>2109</v>
      </c>
      <c r="I684" s="4">
        <v>0.08</v>
      </c>
      <c r="J684" s="7">
        <v>1940.28</v>
      </c>
      <c r="K684" s="7">
        <f>Tabela1[[#This Row],[Valor Bruto]]-Tabela1[[#This Row],[Valor Venda]]</f>
        <v>168.72000000000003</v>
      </c>
      <c r="L684" s="1">
        <v>44205</v>
      </c>
      <c r="M684" s="1">
        <v>44205</v>
      </c>
      <c r="N684">
        <v>681</v>
      </c>
      <c r="O684">
        <v>7</v>
      </c>
      <c r="P684" t="s">
        <v>43</v>
      </c>
      <c r="Q684">
        <v>0.08</v>
      </c>
      <c r="R684" s="7">
        <v>155.22239999999999</v>
      </c>
      <c r="S684">
        <v>2</v>
      </c>
      <c r="T684" t="s">
        <v>108</v>
      </c>
    </row>
    <row r="685" spans="1:20">
      <c r="A685">
        <v>682</v>
      </c>
      <c r="B685" s="1">
        <v>44202</v>
      </c>
      <c r="C685">
        <v>57</v>
      </c>
      <c r="D685" t="s">
        <v>89</v>
      </c>
      <c r="E685" t="s">
        <v>41</v>
      </c>
      <c r="F685" s="8">
        <v>27</v>
      </c>
      <c r="G685" s="7">
        <v>111</v>
      </c>
      <c r="H685" s="7">
        <v>2997</v>
      </c>
      <c r="I685" s="4">
        <v>0.04</v>
      </c>
      <c r="J685" s="7">
        <v>2877.12</v>
      </c>
      <c r="K685" s="7">
        <f>Tabela1[[#This Row],[Valor Bruto]]-Tabela1[[#This Row],[Valor Venda]]</f>
        <v>119.88000000000011</v>
      </c>
      <c r="L685" s="1">
        <v>44209</v>
      </c>
      <c r="M685" s="1">
        <v>44209</v>
      </c>
      <c r="N685">
        <v>682</v>
      </c>
      <c r="O685">
        <v>3</v>
      </c>
      <c r="P685" t="s">
        <v>37</v>
      </c>
      <c r="Q685">
        <v>0.06</v>
      </c>
      <c r="R685" s="7">
        <v>172.62719999999999</v>
      </c>
      <c r="S685">
        <v>3</v>
      </c>
      <c r="T685" t="s">
        <v>108</v>
      </c>
    </row>
    <row r="686" spans="1:20">
      <c r="A686">
        <v>683</v>
      </c>
      <c r="B686" s="1">
        <v>44202</v>
      </c>
      <c r="C686">
        <v>7</v>
      </c>
      <c r="D686" t="s">
        <v>102</v>
      </c>
      <c r="E686" t="s">
        <v>31</v>
      </c>
      <c r="F686" s="8">
        <v>43</v>
      </c>
      <c r="G686" s="7">
        <v>118</v>
      </c>
      <c r="H686" s="7">
        <v>5074</v>
      </c>
      <c r="I686" s="4">
        <v>0.15</v>
      </c>
      <c r="J686" s="7">
        <v>4312.8999999999996</v>
      </c>
      <c r="K686" s="7">
        <f>Tabela1[[#This Row],[Valor Bruto]]-Tabela1[[#This Row],[Valor Venda]]</f>
        <v>761.10000000000036</v>
      </c>
      <c r="L686" s="1">
        <v>44205</v>
      </c>
      <c r="M686" s="1">
        <v>44205</v>
      </c>
      <c r="N686">
        <v>683</v>
      </c>
      <c r="O686">
        <v>7</v>
      </c>
      <c r="P686" t="s">
        <v>22</v>
      </c>
      <c r="Q686">
        <v>0.09</v>
      </c>
      <c r="R686" s="7">
        <v>388.16099999999994</v>
      </c>
      <c r="S686">
        <v>4</v>
      </c>
      <c r="T686" t="s">
        <v>108</v>
      </c>
    </row>
    <row r="687" spans="1:20">
      <c r="A687">
        <v>684</v>
      </c>
      <c r="B687" s="1">
        <v>44203</v>
      </c>
      <c r="C687">
        <v>62</v>
      </c>
      <c r="D687" t="s">
        <v>38</v>
      </c>
      <c r="E687" t="s">
        <v>31</v>
      </c>
      <c r="F687" s="8">
        <v>13</v>
      </c>
      <c r="G687" s="7">
        <v>101</v>
      </c>
      <c r="H687" s="7">
        <v>1313</v>
      </c>
      <c r="I687" s="4">
        <v>0.06</v>
      </c>
      <c r="J687" s="7">
        <v>1234.22</v>
      </c>
      <c r="K687" s="7">
        <f>Tabela1[[#This Row],[Valor Bruto]]-Tabela1[[#This Row],[Valor Venda]]</f>
        <v>78.779999999999973</v>
      </c>
      <c r="L687" s="1">
        <v>44229</v>
      </c>
      <c r="M687" s="1">
        <v>44229</v>
      </c>
      <c r="N687">
        <v>684</v>
      </c>
      <c r="O687">
        <v>3</v>
      </c>
      <c r="P687" t="s">
        <v>29</v>
      </c>
      <c r="Q687">
        <v>0.1</v>
      </c>
      <c r="R687" s="7">
        <v>123.42200000000001</v>
      </c>
      <c r="S687">
        <v>5</v>
      </c>
      <c r="T687" t="s">
        <v>108</v>
      </c>
    </row>
    <row r="688" spans="1:20">
      <c r="A688">
        <v>685</v>
      </c>
      <c r="B688" s="1">
        <v>44203</v>
      </c>
      <c r="C688">
        <v>32</v>
      </c>
      <c r="D688" t="s">
        <v>77</v>
      </c>
      <c r="E688" t="s">
        <v>31</v>
      </c>
      <c r="F688" s="8">
        <v>32</v>
      </c>
      <c r="G688" s="7">
        <v>112</v>
      </c>
      <c r="H688" s="7">
        <v>3584</v>
      </c>
      <c r="I688" s="4">
        <v>0.09</v>
      </c>
      <c r="J688" s="7">
        <v>3261.44</v>
      </c>
      <c r="K688" s="7">
        <f>Tabela1[[#This Row],[Valor Bruto]]-Tabela1[[#This Row],[Valor Venda]]</f>
        <v>322.55999999999995</v>
      </c>
      <c r="L688" s="1">
        <v>44205</v>
      </c>
      <c r="M688" s="1">
        <v>44205</v>
      </c>
      <c r="N688">
        <v>685</v>
      </c>
      <c r="O688">
        <v>2</v>
      </c>
      <c r="P688" t="s">
        <v>37</v>
      </c>
      <c r="Q688">
        <v>0.06</v>
      </c>
      <c r="R688" s="7">
        <v>195.68639999999999</v>
      </c>
      <c r="S688">
        <v>6</v>
      </c>
      <c r="T688" t="s">
        <v>108</v>
      </c>
    </row>
    <row r="689" spans="1:20">
      <c r="A689">
        <v>686</v>
      </c>
      <c r="B689" s="1">
        <v>44204</v>
      </c>
      <c r="C689">
        <v>40</v>
      </c>
      <c r="D689" t="s">
        <v>49</v>
      </c>
      <c r="E689" t="s">
        <v>24</v>
      </c>
      <c r="F689" s="8">
        <v>23</v>
      </c>
      <c r="G689" s="7">
        <v>119</v>
      </c>
      <c r="H689" s="7">
        <v>2737</v>
      </c>
      <c r="I689" s="4">
        <v>0.01</v>
      </c>
      <c r="J689" s="7">
        <v>2709.63</v>
      </c>
      <c r="K689" s="7">
        <f>Tabela1[[#This Row],[Valor Bruto]]-Tabela1[[#This Row],[Valor Venda]]</f>
        <v>27.369999999999891</v>
      </c>
      <c r="L689" s="1">
        <v>44210</v>
      </c>
      <c r="M689" s="1">
        <v>44210</v>
      </c>
      <c r="N689">
        <v>686</v>
      </c>
      <c r="O689">
        <v>3</v>
      </c>
      <c r="P689" t="s">
        <v>52</v>
      </c>
      <c r="Q689">
        <v>0.09</v>
      </c>
      <c r="R689" s="7">
        <v>243.86670000000001</v>
      </c>
      <c r="S689">
        <v>7</v>
      </c>
      <c r="T689" t="s">
        <v>108</v>
      </c>
    </row>
    <row r="690" spans="1:20">
      <c r="A690">
        <v>687</v>
      </c>
      <c r="B690" s="1">
        <v>44205</v>
      </c>
      <c r="C690">
        <v>5</v>
      </c>
      <c r="D690" t="s">
        <v>38</v>
      </c>
      <c r="E690" t="s">
        <v>46</v>
      </c>
      <c r="F690" s="8">
        <v>36</v>
      </c>
      <c r="G690" s="7">
        <v>101</v>
      </c>
      <c r="H690" s="7">
        <v>3636</v>
      </c>
      <c r="I690" s="4">
        <v>7.0000000000000007E-2</v>
      </c>
      <c r="J690" s="7">
        <v>3381.48</v>
      </c>
      <c r="K690" s="7">
        <f>Tabela1[[#This Row],[Valor Bruto]]-Tabela1[[#This Row],[Valor Venda]]</f>
        <v>254.51999999999998</v>
      </c>
      <c r="L690" s="1">
        <v>44220</v>
      </c>
      <c r="M690" s="1">
        <v>44220</v>
      </c>
      <c r="N690">
        <v>687</v>
      </c>
      <c r="O690">
        <v>4</v>
      </c>
      <c r="P690" t="s">
        <v>22</v>
      </c>
      <c r="Q690">
        <v>7.0000000000000007E-2</v>
      </c>
      <c r="R690" s="7">
        <v>236.70360000000002</v>
      </c>
      <c r="S690">
        <v>1</v>
      </c>
      <c r="T690" t="s">
        <v>108</v>
      </c>
    </row>
    <row r="691" spans="1:20">
      <c r="A691">
        <v>688</v>
      </c>
      <c r="B691" s="1">
        <v>44205</v>
      </c>
      <c r="C691">
        <v>97</v>
      </c>
      <c r="D691" t="s">
        <v>66</v>
      </c>
      <c r="E691" t="s">
        <v>59</v>
      </c>
      <c r="F691" s="8">
        <v>20</v>
      </c>
      <c r="G691" s="7">
        <v>103</v>
      </c>
      <c r="H691" s="7">
        <v>2060</v>
      </c>
      <c r="I691" s="4">
        <v>7.0000000000000007E-2</v>
      </c>
      <c r="J691" s="7">
        <v>1915.8</v>
      </c>
      <c r="K691" s="7">
        <f>Tabela1[[#This Row],[Valor Bruto]]-Tabela1[[#This Row],[Valor Venda]]</f>
        <v>144.20000000000005</v>
      </c>
      <c r="L691" s="1">
        <v>44205</v>
      </c>
      <c r="M691" s="1">
        <v>44205</v>
      </c>
      <c r="N691">
        <v>688</v>
      </c>
      <c r="O691">
        <v>3</v>
      </c>
      <c r="P691" t="s">
        <v>25</v>
      </c>
      <c r="Q691">
        <v>0.06</v>
      </c>
      <c r="R691" s="7">
        <v>114.94799999999999</v>
      </c>
      <c r="S691">
        <v>2</v>
      </c>
      <c r="T691" t="s">
        <v>108</v>
      </c>
    </row>
    <row r="692" spans="1:20">
      <c r="A692">
        <v>689</v>
      </c>
      <c r="B692" s="1">
        <v>44206</v>
      </c>
      <c r="C692">
        <v>69</v>
      </c>
      <c r="D692" t="s">
        <v>67</v>
      </c>
      <c r="E692" t="s">
        <v>31</v>
      </c>
      <c r="F692" s="8">
        <v>14</v>
      </c>
      <c r="G692" s="7">
        <v>109</v>
      </c>
      <c r="H692" s="7">
        <v>1526</v>
      </c>
      <c r="I692" s="4">
        <v>0.09</v>
      </c>
      <c r="J692" s="7">
        <v>1388.66</v>
      </c>
      <c r="K692" s="7">
        <f>Tabela1[[#This Row],[Valor Bruto]]-Tabela1[[#This Row],[Valor Venda]]</f>
        <v>137.33999999999992</v>
      </c>
      <c r="L692" s="1">
        <v>44228</v>
      </c>
      <c r="M692" s="1">
        <v>44228</v>
      </c>
      <c r="N692">
        <v>689</v>
      </c>
      <c r="O692">
        <v>2</v>
      </c>
      <c r="P692" t="s">
        <v>69</v>
      </c>
      <c r="Q692">
        <v>0.06</v>
      </c>
      <c r="R692" s="7">
        <v>83.319600000000008</v>
      </c>
      <c r="S692">
        <v>3</v>
      </c>
      <c r="T692" t="s">
        <v>108</v>
      </c>
    </row>
    <row r="693" spans="1:20">
      <c r="A693">
        <v>690</v>
      </c>
      <c r="B693" s="1">
        <v>44207</v>
      </c>
      <c r="C693">
        <v>75</v>
      </c>
      <c r="D693" t="s">
        <v>38</v>
      </c>
      <c r="E693" t="s">
        <v>54</v>
      </c>
      <c r="F693" s="8">
        <v>30</v>
      </c>
      <c r="G693" s="7">
        <v>113</v>
      </c>
      <c r="H693" s="7">
        <v>3390</v>
      </c>
      <c r="I693" s="4">
        <v>7.0000000000000007E-2</v>
      </c>
      <c r="J693" s="7">
        <v>3152.7</v>
      </c>
      <c r="K693" s="7">
        <f>Tabela1[[#This Row],[Valor Bruto]]-Tabela1[[#This Row],[Valor Venda]]</f>
        <v>237.30000000000018</v>
      </c>
      <c r="L693" s="1">
        <v>44228</v>
      </c>
      <c r="M693" s="1">
        <v>44228</v>
      </c>
      <c r="N693">
        <v>690</v>
      </c>
      <c r="O693">
        <v>3</v>
      </c>
      <c r="P693" t="s">
        <v>32</v>
      </c>
      <c r="Q693">
        <v>7.0000000000000007E-2</v>
      </c>
      <c r="R693" s="7">
        <v>220.68900000000002</v>
      </c>
      <c r="S693">
        <v>4</v>
      </c>
      <c r="T693" t="s">
        <v>108</v>
      </c>
    </row>
    <row r="694" spans="1:20">
      <c r="A694">
        <v>691</v>
      </c>
      <c r="B694" s="1">
        <v>44207</v>
      </c>
      <c r="C694">
        <v>4</v>
      </c>
      <c r="D694" t="s">
        <v>86</v>
      </c>
      <c r="E694" t="s">
        <v>50</v>
      </c>
      <c r="F694" s="8">
        <v>39</v>
      </c>
      <c r="G694" s="7">
        <v>105</v>
      </c>
      <c r="H694" s="7">
        <v>4095</v>
      </c>
      <c r="I694" s="4">
        <v>7.0000000000000007E-2</v>
      </c>
      <c r="J694" s="7">
        <v>3808.35</v>
      </c>
      <c r="K694" s="7">
        <f>Tabela1[[#This Row],[Valor Bruto]]-Tabela1[[#This Row],[Valor Venda]]</f>
        <v>286.65000000000009</v>
      </c>
      <c r="L694" s="1">
        <v>44232</v>
      </c>
      <c r="N694">
        <v>691</v>
      </c>
      <c r="O694">
        <v>6</v>
      </c>
      <c r="P694" t="s">
        <v>52</v>
      </c>
      <c r="Q694">
        <v>0.1</v>
      </c>
      <c r="R694" s="7">
        <v>380.83500000000004</v>
      </c>
      <c r="S694">
        <v>5</v>
      </c>
      <c r="T694" t="s">
        <v>108</v>
      </c>
    </row>
    <row r="695" spans="1:20">
      <c r="A695">
        <v>692</v>
      </c>
      <c r="B695" s="1">
        <v>44208</v>
      </c>
      <c r="C695">
        <v>82</v>
      </c>
      <c r="D695" t="s">
        <v>67</v>
      </c>
      <c r="E695" t="s">
        <v>54</v>
      </c>
      <c r="F695" s="8">
        <v>20</v>
      </c>
      <c r="G695" s="7">
        <v>119</v>
      </c>
      <c r="H695" s="7">
        <v>2380</v>
      </c>
      <c r="I695" s="4">
        <v>0.13</v>
      </c>
      <c r="J695" s="7">
        <v>2070.6</v>
      </c>
      <c r="K695" s="7">
        <f>Tabela1[[#This Row],[Valor Bruto]]-Tabela1[[#This Row],[Valor Venda]]</f>
        <v>309.40000000000009</v>
      </c>
      <c r="L695" s="1">
        <v>44238</v>
      </c>
      <c r="M695" s="1">
        <v>44238</v>
      </c>
      <c r="N695">
        <v>692</v>
      </c>
      <c r="O695">
        <v>3</v>
      </c>
      <c r="P695" t="s">
        <v>22</v>
      </c>
      <c r="Q695">
        <v>0.09</v>
      </c>
      <c r="R695" s="7">
        <v>186.35399999999998</v>
      </c>
      <c r="S695">
        <v>6</v>
      </c>
      <c r="T695" t="s">
        <v>108</v>
      </c>
    </row>
    <row r="696" spans="1:20">
      <c r="A696">
        <v>693</v>
      </c>
      <c r="B696" s="1">
        <v>44208</v>
      </c>
      <c r="C696">
        <v>54</v>
      </c>
      <c r="D696" t="s">
        <v>79</v>
      </c>
      <c r="E696" t="s">
        <v>46</v>
      </c>
      <c r="F696" s="8">
        <v>36</v>
      </c>
      <c r="G696" s="7">
        <v>112</v>
      </c>
      <c r="H696" s="7">
        <v>4032</v>
      </c>
      <c r="I696" s="4">
        <v>0.01</v>
      </c>
      <c r="J696" s="7">
        <v>3991.68</v>
      </c>
      <c r="K696" s="7">
        <f>Tabela1[[#This Row],[Valor Bruto]]-Tabela1[[#This Row],[Valor Venda]]</f>
        <v>40.320000000000164</v>
      </c>
      <c r="L696" s="1">
        <v>44230</v>
      </c>
      <c r="M696" s="1">
        <v>44230</v>
      </c>
      <c r="N696">
        <v>693</v>
      </c>
      <c r="O696">
        <v>7</v>
      </c>
      <c r="P696" t="s">
        <v>25</v>
      </c>
      <c r="Q696">
        <v>0.08</v>
      </c>
      <c r="R696" s="7">
        <v>319.33440000000002</v>
      </c>
      <c r="S696">
        <v>7</v>
      </c>
      <c r="T696" t="s">
        <v>108</v>
      </c>
    </row>
    <row r="697" spans="1:20">
      <c r="A697">
        <v>694</v>
      </c>
      <c r="B697" s="1">
        <v>44209</v>
      </c>
      <c r="C697">
        <v>29</v>
      </c>
      <c r="D697" t="s">
        <v>98</v>
      </c>
      <c r="E697" t="s">
        <v>24</v>
      </c>
      <c r="F697" s="8">
        <v>47</v>
      </c>
      <c r="G697" s="7">
        <v>97</v>
      </c>
      <c r="H697" s="7">
        <v>4559</v>
      </c>
      <c r="I697" s="4">
        <v>7.0000000000000007E-2</v>
      </c>
      <c r="J697" s="7">
        <v>4239.87</v>
      </c>
      <c r="K697" s="7">
        <f>Tabela1[[#This Row],[Valor Bruto]]-Tabela1[[#This Row],[Valor Venda]]</f>
        <v>319.13000000000011</v>
      </c>
      <c r="L697" s="1">
        <v>44230</v>
      </c>
      <c r="M697" s="1">
        <v>44230</v>
      </c>
      <c r="N697">
        <v>694</v>
      </c>
      <c r="O697">
        <v>6</v>
      </c>
      <c r="P697" t="s">
        <v>47</v>
      </c>
      <c r="Q697">
        <v>0.09</v>
      </c>
      <c r="R697" s="7">
        <v>381.5883</v>
      </c>
      <c r="S697">
        <v>1</v>
      </c>
      <c r="T697" t="s">
        <v>108</v>
      </c>
    </row>
    <row r="698" spans="1:20">
      <c r="A698">
        <v>695</v>
      </c>
      <c r="B698" s="1">
        <v>44209</v>
      </c>
      <c r="C698">
        <v>8</v>
      </c>
      <c r="D698" t="s">
        <v>38</v>
      </c>
      <c r="E698" t="s">
        <v>55</v>
      </c>
      <c r="F698" s="8">
        <v>37</v>
      </c>
      <c r="G698" s="7">
        <v>120</v>
      </c>
      <c r="H698" s="7">
        <v>4440</v>
      </c>
      <c r="I698" s="4">
        <v>0.06</v>
      </c>
      <c r="J698" s="7">
        <v>4173.6000000000004</v>
      </c>
      <c r="K698" s="7">
        <f>Tabela1[[#This Row],[Valor Bruto]]-Tabela1[[#This Row],[Valor Venda]]</f>
        <v>266.39999999999964</v>
      </c>
      <c r="L698" s="1">
        <v>44211</v>
      </c>
      <c r="M698" s="1">
        <v>44211</v>
      </c>
      <c r="N698">
        <v>695</v>
      </c>
      <c r="O698">
        <v>4</v>
      </c>
      <c r="P698" t="s">
        <v>43</v>
      </c>
      <c r="Q698">
        <v>0.08</v>
      </c>
      <c r="R698" s="7">
        <v>333.88800000000003</v>
      </c>
      <c r="S698">
        <v>2</v>
      </c>
      <c r="T698" t="s">
        <v>108</v>
      </c>
    </row>
    <row r="699" spans="1:20">
      <c r="A699">
        <v>696</v>
      </c>
      <c r="B699" s="1">
        <v>44209</v>
      </c>
      <c r="C699">
        <v>40</v>
      </c>
      <c r="D699" t="s">
        <v>49</v>
      </c>
      <c r="E699" t="s">
        <v>24</v>
      </c>
      <c r="F699" s="8">
        <v>29</v>
      </c>
      <c r="G699" s="7">
        <v>108</v>
      </c>
      <c r="H699" s="7">
        <v>3132</v>
      </c>
      <c r="I699" s="4">
        <v>0</v>
      </c>
      <c r="J699" s="7">
        <v>3132</v>
      </c>
      <c r="K699" s="7">
        <f>Tabela1[[#This Row],[Valor Bruto]]-Tabela1[[#This Row],[Valor Venda]]</f>
        <v>0</v>
      </c>
      <c r="L699" s="1">
        <v>44232</v>
      </c>
      <c r="M699" s="1">
        <v>44232</v>
      </c>
      <c r="N699">
        <v>696</v>
      </c>
      <c r="O699">
        <v>5</v>
      </c>
      <c r="P699" t="s">
        <v>43</v>
      </c>
      <c r="Q699">
        <v>0.06</v>
      </c>
      <c r="R699" s="7">
        <v>187.92</v>
      </c>
      <c r="S699">
        <v>3</v>
      </c>
      <c r="T699" t="s">
        <v>108</v>
      </c>
    </row>
    <row r="700" spans="1:20">
      <c r="A700">
        <v>697</v>
      </c>
      <c r="B700" s="1">
        <v>44209</v>
      </c>
      <c r="C700">
        <v>13</v>
      </c>
      <c r="D700" t="s">
        <v>75</v>
      </c>
      <c r="E700" t="s">
        <v>55</v>
      </c>
      <c r="F700" s="8">
        <v>24</v>
      </c>
      <c r="G700" s="7">
        <v>93</v>
      </c>
      <c r="H700" s="7">
        <v>2232</v>
      </c>
      <c r="I700" s="4">
        <v>0.11</v>
      </c>
      <c r="J700" s="7">
        <v>1986.48</v>
      </c>
      <c r="K700" s="7">
        <f>Tabela1[[#This Row],[Valor Bruto]]-Tabela1[[#This Row],[Valor Venda]]</f>
        <v>245.51999999999998</v>
      </c>
      <c r="L700" s="1">
        <v>44230</v>
      </c>
      <c r="M700" s="1">
        <v>44230</v>
      </c>
      <c r="N700">
        <v>697</v>
      </c>
      <c r="O700">
        <v>3</v>
      </c>
      <c r="P700" t="s">
        <v>32</v>
      </c>
      <c r="Q700">
        <v>0.08</v>
      </c>
      <c r="R700" s="7">
        <v>158.91839999999999</v>
      </c>
      <c r="S700">
        <v>4</v>
      </c>
      <c r="T700" t="s">
        <v>108</v>
      </c>
    </row>
    <row r="701" spans="1:20">
      <c r="A701">
        <v>698</v>
      </c>
      <c r="B701" s="1">
        <v>44210</v>
      </c>
      <c r="C701">
        <v>69</v>
      </c>
      <c r="D701" t="s">
        <v>67</v>
      </c>
      <c r="E701" t="s">
        <v>55</v>
      </c>
      <c r="F701" s="8">
        <v>18</v>
      </c>
      <c r="G701" s="7">
        <v>106</v>
      </c>
      <c r="H701" s="7">
        <v>1908</v>
      </c>
      <c r="I701" s="4">
        <v>0.15</v>
      </c>
      <c r="J701" s="7">
        <v>1621.8</v>
      </c>
      <c r="K701" s="7">
        <f>Tabela1[[#This Row],[Valor Bruto]]-Tabela1[[#This Row],[Valor Venda]]</f>
        <v>286.20000000000005</v>
      </c>
      <c r="L701" s="1">
        <v>44218</v>
      </c>
      <c r="M701" s="1">
        <v>44218</v>
      </c>
      <c r="N701">
        <v>698</v>
      </c>
      <c r="O701">
        <v>1</v>
      </c>
      <c r="P701" t="s">
        <v>37</v>
      </c>
      <c r="Q701">
        <v>7.0000000000000007E-2</v>
      </c>
      <c r="R701" s="7">
        <v>113.52600000000001</v>
      </c>
      <c r="S701">
        <v>5</v>
      </c>
      <c r="T701" t="s">
        <v>108</v>
      </c>
    </row>
    <row r="702" spans="1:20">
      <c r="A702">
        <v>699</v>
      </c>
      <c r="B702" s="1">
        <v>44210</v>
      </c>
      <c r="C702">
        <v>63</v>
      </c>
      <c r="D702" t="s">
        <v>80</v>
      </c>
      <c r="E702" t="s">
        <v>21</v>
      </c>
      <c r="F702" s="8">
        <v>26</v>
      </c>
      <c r="G702" s="7">
        <v>107</v>
      </c>
      <c r="H702" s="7">
        <v>2782</v>
      </c>
      <c r="I702" s="4">
        <v>0.15</v>
      </c>
      <c r="J702" s="7">
        <v>2364.6999999999998</v>
      </c>
      <c r="K702" s="7">
        <f>Tabela1[[#This Row],[Valor Bruto]]-Tabela1[[#This Row],[Valor Venda]]</f>
        <v>417.30000000000018</v>
      </c>
      <c r="L702" s="1">
        <v>44232</v>
      </c>
      <c r="M702" s="1">
        <v>44232</v>
      </c>
      <c r="N702">
        <v>699</v>
      </c>
      <c r="O702">
        <v>1</v>
      </c>
      <c r="P702" t="s">
        <v>47</v>
      </c>
      <c r="Q702">
        <v>0.1</v>
      </c>
      <c r="R702" s="7">
        <v>236.47</v>
      </c>
      <c r="S702">
        <v>6</v>
      </c>
      <c r="T702" t="s">
        <v>108</v>
      </c>
    </row>
    <row r="703" spans="1:20">
      <c r="A703">
        <v>700</v>
      </c>
      <c r="B703" s="1">
        <v>44210</v>
      </c>
      <c r="C703">
        <v>6</v>
      </c>
      <c r="D703" t="s">
        <v>88</v>
      </c>
      <c r="E703" t="s">
        <v>31</v>
      </c>
      <c r="F703" s="8">
        <v>49</v>
      </c>
      <c r="G703" s="7">
        <v>103</v>
      </c>
      <c r="H703" s="7">
        <v>5047</v>
      </c>
      <c r="I703" s="4">
        <v>0.13</v>
      </c>
      <c r="J703" s="7">
        <v>4390.8900000000003</v>
      </c>
      <c r="K703" s="7">
        <f>Tabela1[[#This Row],[Valor Bruto]]-Tabela1[[#This Row],[Valor Venda]]</f>
        <v>656.10999999999967</v>
      </c>
      <c r="L703" s="1">
        <v>44235</v>
      </c>
      <c r="M703" s="1">
        <v>44235</v>
      </c>
      <c r="N703">
        <v>700</v>
      </c>
      <c r="O703">
        <v>1</v>
      </c>
      <c r="P703" t="s">
        <v>69</v>
      </c>
      <c r="Q703">
        <v>0.1</v>
      </c>
      <c r="R703" s="7">
        <v>439.08900000000006</v>
      </c>
      <c r="S703">
        <v>7</v>
      </c>
      <c r="T703" t="s">
        <v>108</v>
      </c>
    </row>
    <row r="704" spans="1:20">
      <c r="A704">
        <v>701</v>
      </c>
      <c r="B704" s="1">
        <v>44211</v>
      </c>
      <c r="C704">
        <v>31</v>
      </c>
      <c r="D704" t="s">
        <v>85</v>
      </c>
      <c r="E704" t="s">
        <v>31</v>
      </c>
      <c r="F704" s="8">
        <v>25</v>
      </c>
      <c r="G704" s="7">
        <v>92</v>
      </c>
      <c r="H704" s="7">
        <v>2300</v>
      </c>
      <c r="I704" s="4">
        <v>0.01</v>
      </c>
      <c r="J704" s="7">
        <v>2277</v>
      </c>
      <c r="K704" s="7">
        <f>Tabela1[[#This Row],[Valor Bruto]]-Tabela1[[#This Row],[Valor Venda]]</f>
        <v>23</v>
      </c>
      <c r="L704" s="1">
        <v>44224</v>
      </c>
      <c r="M704" s="1">
        <v>44224</v>
      </c>
      <c r="N704">
        <v>701</v>
      </c>
      <c r="O704">
        <v>1</v>
      </c>
      <c r="P704" t="s">
        <v>25</v>
      </c>
      <c r="Q704">
        <v>0.05</v>
      </c>
      <c r="R704" s="7">
        <v>113.85000000000001</v>
      </c>
      <c r="S704">
        <v>1</v>
      </c>
      <c r="T704" t="s">
        <v>108</v>
      </c>
    </row>
    <row r="705" spans="1:20">
      <c r="A705">
        <v>702</v>
      </c>
      <c r="B705" s="1">
        <v>44214</v>
      </c>
      <c r="C705">
        <v>96</v>
      </c>
      <c r="D705" t="s">
        <v>42</v>
      </c>
      <c r="E705" t="s">
        <v>24</v>
      </c>
      <c r="F705" s="8">
        <v>16</v>
      </c>
      <c r="G705" s="7">
        <v>98</v>
      </c>
      <c r="H705" s="7">
        <v>1568</v>
      </c>
      <c r="I705" s="4">
        <v>0.15</v>
      </c>
      <c r="J705" s="7">
        <v>1332.8</v>
      </c>
      <c r="K705" s="7">
        <f>Tabela1[[#This Row],[Valor Bruto]]-Tabela1[[#This Row],[Valor Venda]]</f>
        <v>235.20000000000005</v>
      </c>
      <c r="L705" s="1">
        <v>44225</v>
      </c>
      <c r="M705" s="1">
        <v>44225</v>
      </c>
      <c r="N705">
        <v>702</v>
      </c>
      <c r="O705">
        <v>5</v>
      </c>
      <c r="P705" t="s">
        <v>37</v>
      </c>
      <c r="Q705">
        <v>7.0000000000000007E-2</v>
      </c>
      <c r="R705" s="7">
        <v>93.296000000000006</v>
      </c>
      <c r="S705">
        <v>2</v>
      </c>
      <c r="T705" t="s">
        <v>108</v>
      </c>
    </row>
    <row r="706" spans="1:20">
      <c r="A706">
        <v>703</v>
      </c>
      <c r="B706" s="1">
        <v>44214</v>
      </c>
      <c r="C706">
        <v>62</v>
      </c>
      <c r="D706" t="s">
        <v>38</v>
      </c>
      <c r="E706" t="s">
        <v>54</v>
      </c>
      <c r="F706" s="8">
        <v>29</v>
      </c>
      <c r="G706" s="7">
        <v>112</v>
      </c>
      <c r="H706" s="7">
        <v>3248</v>
      </c>
      <c r="I706" s="4">
        <v>0.03</v>
      </c>
      <c r="J706" s="7">
        <v>3150.56</v>
      </c>
      <c r="K706" s="7">
        <f>Tabela1[[#This Row],[Valor Bruto]]-Tabela1[[#This Row],[Valor Venda]]</f>
        <v>97.440000000000055</v>
      </c>
      <c r="L706" s="1">
        <v>44233</v>
      </c>
      <c r="M706" s="1">
        <v>44233</v>
      </c>
      <c r="N706">
        <v>703</v>
      </c>
      <c r="O706">
        <v>6</v>
      </c>
      <c r="P706" t="s">
        <v>29</v>
      </c>
      <c r="Q706">
        <v>0.06</v>
      </c>
      <c r="R706" s="7">
        <v>189.03359999999998</v>
      </c>
      <c r="S706">
        <v>3</v>
      </c>
      <c r="T706" t="s">
        <v>108</v>
      </c>
    </row>
    <row r="707" spans="1:20">
      <c r="A707">
        <v>704</v>
      </c>
      <c r="B707" s="1">
        <v>44214</v>
      </c>
      <c r="C707">
        <v>85</v>
      </c>
      <c r="D707" t="s">
        <v>57</v>
      </c>
      <c r="E707" t="s">
        <v>59</v>
      </c>
      <c r="F707" s="8">
        <v>32</v>
      </c>
      <c r="G707" s="7">
        <v>97</v>
      </c>
      <c r="H707" s="7">
        <v>3104</v>
      </c>
      <c r="I707" s="4">
        <v>0.01</v>
      </c>
      <c r="J707" s="7">
        <v>3072.96</v>
      </c>
      <c r="K707" s="7">
        <f>Tabela1[[#This Row],[Valor Bruto]]-Tabela1[[#This Row],[Valor Venda]]</f>
        <v>31.039999999999964</v>
      </c>
      <c r="L707" s="1">
        <v>44217</v>
      </c>
      <c r="M707" s="1">
        <v>44217</v>
      </c>
      <c r="N707">
        <v>704</v>
      </c>
      <c r="O707">
        <v>2</v>
      </c>
      <c r="P707" t="s">
        <v>22</v>
      </c>
      <c r="Q707">
        <v>0.1</v>
      </c>
      <c r="R707" s="7">
        <v>307.29600000000005</v>
      </c>
      <c r="S707">
        <v>4</v>
      </c>
      <c r="T707" t="s">
        <v>108</v>
      </c>
    </row>
    <row r="708" spans="1:20">
      <c r="A708">
        <v>705</v>
      </c>
      <c r="B708" s="1">
        <v>44214</v>
      </c>
      <c r="C708">
        <v>38</v>
      </c>
      <c r="D708" t="s">
        <v>73</v>
      </c>
      <c r="E708" t="s">
        <v>31</v>
      </c>
      <c r="F708" s="8">
        <v>46</v>
      </c>
      <c r="G708" s="7">
        <v>102</v>
      </c>
      <c r="H708" s="7">
        <v>4692</v>
      </c>
      <c r="I708" s="4">
        <v>0.08</v>
      </c>
      <c r="J708" s="7">
        <v>4316.6400000000003</v>
      </c>
      <c r="K708" s="7">
        <f>Tabela1[[#This Row],[Valor Bruto]]-Tabela1[[#This Row],[Valor Venda]]</f>
        <v>375.35999999999967</v>
      </c>
      <c r="L708" s="1">
        <v>44240</v>
      </c>
      <c r="M708" s="1">
        <v>44240</v>
      </c>
      <c r="N708">
        <v>705</v>
      </c>
      <c r="O708">
        <v>1</v>
      </c>
      <c r="P708" t="s">
        <v>37</v>
      </c>
      <c r="Q708">
        <v>0.05</v>
      </c>
      <c r="R708" s="7">
        <v>215.83200000000002</v>
      </c>
      <c r="S708">
        <v>5</v>
      </c>
      <c r="T708" t="s">
        <v>108</v>
      </c>
    </row>
    <row r="709" spans="1:20">
      <c r="A709">
        <v>706</v>
      </c>
      <c r="B709" s="1">
        <v>44215</v>
      </c>
      <c r="C709">
        <v>27</v>
      </c>
      <c r="D709" t="s">
        <v>101</v>
      </c>
      <c r="E709" t="s">
        <v>54</v>
      </c>
      <c r="F709" s="8">
        <v>14</v>
      </c>
      <c r="G709" s="7">
        <v>110</v>
      </c>
      <c r="H709" s="7">
        <v>1540</v>
      </c>
      <c r="I709" s="4">
        <v>0.06</v>
      </c>
      <c r="J709" s="7">
        <v>1447.6</v>
      </c>
      <c r="K709" s="7">
        <f>Tabela1[[#This Row],[Valor Bruto]]-Tabela1[[#This Row],[Valor Venda]]</f>
        <v>92.400000000000091</v>
      </c>
      <c r="L709" s="1">
        <v>44233</v>
      </c>
      <c r="M709" s="1">
        <v>44233</v>
      </c>
      <c r="N709">
        <v>706</v>
      </c>
      <c r="O709">
        <v>1</v>
      </c>
      <c r="P709" t="s">
        <v>43</v>
      </c>
      <c r="Q709">
        <v>0.06</v>
      </c>
      <c r="R709" s="7">
        <v>86.855999999999995</v>
      </c>
      <c r="S709">
        <v>6</v>
      </c>
      <c r="T709" t="s">
        <v>108</v>
      </c>
    </row>
    <row r="710" spans="1:20">
      <c r="A710">
        <v>707</v>
      </c>
      <c r="B710" s="1">
        <v>44215</v>
      </c>
      <c r="C710">
        <v>31</v>
      </c>
      <c r="D710" t="s">
        <v>85</v>
      </c>
      <c r="E710" t="s">
        <v>28</v>
      </c>
      <c r="F710" s="8">
        <v>14</v>
      </c>
      <c r="G710" s="7">
        <v>116</v>
      </c>
      <c r="H710" s="7">
        <v>1624</v>
      </c>
      <c r="I710" s="4">
        <v>0.14000000000000001</v>
      </c>
      <c r="J710" s="7">
        <v>1396.6399999999999</v>
      </c>
      <c r="K710" s="7">
        <f>Tabela1[[#This Row],[Valor Bruto]]-Tabela1[[#This Row],[Valor Venda]]</f>
        <v>227.36000000000013</v>
      </c>
      <c r="L710" s="1">
        <v>44217</v>
      </c>
      <c r="M710" s="1">
        <v>44217</v>
      </c>
      <c r="N710">
        <v>707</v>
      </c>
      <c r="O710">
        <v>1</v>
      </c>
      <c r="P710" t="s">
        <v>22</v>
      </c>
      <c r="Q710">
        <v>0.08</v>
      </c>
      <c r="R710" s="7">
        <v>111.73119999999999</v>
      </c>
      <c r="S710">
        <v>7</v>
      </c>
      <c r="T710" t="s">
        <v>108</v>
      </c>
    </row>
    <row r="711" spans="1:20">
      <c r="A711">
        <v>708</v>
      </c>
      <c r="B711" s="1">
        <v>44215</v>
      </c>
      <c r="C711">
        <v>84</v>
      </c>
      <c r="D711" t="s">
        <v>44</v>
      </c>
      <c r="E711" t="s">
        <v>46</v>
      </c>
      <c r="F711" s="8">
        <v>39</v>
      </c>
      <c r="G711" s="7">
        <v>117</v>
      </c>
      <c r="H711" s="7">
        <v>4563</v>
      </c>
      <c r="I711" s="4">
        <v>0.12</v>
      </c>
      <c r="J711" s="7">
        <v>4015.44</v>
      </c>
      <c r="K711" s="7">
        <f>Tabela1[[#This Row],[Valor Bruto]]-Tabela1[[#This Row],[Valor Venda]]</f>
        <v>547.55999999999995</v>
      </c>
      <c r="L711" s="1">
        <v>44233</v>
      </c>
      <c r="M711" s="1">
        <v>44233</v>
      </c>
      <c r="N711">
        <v>708</v>
      </c>
      <c r="O711">
        <v>6</v>
      </c>
      <c r="P711" t="s">
        <v>47</v>
      </c>
      <c r="Q711">
        <v>0.08</v>
      </c>
      <c r="R711" s="7">
        <v>321.23520000000002</v>
      </c>
      <c r="S711">
        <v>1</v>
      </c>
      <c r="T711" t="s">
        <v>108</v>
      </c>
    </row>
    <row r="712" spans="1:20">
      <c r="A712">
        <v>709</v>
      </c>
      <c r="B712" s="1">
        <v>44215</v>
      </c>
      <c r="C712">
        <v>2</v>
      </c>
      <c r="D712" t="s">
        <v>35</v>
      </c>
      <c r="E712" t="s">
        <v>50</v>
      </c>
      <c r="F712" s="8">
        <v>13</v>
      </c>
      <c r="G712" s="7">
        <v>97</v>
      </c>
      <c r="H712" s="7">
        <v>1261</v>
      </c>
      <c r="I712" s="4">
        <v>0</v>
      </c>
      <c r="J712" s="7">
        <v>1261</v>
      </c>
      <c r="K712" s="7">
        <f>Tabela1[[#This Row],[Valor Bruto]]-Tabela1[[#This Row],[Valor Venda]]</f>
        <v>0</v>
      </c>
      <c r="L712" s="1">
        <v>44237</v>
      </c>
      <c r="M712" s="1">
        <v>44237</v>
      </c>
      <c r="N712">
        <v>709</v>
      </c>
      <c r="O712">
        <v>2</v>
      </c>
      <c r="P712" t="s">
        <v>47</v>
      </c>
      <c r="Q712">
        <v>0.06</v>
      </c>
      <c r="R712" s="7">
        <v>75.66</v>
      </c>
      <c r="S712">
        <v>2</v>
      </c>
      <c r="T712" t="s">
        <v>108</v>
      </c>
    </row>
    <row r="713" spans="1:20">
      <c r="A713">
        <v>710</v>
      </c>
      <c r="B713" s="1">
        <v>44215</v>
      </c>
      <c r="C713">
        <v>59</v>
      </c>
      <c r="D713" t="s">
        <v>97</v>
      </c>
      <c r="E713" t="s">
        <v>24</v>
      </c>
      <c r="F713" s="8">
        <v>21</v>
      </c>
      <c r="G713" s="7">
        <v>114</v>
      </c>
      <c r="H713" s="7">
        <v>2394</v>
      </c>
      <c r="I713" s="4">
        <v>0.12</v>
      </c>
      <c r="J713" s="7">
        <v>2106.7200000000003</v>
      </c>
      <c r="K713" s="7">
        <f>Tabela1[[#This Row],[Valor Bruto]]-Tabela1[[#This Row],[Valor Venda]]</f>
        <v>287.27999999999975</v>
      </c>
      <c r="L713" s="1">
        <v>44245</v>
      </c>
      <c r="M713" s="1">
        <v>44245</v>
      </c>
      <c r="N713">
        <v>710</v>
      </c>
      <c r="O713">
        <v>7</v>
      </c>
      <c r="P713" t="s">
        <v>52</v>
      </c>
      <c r="Q713">
        <v>0.05</v>
      </c>
      <c r="R713" s="7">
        <v>105.33600000000001</v>
      </c>
      <c r="S713">
        <v>3</v>
      </c>
      <c r="T713" t="s">
        <v>108</v>
      </c>
    </row>
    <row r="714" spans="1:20">
      <c r="A714">
        <v>711</v>
      </c>
      <c r="B714" s="1">
        <v>44217</v>
      </c>
      <c r="C714">
        <v>47</v>
      </c>
      <c r="D714" t="s">
        <v>40</v>
      </c>
      <c r="E714" t="s">
        <v>50</v>
      </c>
      <c r="F714" s="8">
        <v>32</v>
      </c>
      <c r="G714" s="7">
        <v>119</v>
      </c>
      <c r="H714" s="7">
        <v>3808</v>
      </c>
      <c r="I714" s="4">
        <v>0</v>
      </c>
      <c r="J714" s="7">
        <v>3808</v>
      </c>
      <c r="K714" s="7">
        <f>Tabela1[[#This Row],[Valor Bruto]]-Tabela1[[#This Row],[Valor Venda]]</f>
        <v>0</v>
      </c>
      <c r="L714" s="1">
        <v>44226</v>
      </c>
      <c r="M714" s="1">
        <v>44226</v>
      </c>
      <c r="N714">
        <v>711</v>
      </c>
      <c r="O714">
        <v>3</v>
      </c>
      <c r="P714" t="s">
        <v>22</v>
      </c>
      <c r="Q714">
        <v>0.1</v>
      </c>
      <c r="R714" s="7">
        <v>380.8</v>
      </c>
      <c r="S714">
        <v>4</v>
      </c>
      <c r="T714" t="s">
        <v>108</v>
      </c>
    </row>
    <row r="715" spans="1:20">
      <c r="A715">
        <v>712</v>
      </c>
      <c r="B715" s="1">
        <v>44217</v>
      </c>
      <c r="C715">
        <v>44</v>
      </c>
      <c r="D715" t="s">
        <v>71</v>
      </c>
      <c r="E715" t="s">
        <v>59</v>
      </c>
      <c r="F715" s="8">
        <v>28</v>
      </c>
      <c r="G715" s="7">
        <v>108</v>
      </c>
      <c r="H715" s="7">
        <v>3024</v>
      </c>
      <c r="I715" s="4">
        <v>0.14000000000000001</v>
      </c>
      <c r="J715" s="7">
        <v>2600.64</v>
      </c>
      <c r="K715" s="7">
        <f>Tabela1[[#This Row],[Valor Bruto]]-Tabela1[[#This Row],[Valor Venda]]</f>
        <v>423.36000000000013</v>
      </c>
      <c r="L715" s="1">
        <v>44240</v>
      </c>
      <c r="M715" s="1">
        <v>44240</v>
      </c>
      <c r="N715">
        <v>712</v>
      </c>
      <c r="O715">
        <v>7</v>
      </c>
      <c r="P715" t="s">
        <v>37</v>
      </c>
      <c r="Q715">
        <v>0.1</v>
      </c>
      <c r="R715" s="7">
        <v>260.06400000000002</v>
      </c>
      <c r="S715">
        <v>5</v>
      </c>
      <c r="T715" t="s">
        <v>108</v>
      </c>
    </row>
    <row r="716" spans="1:20">
      <c r="A716">
        <v>713</v>
      </c>
      <c r="B716" s="1">
        <v>44218</v>
      </c>
      <c r="C716">
        <v>34</v>
      </c>
      <c r="D716" t="s">
        <v>58</v>
      </c>
      <c r="E716" t="s">
        <v>55</v>
      </c>
      <c r="F716" s="8">
        <v>31</v>
      </c>
      <c r="G716" s="7">
        <v>119</v>
      </c>
      <c r="H716" s="7">
        <v>3689</v>
      </c>
      <c r="I716" s="4">
        <v>0.12</v>
      </c>
      <c r="J716" s="7">
        <v>3246.32</v>
      </c>
      <c r="K716" s="7">
        <f>Tabela1[[#This Row],[Valor Bruto]]-Tabela1[[#This Row],[Valor Venda]]</f>
        <v>442.67999999999984</v>
      </c>
      <c r="L716" s="1">
        <v>44233</v>
      </c>
      <c r="M716" s="1">
        <v>44233</v>
      </c>
      <c r="N716">
        <v>713</v>
      </c>
      <c r="O716">
        <v>6</v>
      </c>
      <c r="P716" t="s">
        <v>52</v>
      </c>
      <c r="Q716">
        <v>0.09</v>
      </c>
      <c r="R716" s="7">
        <v>292.16879999999998</v>
      </c>
      <c r="S716">
        <v>6</v>
      </c>
      <c r="T716" t="s">
        <v>108</v>
      </c>
    </row>
    <row r="717" spans="1:20">
      <c r="A717">
        <v>714</v>
      </c>
      <c r="B717" s="1">
        <v>44218</v>
      </c>
      <c r="C717">
        <v>51</v>
      </c>
      <c r="D717" t="s">
        <v>53</v>
      </c>
      <c r="E717" t="s">
        <v>46</v>
      </c>
      <c r="F717" s="8">
        <v>15</v>
      </c>
      <c r="G717" s="7">
        <v>116</v>
      </c>
      <c r="H717" s="7">
        <v>1740</v>
      </c>
      <c r="I717" s="4">
        <v>0.15</v>
      </c>
      <c r="J717" s="7">
        <v>1479</v>
      </c>
      <c r="K717" s="7">
        <f>Tabela1[[#This Row],[Valor Bruto]]-Tabela1[[#This Row],[Valor Venda]]</f>
        <v>261</v>
      </c>
      <c r="L717" s="1">
        <v>44233</v>
      </c>
      <c r="M717" s="1">
        <v>44233</v>
      </c>
      <c r="N717">
        <v>714</v>
      </c>
      <c r="O717">
        <v>6</v>
      </c>
      <c r="P717" t="s">
        <v>34</v>
      </c>
      <c r="Q717">
        <v>0.06</v>
      </c>
      <c r="R717" s="7">
        <v>88.74</v>
      </c>
      <c r="S717">
        <v>7</v>
      </c>
      <c r="T717" t="s">
        <v>108</v>
      </c>
    </row>
    <row r="718" spans="1:20">
      <c r="A718">
        <v>715</v>
      </c>
      <c r="B718" s="1">
        <v>44219</v>
      </c>
      <c r="C718">
        <v>41</v>
      </c>
      <c r="D718" t="s">
        <v>68</v>
      </c>
      <c r="E718" t="s">
        <v>46</v>
      </c>
      <c r="F718" s="8">
        <v>11</v>
      </c>
      <c r="G718" s="7">
        <v>90</v>
      </c>
      <c r="H718" s="7">
        <v>990</v>
      </c>
      <c r="I718" s="4">
        <v>0.09</v>
      </c>
      <c r="J718" s="7">
        <v>900.9</v>
      </c>
      <c r="K718" s="7">
        <f>Tabela1[[#This Row],[Valor Bruto]]-Tabela1[[#This Row],[Valor Venda]]</f>
        <v>89.100000000000023</v>
      </c>
      <c r="L718" s="1">
        <v>44229</v>
      </c>
      <c r="M718" s="1">
        <v>44229</v>
      </c>
      <c r="N718">
        <v>715</v>
      </c>
      <c r="O718">
        <v>5</v>
      </c>
      <c r="P718" t="s">
        <v>32</v>
      </c>
      <c r="Q718">
        <v>0.1</v>
      </c>
      <c r="R718" s="7">
        <v>90.09</v>
      </c>
      <c r="S718">
        <v>1</v>
      </c>
      <c r="T718" t="s">
        <v>108</v>
      </c>
    </row>
    <row r="719" spans="1:20">
      <c r="A719">
        <v>716</v>
      </c>
      <c r="B719" s="1">
        <v>44219</v>
      </c>
      <c r="C719">
        <v>89</v>
      </c>
      <c r="D719" t="s">
        <v>49</v>
      </c>
      <c r="E719" t="s">
        <v>59</v>
      </c>
      <c r="F719" s="8">
        <v>26</v>
      </c>
      <c r="G719" s="7">
        <v>116</v>
      </c>
      <c r="H719" s="7">
        <v>3016</v>
      </c>
      <c r="I719" s="4">
        <v>0.03</v>
      </c>
      <c r="J719" s="7">
        <v>2925.52</v>
      </c>
      <c r="K719" s="7">
        <f>Tabela1[[#This Row],[Valor Bruto]]-Tabela1[[#This Row],[Valor Venda]]</f>
        <v>90.480000000000018</v>
      </c>
      <c r="L719" s="1">
        <v>44225</v>
      </c>
      <c r="M719" s="1">
        <v>44225</v>
      </c>
      <c r="N719">
        <v>716</v>
      </c>
      <c r="O719">
        <v>4</v>
      </c>
      <c r="P719" t="s">
        <v>32</v>
      </c>
      <c r="Q719">
        <v>0.1</v>
      </c>
      <c r="R719" s="7">
        <v>292.55200000000002</v>
      </c>
      <c r="S719">
        <v>2</v>
      </c>
      <c r="T719" t="s">
        <v>108</v>
      </c>
    </row>
    <row r="720" spans="1:20">
      <c r="A720">
        <v>717</v>
      </c>
      <c r="B720" s="1">
        <v>44220</v>
      </c>
      <c r="C720">
        <v>61</v>
      </c>
      <c r="D720" t="s">
        <v>56</v>
      </c>
      <c r="E720" t="s">
        <v>28</v>
      </c>
      <c r="F720" s="8">
        <v>29</v>
      </c>
      <c r="G720" s="7">
        <v>97</v>
      </c>
      <c r="H720" s="7">
        <v>2813</v>
      </c>
      <c r="I720" s="4">
        <v>0</v>
      </c>
      <c r="J720" s="7">
        <v>2813</v>
      </c>
      <c r="K720" s="7">
        <f>Tabela1[[#This Row],[Valor Bruto]]-Tabela1[[#This Row],[Valor Venda]]</f>
        <v>0</v>
      </c>
      <c r="L720" s="1">
        <v>44235</v>
      </c>
      <c r="M720" s="1">
        <v>44235</v>
      </c>
      <c r="N720">
        <v>717</v>
      </c>
      <c r="O720">
        <v>1</v>
      </c>
      <c r="P720" t="s">
        <v>22</v>
      </c>
      <c r="Q720">
        <v>0.06</v>
      </c>
      <c r="R720" s="7">
        <v>168.78</v>
      </c>
      <c r="S720">
        <v>3</v>
      </c>
      <c r="T720" t="s">
        <v>108</v>
      </c>
    </row>
    <row r="721" spans="1:20">
      <c r="A721">
        <v>718</v>
      </c>
      <c r="B721" s="1">
        <v>44221</v>
      </c>
      <c r="C721">
        <v>83</v>
      </c>
      <c r="D721" t="s">
        <v>100</v>
      </c>
      <c r="E721" t="s">
        <v>21</v>
      </c>
      <c r="F721" s="8">
        <v>16</v>
      </c>
      <c r="G721" s="7">
        <v>92</v>
      </c>
      <c r="H721" s="7">
        <v>1472</v>
      </c>
      <c r="I721" s="4">
        <v>0.04</v>
      </c>
      <c r="J721" s="7">
        <v>1413.12</v>
      </c>
      <c r="K721" s="7">
        <f>Tabela1[[#This Row],[Valor Bruto]]-Tabela1[[#This Row],[Valor Venda]]</f>
        <v>58.880000000000109</v>
      </c>
      <c r="L721" s="1">
        <v>44229</v>
      </c>
      <c r="M721" s="1">
        <v>44229</v>
      </c>
      <c r="N721">
        <v>718</v>
      </c>
      <c r="O721">
        <v>1</v>
      </c>
      <c r="P721" t="s">
        <v>37</v>
      </c>
      <c r="Q721">
        <v>0.08</v>
      </c>
      <c r="R721" s="7">
        <v>113.0496</v>
      </c>
      <c r="S721">
        <v>4</v>
      </c>
      <c r="T721" t="s">
        <v>108</v>
      </c>
    </row>
    <row r="722" spans="1:20">
      <c r="A722">
        <v>719</v>
      </c>
      <c r="B722" s="1">
        <v>44222</v>
      </c>
      <c r="C722">
        <v>30</v>
      </c>
      <c r="D722" t="s">
        <v>96</v>
      </c>
      <c r="E722" t="s">
        <v>31</v>
      </c>
      <c r="F722" s="8">
        <v>23</v>
      </c>
      <c r="G722" s="7">
        <v>109</v>
      </c>
      <c r="H722" s="7">
        <v>2507</v>
      </c>
      <c r="I722" s="4">
        <v>0.04</v>
      </c>
      <c r="J722" s="7">
        <v>2406.7199999999998</v>
      </c>
      <c r="K722" s="7">
        <f>Tabela1[[#This Row],[Valor Bruto]]-Tabela1[[#This Row],[Valor Venda]]</f>
        <v>100.2800000000002</v>
      </c>
      <c r="L722" s="1">
        <v>44239</v>
      </c>
      <c r="M722" s="1">
        <v>44239</v>
      </c>
      <c r="N722">
        <v>719</v>
      </c>
      <c r="O722">
        <v>4</v>
      </c>
      <c r="P722" t="s">
        <v>52</v>
      </c>
      <c r="Q722">
        <v>0.1</v>
      </c>
      <c r="R722" s="7">
        <v>240.672</v>
      </c>
      <c r="S722">
        <v>5</v>
      </c>
      <c r="T722" t="s">
        <v>108</v>
      </c>
    </row>
    <row r="723" spans="1:20">
      <c r="A723">
        <v>720</v>
      </c>
      <c r="B723" s="1">
        <v>44222</v>
      </c>
      <c r="C723">
        <v>93</v>
      </c>
      <c r="D723" t="s">
        <v>33</v>
      </c>
      <c r="E723" t="s">
        <v>28</v>
      </c>
      <c r="F723" s="8">
        <v>50</v>
      </c>
      <c r="G723" s="7">
        <v>120</v>
      </c>
      <c r="H723" s="7">
        <v>6000</v>
      </c>
      <c r="I723" s="4">
        <v>0.08</v>
      </c>
      <c r="J723" s="7">
        <v>5520</v>
      </c>
      <c r="K723" s="7">
        <f>Tabela1[[#This Row],[Valor Bruto]]-Tabela1[[#This Row],[Valor Venda]]</f>
        <v>480</v>
      </c>
      <c r="L723" s="1">
        <v>44243</v>
      </c>
      <c r="M723" s="1">
        <v>44243</v>
      </c>
      <c r="N723">
        <v>720</v>
      </c>
      <c r="O723">
        <v>1</v>
      </c>
      <c r="P723" t="s">
        <v>52</v>
      </c>
      <c r="Q723">
        <v>0.1</v>
      </c>
      <c r="R723" s="7">
        <v>552</v>
      </c>
      <c r="S723">
        <v>6</v>
      </c>
      <c r="T723" t="s">
        <v>108</v>
      </c>
    </row>
    <row r="724" spans="1:20">
      <c r="A724">
        <v>721</v>
      </c>
      <c r="B724" s="1">
        <v>44223</v>
      </c>
      <c r="C724">
        <v>38</v>
      </c>
      <c r="D724" t="s">
        <v>73</v>
      </c>
      <c r="E724" t="s">
        <v>59</v>
      </c>
      <c r="F724" s="8">
        <v>37</v>
      </c>
      <c r="G724" s="7">
        <v>109</v>
      </c>
      <c r="H724" s="7">
        <v>4033</v>
      </c>
      <c r="I724" s="4">
        <v>0.05</v>
      </c>
      <c r="J724" s="7">
        <v>3831.35</v>
      </c>
      <c r="K724" s="7">
        <f>Tabela1[[#This Row],[Valor Bruto]]-Tabela1[[#This Row],[Valor Venda]]</f>
        <v>201.65000000000009</v>
      </c>
      <c r="L724" s="1">
        <v>44225</v>
      </c>
      <c r="M724" s="1">
        <v>44225</v>
      </c>
      <c r="N724">
        <v>721</v>
      </c>
      <c r="O724">
        <v>5</v>
      </c>
      <c r="P724" t="s">
        <v>37</v>
      </c>
      <c r="Q724">
        <v>0.05</v>
      </c>
      <c r="R724" s="7">
        <v>191.5675</v>
      </c>
      <c r="S724">
        <v>7</v>
      </c>
      <c r="T724" t="s">
        <v>108</v>
      </c>
    </row>
    <row r="725" spans="1:20">
      <c r="A725">
        <v>722</v>
      </c>
      <c r="B725" s="1">
        <v>44223</v>
      </c>
      <c r="C725">
        <v>95</v>
      </c>
      <c r="D725" t="s">
        <v>38</v>
      </c>
      <c r="E725" t="s">
        <v>21</v>
      </c>
      <c r="F725" s="8">
        <v>23</v>
      </c>
      <c r="G725" s="7">
        <v>108</v>
      </c>
      <c r="H725" s="7">
        <v>2484</v>
      </c>
      <c r="I725" s="4">
        <v>0.01</v>
      </c>
      <c r="J725" s="7">
        <v>2459.16</v>
      </c>
      <c r="K725" s="7">
        <f>Tabela1[[#This Row],[Valor Bruto]]-Tabela1[[#This Row],[Valor Venda]]</f>
        <v>24.840000000000146</v>
      </c>
      <c r="L725" s="1">
        <v>44244</v>
      </c>
      <c r="M725" s="1">
        <v>44244</v>
      </c>
      <c r="N725">
        <v>722</v>
      </c>
      <c r="O725">
        <v>2</v>
      </c>
      <c r="P725" t="s">
        <v>34</v>
      </c>
      <c r="Q725">
        <v>0.05</v>
      </c>
      <c r="R725" s="7">
        <v>122.958</v>
      </c>
      <c r="S725">
        <v>1</v>
      </c>
      <c r="T725" t="s">
        <v>108</v>
      </c>
    </row>
    <row r="726" spans="1:20">
      <c r="A726">
        <v>723</v>
      </c>
      <c r="B726" s="1">
        <v>44224</v>
      </c>
      <c r="C726">
        <v>81</v>
      </c>
      <c r="D726" t="s">
        <v>103</v>
      </c>
      <c r="E726" t="s">
        <v>24</v>
      </c>
      <c r="F726" s="8">
        <v>11</v>
      </c>
      <c r="G726" s="7">
        <v>91</v>
      </c>
      <c r="H726" s="7">
        <v>1001</v>
      </c>
      <c r="I726" s="4">
        <v>0.04</v>
      </c>
      <c r="J726" s="7">
        <v>960.96</v>
      </c>
      <c r="K726" s="7">
        <f>Tabela1[[#This Row],[Valor Bruto]]-Tabela1[[#This Row],[Valor Venda]]</f>
        <v>40.039999999999964</v>
      </c>
      <c r="L726" s="1">
        <v>44250</v>
      </c>
      <c r="M726" s="1">
        <v>44250</v>
      </c>
      <c r="N726">
        <v>723</v>
      </c>
      <c r="O726">
        <v>3</v>
      </c>
      <c r="P726" t="s">
        <v>52</v>
      </c>
      <c r="Q726">
        <v>0.08</v>
      </c>
      <c r="R726" s="7">
        <v>76.876800000000003</v>
      </c>
      <c r="S726">
        <v>2</v>
      </c>
      <c r="T726" t="s">
        <v>108</v>
      </c>
    </row>
    <row r="727" spans="1:20">
      <c r="A727">
        <v>724</v>
      </c>
      <c r="B727" s="1">
        <v>44226</v>
      </c>
      <c r="C727">
        <v>84</v>
      </c>
      <c r="D727" t="s">
        <v>44</v>
      </c>
      <c r="E727" t="s">
        <v>24</v>
      </c>
      <c r="F727" s="8">
        <v>16</v>
      </c>
      <c r="G727" s="7">
        <v>119</v>
      </c>
      <c r="H727" s="7">
        <v>1904</v>
      </c>
      <c r="I727" s="4">
        <v>0.08</v>
      </c>
      <c r="J727" s="7">
        <v>1751.68</v>
      </c>
      <c r="K727" s="7">
        <f>Tabela1[[#This Row],[Valor Bruto]]-Tabela1[[#This Row],[Valor Venda]]</f>
        <v>152.31999999999994</v>
      </c>
      <c r="L727" s="1">
        <v>44253</v>
      </c>
      <c r="M727" s="1">
        <v>44253</v>
      </c>
      <c r="N727">
        <v>724</v>
      </c>
      <c r="O727">
        <v>3</v>
      </c>
      <c r="P727" t="s">
        <v>29</v>
      </c>
      <c r="Q727">
        <v>0.06</v>
      </c>
      <c r="R727" s="7">
        <v>105.10080000000001</v>
      </c>
      <c r="S727">
        <v>3</v>
      </c>
      <c r="T727" t="s">
        <v>108</v>
      </c>
    </row>
    <row r="728" spans="1:20">
      <c r="A728">
        <v>725</v>
      </c>
      <c r="B728" s="1">
        <v>44226</v>
      </c>
      <c r="C728">
        <v>96</v>
      </c>
      <c r="D728" t="s">
        <v>42</v>
      </c>
      <c r="E728" t="s">
        <v>21</v>
      </c>
      <c r="F728" s="8">
        <v>13</v>
      </c>
      <c r="G728" s="7">
        <v>107</v>
      </c>
      <c r="H728" s="7">
        <v>1391</v>
      </c>
      <c r="I728" s="4">
        <v>0.14000000000000001</v>
      </c>
      <c r="J728" s="7">
        <v>1196.26</v>
      </c>
      <c r="K728" s="7">
        <f>Tabela1[[#This Row],[Valor Bruto]]-Tabela1[[#This Row],[Valor Venda]]</f>
        <v>194.74</v>
      </c>
      <c r="L728" s="1">
        <v>44230</v>
      </c>
      <c r="M728" s="1">
        <v>44230</v>
      </c>
      <c r="N728">
        <v>725</v>
      </c>
      <c r="O728">
        <v>7</v>
      </c>
      <c r="P728" t="s">
        <v>37</v>
      </c>
      <c r="Q728">
        <v>0.09</v>
      </c>
      <c r="R728" s="7">
        <v>107.6634</v>
      </c>
      <c r="S728">
        <v>4</v>
      </c>
      <c r="T728" t="s">
        <v>108</v>
      </c>
    </row>
    <row r="729" spans="1:20">
      <c r="A729">
        <v>726</v>
      </c>
      <c r="B729" s="1">
        <v>44228</v>
      </c>
      <c r="C729">
        <v>18</v>
      </c>
      <c r="D729" t="s">
        <v>83</v>
      </c>
      <c r="E729" t="s">
        <v>21</v>
      </c>
      <c r="F729" s="8">
        <v>43</v>
      </c>
      <c r="G729" s="7">
        <v>90</v>
      </c>
      <c r="H729" s="7">
        <v>3870</v>
      </c>
      <c r="I729" s="4">
        <v>0.06</v>
      </c>
      <c r="J729" s="7">
        <v>3637.8</v>
      </c>
      <c r="K729" s="7">
        <f>Tabela1[[#This Row],[Valor Bruto]]-Tabela1[[#This Row],[Valor Venda]]</f>
        <v>232.19999999999982</v>
      </c>
      <c r="L729" s="1">
        <v>44253</v>
      </c>
      <c r="M729" s="1">
        <v>44253</v>
      </c>
      <c r="N729">
        <v>726</v>
      </c>
      <c r="O729">
        <v>3</v>
      </c>
      <c r="P729" t="s">
        <v>47</v>
      </c>
      <c r="Q729">
        <v>0.08</v>
      </c>
      <c r="R729" s="7">
        <v>291.024</v>
      </c>
      <c r="S729">
        <v>5</v>
      </c>
      <c r="T729" t="s">
        <v>109</v>
      </c>
    </row>
    <row r="730" spans="1:20">
      <c r="A730">
        <v>727</v>
      </c>
      <c r="B730" s="1">
        <v>44228</v>
      </c>
      <c r="C730">
        <v>6</v>
      </c>
      <c r="D730" t="s">
        <v>88</v>
      </c>
      <c r="E730" t="s">
        <v>55</v>
      </c>
      <c r="F730" s="8">
        <v>27</v>
      </c>
      <c r="G730" s="7">
        <v>97</v>
      </c>
      <c r="H730" s="7">
        <v>2619</v>
      </c>
      <c r="I730" s="4">
        <v>0.02</v>
      </c>
      <c r="J730" s="7">
        <v>2566.62</v>
      </c>
      <c r="K730" s="7">
        <f>Tabela1[[#This Row],[Valor Bruto]]-Tabela1[[#This Row],[Valor Venda]]</f>
        <v>52.380000000000109</v>
      </c>
      <c r="L730" s="1">
        <v>44256</v>
      </c>
      <c r="M730" s="1">
        <v>44256</v>
      </c>
      <c r="N730">
        <v>727</v>
      </c>
      <c r="O730">
        <v>6</v>
      </c>
      <c r="P730" t="s">
        <v>52</v>
      </c>
      <c r="Q730">
        <v>0.08</v>
      </c>
      <c r="R730" s="7">
        <v>205.3296</v>
      </c>
      <c r="S730">
        <v>6</v>
      </c>
      <c r="T730" t="s">
        <v>109</v>
      </c>
    </row>
    <row r="731" spans="1:20">
      <c r="A731">
        <v>728</v>
      </c>
      <c r="B731" s="1">
        <v>44228</v>
      </c>
      <c r="C731">
        <v>76</v>
      </c>
      <c r="D731" t="s">
        <v>104</v>
      </c>
      <c r="E731" t="s">
        <v>46</v>
      </c>
      <c r="F731" s="8">
        <v>34</v>
      </c>
      <c r="G731" s="7">
        <v>120</v>
      </c>
      <c r="H731" s="7">
        <v>4080</v>
      </c>
      <c r="I731" s="4">
        <v>0.02</v>
      </c>
      <c r="J731" s="7">
        <v>3998.4</v>
      </c>
      <c r="K731" s="7">
        <f>Tabela1[[#This Row],[Valor Bruto]]-Tabela1[[#This Row],[Valor Venda]]</f>
        <v>81.599999999999909</v>
      </c>
      <c r="L731" s="1">
        <v>44231</v>
      </c>
      <c r="M731" s="1">
        <v>44231</v>
      </c>
      <c r="N731">
        <v>728</v>
      </c>
      <c r="O731">
        <v>7</v>
      </c>
      <c r="P731" t="s">
        <v>34</v>
      </c>
      <c r="Q731">
        <v>0.09</v>
      </c>
      <c r="R731" s="7">
        <v>359.85599999999999</v>
      </c>
      <c r="S731">
        <v>7</v>
      </c>
      <c r="T731" t="s">
        <v>109</v>
      </c>
    </row>
    <row r="732" spans="1:20">
      <c r="A732">
        <v>729</v>
      </c>
      <c r="B732" s="1">
        <v>44230</v>
      </c>
      <c r="C732">
        <v>32</v>
      </c>
      <c r="D732" t="s">
        <v>77</v>
      </c>
      <c r="E732" t="s">
        <v>28</v>
      </c>
      <c r="F732" s="8">
        <v>46</v>
      </c>
      <c r="G732" s="7">
        <v>93</v>
      </c>
      <c r="H732" s="7">
        <v>4278</v>
      </c>
      <c r="I732" s="4">
        <v>0</v>
      </c>
      <c r="J732" s="7">
        <v>4278</v>
      </c>
      <c r="K732" s="7">
        <f>Tabela1[[#This Row],[Valor Bruto]]-Tabela1[[#This Row],[Valor Venda]]</f>
        <v>0</v>
      </c>
      <c r="L732" s="1">
        <v>44255</v>
      </c>
      <c r="M732" s="1">
        <v>44255</v>
      </c>
      <c r="N732">
        <v>729</v>
      </c>
      <c r="O732">
        <v>6</v>
      </c>
      <c r="P732" t="s">
        <v>22</v>
      </c>
      <c r="Q732">
        <v>0.09</v>
      </c>
      <c r="R732" s="7">
        <v>385.02</v>
      </c>
      <c r="S732">
        <v>1</v>
      </c>
      <c r="T732" t="s">
        <v>109</v>
      </c>
    </row>
    <row r="733" spans="1:20">
      <c r="A733">
        <v>730</v>
      </c>
      <c r="B733" s="1">
        <v>44230</v>
      </c>
      <c r="C733">
        <v>5</v>
      </c>
      <c r="D733" t="s">
        <v>38</v>
      </c>
      <c r="E733" t="s">
        <v>46</v>
      </c>
      <c r="F733" s="8">
        <v>45</v>
      </c>
      <c r="G733" s="7">
        <v>91</v>
      </c>
      <c r="H733" s="7">
        <v>4095</v>
      </c>
      <c r="I733" s="4">
        <v>0.03</v>
      </c>
      <c r="J733" s="7">
        <v>3972.15</v>
      </c>
      <c r="K733" s="7">
        <f>Tabela1[[#This Row],[Valor Bruto]]-Tabela1[[#This Row],[Valor Venda]]</f>
        <v>122.84999999999991</v>
      </c>
      <c r="L733" s="1">
        <v>44253</v>
      </c>
      <c r="M733" s="1">
        <v>44253</v>
      </c>
      <c r="N733">
        <v>730</v>
      </c>
      <c r="O733">
        <v>5</v>
      </c>
      <c r="P733" t="s">
        <v>69</v>
      </c>
      <c r="Q733">
        <v>7.0000000000000007E-2</v>
      </c>
      <c r="R733" s="7">
        <v>278.05050000000006</v>
      </c>
      <c r="S733">
        <v>2</v>
      </c>
      <c r="T733" t="s">
        <v>109</v>
      </c>
    </row>
    <row r="734" spans="1:20">
      <c r="A734">
        <v>731</v>
      </c>
      <c r="B734" s="1">
        <v>44232</v>
      </c>
      <c r="C734">
        <v>31</v>
      </c>
      <c r="D734" t="s">
        <v>85</v>
      </c>
      <c r="E734" t="s">
        <v>41</v>
      </c>
      <c r="F734" s="8">
        <v>50</v>
      </c>
      <c r="G734" s="7">
        <v>104</v>
      </c>
      <c r="H734" s="7">
        <v>5200</v>
      </c>
      <c r="I734" s="4">
        <v>0.15</v>
      </c>
      <c r="J734" s="7">
        <v>4420</v>
      </c>
      <c r="K734" s="7">
        <f>Tabela1[[#This Row],[Valor Bruto]]-Tabela1[[#This Row],[Valor Venda]]</f>
        <v>780</v>
      </c>
      <c r="L734" s="1">
        <v>44252</v>
      </c>
      <c r="M734" s="1">
        <v>44252</v>
      </c>
      <c r="N734">
        <v>731</v>
      </c>
      <c r="O734">
        <v>7</v>
      </c>
      <c r="P734" t="s">
        <v>47</v>
      </c>
      <c r="Q734">
        <v>0.06</v>
      </c>
      <c r="R734" s="7">
        <v>265.2</v>
      </c>
      <c r="S734">
        <v>3</v>
      </c>
      <c r="T734" t="s">
        <v>109</v>
      </c>
    </row>
    <row r="735" spans="1:20">
      <c r="A735">
        <v>732</v>
      </c>
      <c r="B735" s="1">
        <v>44232</v>
      </c>
      <c r="C735">
        <v>72</v>
      </c>
      <c r="D735" t="s">
        <v>38</v>
      </c>
      <c r="E735" t="s">
        <v>21</v>
      </c>
      <c r="F735" s="8">
        <v>32</v>
      </c>
      <c r="G735" s="7">
        <v>99</v>
      </c>
      <c r="H735" s="7">
        <v>3168</v>
      </c>
      <c r="I735" s="4">
        <v>7.0000000000000007E-2</v>
      </c>
      <c r="J735" s="7">
        <v>2946.24</v>
      </c>
      <c r="K735" s="7">
        <f>Tabela1[[#This Row],[Valor Bruto]]-Tabela1[[#This Row],[Valor Venda]]</f>
        <v>221.76000000000022</v>
      </c>
      <c r="L735" s="1">
        <v>44249</v>
      </c>
      <c r="M735" s="1">
        <v>44249</v>
      </c>
      <c r="N735">
        <v>732</v>
      </c>
      <c r="O735">
        <v>5</v>
      </c>
      <c r="P735" t="s">
        <v>25</v>
      </c>
      <c r="Q735">
        <v>7.0000000000000007E-2</v>
      </c>
      <c r="R735" s="7">
        <v>206.23680000000002</v>
      </c>
      <c r="S735">
        <v>4</v>
      </c>
      <c r="T735" t="s">
        <v>109</v>
      </c>
    </row>
    <row r="736" spans="1:20">
      <c r="A736">
        <v>733</v>
      </c>
      <c r="B736" s="1">
        <v>44232</v>
      </c>
      <c r="C736">
        <v>55</v>
      </c>
      <c r="D736" t="s">
        <v>44</v>
      </c>
      <c r="E736" t="s">
        <v>50</v>
      </c>
      <c r="F736" s="8">
        <v>19</v>
      </c>
      <c r="G736" s="7">
        <v>111</v>
      </c>
      <c r="H736" s="7">
        <v>2109</v>
      </c>
      <c r="I736" s="4">
        <v>0.02</v>
      </c>
      <c r="J736" s="7">
        <v>2066.8200000000002</v>
      </c>
      <c r="K736" s="7">
        <f>Tabela1[[#This Row],[Valor Bruto]]-Tabela1[[#This Row],[Valor Venda]]</f>
        <v>42.179999999999836</v>
      </c>
      <c r="L736" s="1">
        <v>44248</v>
      </c>
      <c r="M736" s="1">
        <v>44248</v>
      </c>
      <c r="N736">
        <v>733</v>
      </c>
      <c r="O736">
        <v>4</v>
      </c>
      <c r="P736" t="s">
        <v>43</v>
      </c>
      <c r="Q736">
        <v>0.06</v>
      </c>
      <c r="R736" s="7">
        <v>124.00920000000001</v>
      </c>
      <c r="S736">
        <v>5</v>
      </c>
      <c r="T736" t="s">
        <v>109</v>
      </c>
    </row>
    <row r="737" spans="1:20">
      <c r="A737">
        <v>734</v>
      </c>
      <c r="B737" s="1">
        <v>44232</v>
      </c>
      <c r="C737">
        <v>7</v>
      </c>
      <c r="D737" t="s">
        <v>102</v>
      </c>
      <c r="E737" t="s">
        <v>50</v>
      </c>
      <c r="F737" s="8">
        <v>25</v>
      </c>
      <c r="G737" s="7">
        <v>107</v>
      </c>
      <c r="H737" s="7">
        <v>2675</v>
      </c>
      <c r="I737" s="4">
        <v>0.02</v>
      </c>
      <c r="J737" s="7">
        <v>2621.5</v>
      </c>
      <c r="K737" s="7">
        <f>Tabela1[[#This Row],[Valor Bruto]]-Tabela1[[#This Row],[Valor Venda]]</f>
        <v>53.5</v>
      </c>
      <c r="L737" s="1">
        <v>44259</v>
      </c>
      <c r="M737" s="1">
        <v>44259</v>
      </c>
      <c r="N737">
        <v>734</v>
      </c>
      <c r="O737">
        <v>6</v>
      </c>
      <c r="P737" t="s">
        <v>47</v>
      </c>
      <c r="Q737">
        <v>0.06</v>
      </c>
      <c r="R737" s="7">
        <v>157.29</v>
      </c>
      <c r="S737">
        <v>6</v>
      </c>
      <c r="T737" t="s">
        <v>109</v>
      </c>
    </row>
    <row r="738" spans="1:20">
      <c r="A738">
        <v>735</v>
      </c>
      <c r="B738" s="1">
        <v>44233</v>
      </c>
      <c r="C738">
        <v>19</v>
      </c>
      <c r="D738" t="s">
        <v>38</v>
      </c>
      <c r="E738" t="s">
        <v>50</v>
      </c>
      <c r="F738" s="8">
        <v>20</v>
      </c>
      <c r="G738" s="7">
        <v>107</v>
      </c>
      <c r="H738" s="7">
        <v>2140</v>
      </c>
      <c r="I738" s="4">
        <v>0.05</v>
      </c>
      <c r="J738" s="7">
        <v>2033</v>
      </c>
      <c r="K738" s="7">
        <f>Tabela1[[#This Row],[Valor Bruto]]-Tabela1[[#This Row],[Valor Venda]]</f>
        <v>107</v>
      </c>
      <c r="L738" s="1">
        <v>44241</v>
      </c>
      <c r="M738" s="1">
        <v>44241</v>
      </c>
      <c r="N738">
        <v>735</v>
      </c>
      <c r="O738">
        <v>2</v>
      </c>
      <c r="P738" t="s">
        <v>22</v>
      </c>
      <c r="Q738">
        <v>0.09</v>
      </c>
      <c r="R738" s="7">
        <v>182.97</v>
      </c>
      <c r="S738">
        <v>7</v>
      </c>
      <c r="T738" t="s">
        <v>109</v>
      </c>
    </row>
    <row r="739" spans="1:20">
      <c r="A739">
        <v>736</v>
      </c>
      <c r="B739" s="1">
        <v>44233</v>
      </c>
      <c r="C739">
        <v>7</v>
      </c>
      <c r="D739" t="s">
        <v>102</v>
      </c>
      <c r="E739" t="s">
        <v>31</v>
      </c>
      <c r="F739" s="8">
        <v>27</v>
      </c>
      <c r="G739" s="7">
        <v>112</v>
      </c>
      <c r="H739" s="7">
        <v>3024</v>
      </c>
      <c r="I739" s="4">
        <v>0.04</v>
      </c>
      <c r="J739" s="7">
        <v>2903.04</v>
      </c>
      <c r="K739" s="7">
        <f>Tabela1[[#This Row],[Valor Bruto]]-Tabela1[[#This Row],[Valor Venda]]</f>
        <v>120.96000000000004</v>
      </c>
      <c r="L739" s="1">
        <v>44233</v>
      </c>
      <c r="M739" s="1">
        <v>44233</v>
      </c>
      <c r="N739">
        <v>736</v>
      </c>
      <c r="O739">
        <v>1</v>
      </c>
      <c r="P739" t="s">
        <v>52</v>
      </c>
      <c r="Q739">
        <v>0.09</v>
      </c>
      <c r="R739" s="7">
        <v>261.27359999999999</v>
      </c>
      <c r="S739">
        <v>1</v>
      </c>
      <c r="T739" t="s">
        <v>109</v>
      </c>
    </row>
    <row r="740" spans="1:20">
      <c r="A740">
        <v>737</v>
      </c>
      <c r="B740" s="1">
        <v>44233</v>
      </c>
      <c r="C740">
        <v>47</v>
      </c>
      <c r="D740" t="s">
        <v>40</v>
      </c>
      <c r="E740" t="s">
        <v>54</v>
      </c>
      <c r="F740" s="8">
        <v>28</v>
      </c>
      <c r="G740" s="7">
        <v>113</v>
      </c>
      <c r="H740" s="7">
        <v>3164</v>
      </c>
      <c r="I740" s="4">
        <v>0.04</v>
      </c>
      <c r="J740" s="7">
        <v>3037.44</v>
      </c>
      <c r="K740" s="7">
        <f>Tabela1[[#This Row],[Valor Bruto]]-Tabela1[[#This Row],[Valor Venda]]</f>
        <v>126.55999999999995</v>
      </c>
      <c r="L740" s="1">
        <v>44233</v>
      </c>
      <c r="M740" s="1">
        <v>44233</v>
      </c>
      <c r="N740">
        <v>737</v>
      </c>
      <c r="O740">
        <v>6</v>
      </c>
      <c r="P740" t="s">
        <v>37</v>
      </c>
      <c r="Q740">
        <v>0.09</v>
      </c>
      <c r="R740" s="7">
        <v>273.36959999999999</v>
      </c>
      <c r="S740">
        <v>2</v>
      </c>
      <c r="T740" t="s">
        <v>109</v>
      </c>
    </row>
    <row r="741" spans="1:20">
      <c r="A741">
        <v>738</v>
      </c>
      <c r="B741" s="1">
        <v>44233</v>
      </c>
      <c r="C741">
        <v>48</v>
      </c>
      <c r="D741" t="s">
        <v>61</v>
      </c>
      <c r="E741" t="s">
        <v>54</v>
      </c>
      <c r="F741" s="8">
        <v>33</v>
      </c>
      <c r="G741" s="7">
        <v>110</v>
      </c>
      <c r="H741" s="7">
        <v>3630</v>
      </c>
      <c r="I741" s="4">
        <v>0</v>
      </c>
      <c r="J741" s="7">
        <v>3630</v>
      </c>
      <c r="K741" s="7">
        <f>Tabela1[[#This Row],[Valor Bruto]]-Tabela1[[#This Row],[Valor Venda]]</f>
        <v>0</v>
      </c>
      <c r="L741" s="1">
        <v>44255</v>
      </c>
      <c r="M741" s="1">
        <v>44255</v>
      </c>
      <c r="N741">
        <v>738</v>
      </c>
      <c r="O741">
        <v>4</v>
      </c>
      <c r="P741" t="s">
        <v>69</v>
      </c>
      <c r="Q741">
        <v>7.0000000000000007E-2</v>
      </c>
      <c r="R741" s="7">
        <v>254.10000000000002</v>
      </c>
      <c r="S741">
        <v>3</v>
      </c>
      <c r="T741" t="s">
        <v>109</v>
      </c>
    </row>
    <row r="742" spans="1:20">
      <c r="A742">
        <v>739</v>
      </c>
      <c r="B742" s="1">
        <v>44234</v>
      </c>
      <c r="C742">
        <v>37</v>
      </c>
      <c r="D742" t="s">
        <v>48</v>
      </c>
      <c r="E742" t="s">
        <v>31</v>
      </c>
      <c r="F742" s="8">
        <v>16</v>
      </c>
      <c r="G742" s="7">
        <v>92</v>
      </c>
      <c r="H742" s="7">
        <v>1472</v>
      </c>
      <c r="I742" s="4">
        <v>0.14000000000000001</v>
      </c>
      <c r="J742" s="7">
        <v>1265.92</v>
      </c>
      <c r="K742" s="7">
        <f>Tabela1[[#This Row],[Valor Bruto]]-Tabela1[[#This Row],[Valor Venda]]</f>
        <v>206.07999999999993</v>
      </c>
      <c r="L742" s="1">
        <v>44235</v>
      </c>
      <c r="M742" s="1">
        <v>44235</v>
      </c>
      <c r="N742">
        <v>739</v>
      </c>
      <c r="O742">
        <v>7</v>
      </c>
      <c r="P742" t="s">
        <v>37</v>
      </c>
      <c r="Q742">
        <v>0.08</v>
      </c>
      <c r="R742" s="7">
        <v>101.2736</v>
      </c>
      <c r="S742">
        <v>4</v>
      </c>
      <c r="T742" t="s">
        <v>109</v>
      </c>
    </row>
    <row r="743" spans="1:20">
      <c r="A743">
        <v>740</v>
      </c>
      <c r="B743" s="1">
        <v>44235</v>
      </c>
      <c r="C743">
        <v>65</v>
      </c>
      <c r="D743" t="s">
        <v>64</v>
      </c>
      <c r="E743" t="s">
        <v>50</v>
      </c>
      <c r="F743" s="8">
        <v>15</v>
      </c>
      <c r="G743" s="7">
        <v>99</v>
      </c>
      <c r="H743" s="7">
        <v>1485</v>
      </c>
      <c r="I743" s="4">
        <v>0.12</v>
      </c>
      <c r="J743" s="7">
        <v>1306.8</v>
      </c>
      <c r="K743" s="7">
        <f>Tabela1[[#This Row],[Valor Bruto]]-Tabela1[[#This Row],[Valor Venda]]</f>
        <v>178.20000000000005</v>
      </c>
      <c r="L743" s="1">
        <v>44250</v>
      </c>
      <c r="M743" s="1">
        <v>44250</v>
      </c>
      <c r="N743">
        <v>740</v>
      </c>
      <c r="O743">
        <v>4</v>
      </c>
      <c r="P743" t="s">
        <v>34</v>
      </c>
      <c r="Q743">
        <v>0.06</v>
      </c>
      <c r="R743" s="7">
        <v>78.408000000000001</v>
      </c>
      <c r="S743">
        <v>5</v>
      </c>
      <c r="T743" t="s">
        <v>109</v>
      </c>
    </row>
    <row r="744" spans="1:20">
      <c r="A744">
        <v>741</v>
      </c>
      <c r="B744" s="1">
        <v>44236</v>
      </c>
      <c r="C744">
        <v>7</v>
      </c>
      <c r="D744" t="s">
        <v>102</v>
      </c>
      <c r="E744" t="s">
        <v>46</v>
      </c>
      <c r="F744" s="8">
        <v>44</v>
      </c>
      <c r="G744" s="7">
        <v>101</v>
      </c>
      <c r="H744" s="7">
        <v>4444</v>
      </c>
      <c r="I744" s="4">
        <v>0.08</v>
      </c>
      <c r="J744" s="7">
        <v>4088.48</v>
      </c>
      <c r="K744" s="7">
        <f>Tabela1[[#This Row],[Valor Bruto]]-Tabela1[[#This Row],[Valor Venda]]</f>
        <v>355.52</v>
      </c>
      <c r="L744" s="1">
        <v>44263</v>
      </c>
      <c r="M744" s="1">
        <v>44263</v>
      </c>
      <c r="N744">
        <v>741</v>
      </c>
      <c r="O744">
        <v>1</v>
      </c>
      <c r="P744" t="s">
        <v>22</v>
      </c>
      <c r="Q744">
        <v>0.06</v>
      </c>
      <c r="R744" s="7">
        <v>245.30879999999999</v>
      </c>
      <c r="S744">
        <v>6</v>
      </c>
      <c r="T744" t="s">
        <v>109</v>
      </c>
    </row>
    <row r="745" spans="1:20">
      <c r="A745">
        <v>742</v>
      </c>
      <c r="B745" s="1">
        <v>44236</v>
      </c>
      <c r="C745">
        <v>28</v>
      </c>
      <c r="D745" t="s">
        <v>86</v>
      </c>
      <c r="E745" t="s">
        <v>28</v>
      </c>
      <c r="F745" s="8">
        <v>30</v>
      </c>
      <c r="G745" s="7">
        <v>119</v>
      </c>
      <c r="H745" s="7">
        <v>3570</v>
      </c>
      <c r="I745" s="4">
        <v>0.15</v>
      </c>
      <c r="J745" s="7">
        <v>3034.5</v>
      </c>
      <c r="K745" s="7">
        <f>Tabela1[[#This Row],[Valor Bruto]]-Tabela1[[#This Row],[Valor Venda]]</f>
        <v>535.5</v>
      </c>
      <c r="L745" s="1">
        <v>44265</v>
      </c>
      <c r="M745" s="1">
        <v>44265</v>
      </c>
      <c r="N745">
        <v>742</v>
      </c>
      <c r="O745">
        <v>4</v>
      </c>
      <c r="P745" t="s">
        <v>29</v>
      </c>
      <c r="Q745">
        <v>7.0000000000000007E-2</v>
      </c>
      <c r="R745" s="7">
        <v>212.41500000000002</v>
      </c>
      <c r="S745">
        <v>7</v>
      </c>
      <c r="T745" t="s">
        <v>109</v>
      </c>
    </row>
    <row r="746" spans="1:20">
      <c r="A746">
        <v>743</v>
      </c>
      <c r="B746" s="1">
        <v>44237</v>
      </c>
      <c r="C746">
        <v>23</v>
      </c>
      <c r="D746" t="s">
        <v>105</v>
      </c>
      <c r="E746" t="s">
        <v>46</v>
      </c>
      <c r="F746" s="8">
        <v>19</v>
      </c>
      <c r="G746" s="7">
        <v>98</v>
      </c>
      <c r="H746" s="7">
        <v>1862</v>
      </c>
      <c r="I746" s="4">
        <v>0</v>
      </c>
      <c r="J746" s="7">
        <v>1862</v>
      </c>
      <c r="K746" s="7">
        <f>Tabela1[[#This Row],[Valor Bruto]]-Tabela1[[#This Row],[Valor Venda]]</f>
        <v>0</v>
      </c>
      <c r="L746" s="1">
        <v>44249</v>
      </c>
      <c r="M746" s="1">
        <v>44249</v>
      </c>
      <c r="N746">
        <v>743</v>
      </c>
      <c r="O746">
        <v>5</v>
      </c>
      <c r="P746" t="s">
        <v>37</v>
      </c>
      <c r="Q746">
        <v>7.0000000000000007E-2</v>
      </c>
      <c r="R746" s="7">
        <v>130.34</v>
      </c>
      <c r="S746">
        <v>1</v>
      </c>
      <c r="T746" t="s">
        <v>109</v>
      </c>
    </row>
    <row r="747" spans="1:20">
      <c r="A747">
        <v>744</v>
      </c>
      <c r="B747" s="1">
        <v>44239</v>
      </c>
      <c r="C747">
        <v>29</v>
      </c>
      <c r="D747" t="s">
        <v>98</v>
      </c>
      <c r="E747" t="s">
        <v>50</v>
      </c>
      <c r="F747" s="8">
        <v>49</v>
      </c>
      <c r="G747" s="7">
        <v>92</v>
      </c>
      <c r="H747" s="7">
        <v>4508</v>
      </c>
      <c r="I747" s="4">
        <v>0.02</v>
      </c>
      <c r="J747" s="7">
        <v>4417.84</v>
      </c>
      <c r="K747" s="7">
        <f>Tabela1[[#This Row],[Valor Bruto]]-Tabela1[[#This Row],[Valor Venda]]</f>
        <v>90.159999999999854</v>
      </c>
      <c r="L747" s="1">
        <v>44239</v>
      </c>
      <c r="M747" s="1">
        <v>44239</v>
      </c>
      <c r="N747">
        <v>744</v>
      </c>
      <c r="O747">
        <v>5</v>
      </c>
      <c r="P747" t="s">
        <v>34</v>
      </c>
      <c r="Q747">
        <v>0.08</v>
      </c>
      <c r="R747" s="7">
        <v>353.42720000000003</v>
      </c>
      <c r="S747">
        <v>2</v>
      </c>
      <c r="T747" t="s">
        <v>109</v>
      </c>
    </row>
    <row r="748" spans="1:20">
      <c r="A748">
        <v>745</v>
      </c>
      <c r="B748" s="1">
        <v>44240</v>
      </c>
      <c r="C748">
        <v>42</v>
      </c>
      <c r="D748" t="s">
        <v>92</v>
      </c>
      <c r="E748" t="s">
        <v>24</v>
      </c>
      <c r="F748" s="8">
        <v>19</v>
      </c>
      <c r="G748" s="7">
        <v>92</v>
      </c>
      <c r="H748" s="7">
        <v>1748</v>
      </c>
      <c r="I748" s="4">
        <v>0.03</v>
      </c>
      <c r="J748" s="7">
        <v>1695.56</v>
      </c>
      <c r="K748" s="7">
        <f>Tabela1[[#This Row],[Valor Bruto]]-Tabela1[[#This Row],[Valor Venda]]</f>
        <v>52.440000000000055</v>
      </c>
      <c r="L748" s="1">
        <v>44258</v>
      </c>
      <c r="M748" s="1">
        <v>44258</v>
      </c>
      <c r="N748">
        <v>745</v>
      </c>
      <c r="O748">
        <v>5</v>
      </c>
      <c r="P748" t="s">
        <v>22</v>
      </c>
      <c r="Q748">
        <v>7.0000000000000007E-2</v>
      </c>
      <c r="R748" s="7">
        <v>118.68920000000001</v>
      </c>
      <c r="S748">
        <v>3</v>
      </c>
      <c r="T748" t="s">
        <v>109</v>
      </c>
    </row>
    <row r="749" spans="1:20">
      <c r="A749">
        <v>746</v>
      </c>
      <c r="B749" s="1">
        <v>44241</v>
      </c>
      <c r="C749">
        <v>16</v>
      </c>
      <c r="D749" t="s">
        <v>27</v>
      </c>
      <c r="E749" t="s">
        <v>24</v>
      </c>
      <c r="F749" s="8">
        <v>29</v>
      </c>
      <c r="G749" s="7">
        <v>96</v>
      </c>
      <c r="H749" s="7">
        <v>2784</v>
      </c>
      <c r="I749" s="4">
        <v>7.0000000000000007E-2</v>
      </c>
      <c r="J749" s="7">
        <v>2589.12</v>
      </c>
      <c r="K749" s="7">
        <f>Tabela1[[#This Row],[Valor Bruto]]-Tabela1[[#This Row],[Valor Venda]]</f>
        <v>194.88000000000011</v>
      </c>
      <c r="L749" s="1">
        <v>44266</v>
      </c>
      <c r="M749" s="1">
        <v>44266</v>
      </c>
      <c r="N749">
        <v>746</v>
      </c>
      <c r="O749">
        <v>5</v>
      </c>
      <c r="P749" t="s">
        <v>47</v>
      </c>
      <c r="Q749">
        <v>0.08</v>
      </c>
      <c r="R749" s="7">
        <v>207.12959999999998</v>
      </c>
      <c r="S749">
        <v>4</v>
      </c>
      <c r="T749" t="s">
        <v>109</v>
      </c>
    </row>
    <row r="750" spans="1:20">
      <c r="A750">
        <v>747</v>
      </c>
      <c r="B750" s="1">
        <v>44241</v>
      </c>
      <c r="C750">
        <v>74</v>
      </c>
      <c r="D750" t="s">
        <v>38</v>
      </c>
      <c r="E750" t="s">
        <v>55</v>
      </c>
      <c r="F750" s="8">
        <v>32</v>
      </c>
      <c r="G750" s="7">
        <v>103</v>
      </c>
      <c r="H750" s="7">
        <v>3296</v>
      </c>
      <c r="I750" s="4">
        <v>0.03</v>
      </c>
      <c r="J750" s="7">
        <v>3197.12</v>
      </c>
      <c r="K750" s="7">
        <f>Tabela1[[#This Row],[Valor Bruto]]-Tabela1[[#This Row],[Valor Venda]]</f>
        <v>98.880000000000109</v>
      </c>
      <c r="L750" s="1">
        <v>44243</v>
      </c>
      <c r="M750" s="1">
        <v>44243</v>
      </c>
      <c r="N750">
        <v>747</v>
      </c>
      <c r="O750">
        <v>1</v>
      </c>
      <c r="P750" t="s">
        <v>32</v>
      </c>
      <c r="Q750">
        <v>0.08</v>
      </c>
      <c r="R750" s="7">
        <v>255.7696</v>
      </c>
      <c r="S750">
        <v>5</v>
      </c>
      <c r="T750" t="s">
        <v>109</v>
      </c>
    </row>
    <row r="751" spans="1:20">
      <c r="A751">
        <v>748</v>
      </c>
      <c r="B751" s="1">
        <v>44241</v>
      </c>
      <c r="C751">
        <v>30</v>
      </c>
      <c r="D751" t="s">
        <v>96</v>
      </c>
      <c r="E751" t="s">
        <v>24</v>
      </c>
      <c r="F751" s="8">
        <v>38</v>
      </c>
      <c r="G751" s="7">
        <v>117</v>
      </c>
      <c r="H751" s="7">
        <v>4446</v>
      </c>
      <c r="I751" s="4">
        <v>0.14000000000000001</v>
      </c>
      <c r="J751" s="7">
        <v>3823.56</v>
      </c>
      <c r="K751" s="7">
        <f>Tabela1[[#This Row],[Valor Bruto]]-Tabela1[[#This Row],[Valor Venda]]</f>
        <v>622.44000000000005</v>
      </c>
      <c r="L751" s="1">
        <v>44252</v>
      </c>
      <c r="M751" s="1">
        <v>44252</v>
      </c>
      <c r="N751">
        <v>748</v>
      </c>
      <c r="O751">
        <v>6</v>
      </c>
      <c r="P751" t="s">
        <v>25</v>
      </c>
      <c r="Q751">
        <v>7.0000000000000007E-2</v>
      </c>
      <c r="R751" s="7">
        <v>267.64920000000001</v>
      </c>
      <c r="S751">
        <v>6</v>
      </c>
      <c r="T751" t="s">
        <v>109</v>
      </c>
    </row>
    <row r="752" spans="1:20">
      <c r="A752">
        <v>749</v>
      </c>
      <c r="B752" s="1">
        <v>44242</v>
      </c>
      <c r="C752">
        <v>94</v>
      </c>
      <c r="D752" t="s">
        <v>49</v>
      </c>
      <c r="E752" t="s">
        <v>46</v>
      </c>
      <c r="F752" s="8">
        <v>18</v>
      </c>
      <c r="G752" s="7">
        <v>97</v>
      </c>
      <c r="H752" s="7">
        <v>1746</v>
      </c>
      <c r="I752" s="4">
        <v>0.06</v>
      </c>
      <c r="J752" s="7">
        <v>1641.24</v>
      </c>
      <c r="K752" s="7">
        <f>Tabela1[[#This Row],[Valor Bruto]]-Tabela1[[#This Row],[Valor Venda]]</f>
        <v>104.75999999999999</v>
      </c>
      <c r="L752" s="1">
        <v>44272</v>
      </c>
      <c r="M752" s="1">
        <v>44272</v>
      </c>
      <c r="N752">
        <v>749</v>
      </c>
      <c r="O752">
        <v>7</v>
      </c>
      <c r="P752" t="s">
        <v>37</v>
      </c>
      <c r="Q752">
        <v>0.08</v>
      </c>
      <c r="R752" s="7">
        <v>131.29920000000001</v>
      </c>
      <c r="S752">
        <v>7</v>
      </c>
      <c r="T752" t="s">
        <v>109</v>
      </c>
    </row>
    <row r="753" spans="1:20">
      <c r="A753">
        <v>750</v>
      </c>
      <c r="B753" s="1">
        <v>44242</v>
      </c>
      <c r="C753">
        <v>62</v>
      </c>
      <c r="D753" t="s">
        <v>38</v>
      </c>
      <c r="E753" t="s">
        <v>59</v>
      </c>
      <c r="F753" s="8">
        <v>47</v>
      </c>
      <c r="G753" s="7">
        <v>90</v>
      </c>
      <c r="H753" s="7">
        <v>4230</v>
      </c>
      <c r="I753" s="4">
        <v>0.06</v>
      </c>
      <c r="J753" s="7">
        <v>3976.2</v>
      </c>
      <c r="K753" s="7">
        <f>Tabela1[[#This Row],[Valor Bruto]]-Tabela1[[#This Row],[Valor Venda]]</f>
        <v>253.80000000000018</v>
      </c>
      <c r="L753" s="1">
        <v>44266</v>
      </c>
      <c r="M753" s="1">
        <v>44266</v>
      </c>
      <c r="N753">
        <v>750</v>
      </c>
      <c r="O753">
        <v>7</v>
      </c>
      <c r="P753" t="s">
        <v>69</v>
      </c>
      <c r="Q753">
        <v>0.05</v>
      </c>
      <c r="R753" s="7">
        <v>198.81</v>
      </c>
      <c r="S753">
        <v>1</v>
      </c>
      <c r="T753" t="s">
        <v>109</v>
      </c>
    </row>
    <row r="754" spans="1:20">
      <c r="A754">
        <v>751</v>
      </c>
      <c r="B754" s="1">
        <v>44243</v>
      </c>
      <c r="C754">
        <v>12</v>
      </c>
      <c r="D754" t="s">
        <v>45</v>
      </c>
      <c r="E754" t="s">
        <v>54</v>
      </c>
      <c r="F754" s="8">
        <v>49</v>
      </c>
      <c r="G754" s="7">
        <v>117</v>
      </c>
      <c r="H754" s="7">
        <v>5733</v>
      </c>
      <c r="I754" s="4">
        <v>0.04</v>
      </c>
      <c r="J754" s="7">
        <v>5503.68</v>
      </c>
      <c r="K754" s="7">
        <f>Tabela1[[#This Row],[Valor Bruto]]-Tabela1[[#This Row],[Valor Venda]]</f>
        <v>229.31999999999971</v>
      </c>
      <c r="L754" s="1">
        <v>44273</v>
      </c>
      <c r="M754" s="1">
        <v>44273</v>
      </c>
      <c r="N754">
        <v>751</v>
      </c>
      <c r="O754">
        <v>1</v>
      </c>
      <c r="P754" t="s">
        <v>32</v>
      </c>
      <c r="Q754">
        <v>0.09</v>
      </c>
      <c r="R754" s="7">
        <v>495.33120000000002</v>
      </c>
      <c r="S754">
        <v>2</v>
      </c>
      <c r="T754" t="s">
        <v>109</v>
      </c>
    </row>
    <row r="755" spans="1:20">
      <c r="A755">
        <v>752</v>
      </c>
      <c r="B755" s="1">
        <v>44244</v>
      </c>
      <c r="C755">
        <v>54</v>
      </c>
      <c r="D755" t="s">
        <v>79</v>
      </c>
      <c r="E755" t="s">
        <v>54</v>
      </c>
      <c r="F755" s="8">
        <v>49</v>
      </c>
      <c r="G755" s="7">
        <v>115</v>
      </c>
      <c r="H755" s="7">
        <v>5635</v>
      </c>
      <c r="I755" s="4">
        <v>0.15</v>
      </c>
      <c r="J755" s="7">
        <v>4789.75</v>
      </c>
      <c r="K755" s="7">
        <f>Tabela1[[#This Row],[Valor Bruto]]-Tabela1[[#This Row],[Valor Venda]]</f>
        <v>845.25</v>
      </c>
      <c r="L755" s="1">
        <v>44270</v>
      </c>
      <c r="M755" s="1">
        <v>44270</v>
      </c>
      <c r="N755">
        <v>752</v>
      </c>
      <c r="O755">
        <v>3</v>
      </c>
      <c r="P755" t="s">
        <v>37</v>
      </c>
      <c r="Q755">
        <v>0.08</v>
      </c>
      <c r="R755" s="7">
        <v>383.18</v>
      </c>
      <c r="S755">
        <v>3</v>
      </c>
      <c r="T755" t="s">
        <v>109</v>
      </c>
    </row>
    <row r="756" spans="1:20">
      <c r="A756">
        <v>753</v>
      </c>
      <c r="B756" s="1">
        <v>44245</v>
      </c>
      <c r="C756">
        <v>84</v>
      </c>
      <c r="D756" t="s">
        <v>44</v>
      </c>
      <c r="E756" t="s">
        <v>54</v>
      </c>
      <c r="F756" s="8">
        <v>11</v>
      </c>
      <c r="G756" s="7">
        <v>113</v>
      </c>
      <c r="H756" s="7">
        <v>1243</v>
      </c>
      <c r="I756" s="4">
        <v>0.13</v>
      </c>
      <c r="J756" s="7">
        <v>1081.4100000000001</v>
      </c>
      <c r="K756" s="7">
        <f>Tabela1[[#This Row],[Valor Bruto]]-Tabela1[[#This Row],[Valor Venda]]</f>
        <v>161.58999999999992</v>
      </c>
      <c r="L756" s="1">
        <v>44265</v>
      </c>
      <c r="M756" s="1">
        <v>44265</v>
      </c>
      <c r="N756">
        <v>753</v>
      </c>
      <c r="O756">
        <v>1</v>
      </c>
      <c r="P756" t="s">
        <v>25</v>
      </c>
      <c r="Q756">
        <v>7.0000000000000007E-2</v>
      </c>
      <c r="R756" s="7">
        <v>75.698700000000017</v>
      </c>
      <c r="S756">
        <v>4</v>
      </c>
      <c r="T756" t="s">
        <v>109</v>
      </c>
    </row>
    <row r="757" spans="1:20">
      <c r="A757">
        <v>754</v>
      </c>
      <c r="B757" s="1">
        <v>44245</v>
      </c>
      <c r="C757">
        <v>79</v>
      </c>
      <c r="D757" t="s">
        <v>33</v>
      </c>
      <c r="E757" t="s">
        <v>31</v>
      </c>
      <c r="F757" s="8">
        <v>19</v>
      </c>
      <c r="G757" s="7">
        <v>115</v>
      </c>
      <c r="H757" s="7">
        <v>2185</v>
      </c>
      <c r="I757" s="4">
        <v>7.0000000000000007E-2</v>
      </c>
      <c r="J757" s="7">
        <v>2032.05</v>
      </c>
      <c r="K757" s="7">
        <f>Tabela1[[#This Row],[Valor Bruto]]-Tabela1[[#This Row],[Valor Venda]]</f>
        <v>152.95000000000005</v>
      </c>
      <c r="L757" s="1">
        <v>44271</v>
      </c>
      <c r="M757" s="1">
        <v>44271</v>
      </c>
      <c r="N757">
        <v>754</v>
      </c>
      <c r="O757">
        <v>5</v>
      </c>
      <c r="P757" t="s">
        <v>37</v>
      </c>
      <c r="Q757">
        <v>0.05</v>
      </c>
      <c r="R757" s="7">
        <v>101.60250000000001</v>
      </c>
      <c r="S757">
        <v>5</v>
      </c>
      <c r="T757" t="s">
        <v>109</v>
      </c>
    </row>
    <row r="758" spans="1:20">
      <c r="A758">
        <v>755</v>
      </c>
      <c r="B758" s="1">
        <v>44246</v>
      </c>
      <c r="C758">
        <v>93</v>
      </c>
      <c r="D758" t="s">
        <v>33</v>
      </c>
      <c r="E758" t="s">
        <v>50</v>
      </c>
      <c r="F758" s="8">
        <v>44</v>
      </c>
      <c r="G758" s="7">
        <v>105</v>
      </c>
      <c r="H758" s="7">
        <v>4620</v>
      </c>
      <c r="I758" s="4">
        <v>0.04</v>
      </c>
      <c r="J758" s="7">
        <v>4435.2</v>
      </c>
      <c r="K758" s="7">
        <f>Tabela1[[#This Row],[Valor Bruto]]-Tabela1[[#This Row],[Valor Venda]]</f>
        <v>184.80000000000018</v>
      </c>
      <c r="L758" s="1">
        <v>44269</v>
      </c>
      <c r="M758" s="1">
        <v>44269</v>
      </c>
      <c r="N758">
        <v>755</v>
      </c>
      <c r="O758">
        <v>4</v>
      </c>
      <c r="P758" t="s">
        <v>25</v>
      </c>
      <c r="Q758">
        <v>7.0000000000000007E-2</v>
      </c>
      <c r="R758" s="7">
        <v>310.464</v>
      </c>
      <c r="S758">
        <v>6</v>
      </c>
      <c r="T758" t="s">
        <v>109</v>
      </c>
    </row>
    <row r="759" spans="1:20">
      <c r="A759">
        <v>756</v>
      </c>
      <c r="B759" s="1">
        <v>44246</v>
      </c>
      <c r="C759">
        <v>83</v>
      </c>
      <c r="D759" t="s">
        <v>100</v>
      </c>
      <c r="E759" t="s">
        <v>46</v>
      </c>
      <c r="F759" s="8">
        <v>20</v>
      </c>
      <c r="G759" s="7">
        <v>90</v>
      </c>
      <c r="H759" s="7">
        <v>1800</v>
      </c>
      <c r="I759" s="4">
        <v>0</v>
      </c>
      <c r="J759" s="7">
        <v>1800</v>
      </c>
      <c r="K759" s="7">
        <f>Tabela1[[#This Row],[Valor Bruto]]-Tabela1[[#This Row],[Valor Venda]]</f>
        <v>0</v>
      </c>
      <c r="L759" s="1">
        <v>44258</v>
      </c>
      <c r="M759" s="1">
        <v>44258</v>
      </c>
      <c r="N759">
        <v>756</v>
      </c>
      <c r="O759">
        <v>6</v>
      </c>
      <c r="P759" t="s">
        <v>37</v>
      </c>
      <c r="Q759">
        <v>0.05</v>
      </c>
      <c r="R759" s="7">
        <v>90</v>
      </c>
      <c r="S759">
        <v>7</v>
      </c>
      <c r="T759" t="s">
        <v>109</v>
      </c>
    </row>
    <row r="760" spans="1:20">
      <c r="A760">
        <v>757</v>
      </c>
      <c r="B760" s="1">
        <v>44246</v>
      </c>
      <c r="C760">
        <v>87</v>
      </c>
      <c r="D760" t="s">
        <v>40</v>
      </c>
      <c r="E760" t="s">
        <v>50</v>
      </c>
      <c r="F760" s="8">
        <v>39</v>
      </c>
      <c r="G760" s="7">
        <v>105</v>
      </c>
      <c r="H760" s="7">
        <v>4095</v>
      </c>
      <c r="I760" s="4">
        <v>0.08</v>
      </c>
      <c r="J760" s="7">
        <v>3767.4</v>
      </c>
      <c r="K760" s="7">
        <f>Tabela1[[#This Row],[Valor Bruto]]-Tabela1[[#This Row],[Valor Venda]]</f>
        <v>327.59999999999991</v>
      </c>
      <c r="L760" s="1">
        <v>44255</v>
      </c>
      <c r="M760" s="1">
        <v>44255</v>
      </c>
      <c r="N760">
        <v>757</v>
      </c>
      <c r="O760">
        <v>7</v>
      </c>
      <c r="P760" t="s">
        <v>25</v>
      </c>
      <c r="Q760">
        <v>0.08</v>
      </c>
      <c r="R760" s="7">
        <v>301.392</v>
      </c>
      <c r="S760">
        <v>1</v>
      </c>
      <c r="T760" t="s">
        <v>109</v>
      </c>
    </row>
    <row r="761" spans="1:20">
      <c r="A761">
        <v>758</v>
      </c>
      <c r="B761" s="1">
        <v>44246</v>
      </c>
      <c r="C761">
        <v>34</v>
      </c>
      <c r="D761" t="s">
        <v>58</v>
      </c>
      <c r="E761" t="s">
        <v>24</v>
      </c>
      <c r="F761" s="8">
        <v>14</v>
      </c>
      <c r="G761" s="7">
        <v>106</v>
      </c>
      <c r="H761" s="7">
        <v>1484</v>
      </c>
      <c r="I761" s="4">
        <v>0.12</v>
      </c>
      <c r="J761" s="7">
        <v>1305.92</v>
      </c>
      <c r="K761" s="7">
        <f>Tabela1[[#This Row],[Valor Bruto]]-Tabela1[[#This Row],[Valor Venda]]</f>
        <v>178.07999999999993</v>
      </c>
      <c r="L761" s="1">
        <v>44251</v>
      </c>
      <c r="M761" s="1">
        <v>44251</v>
      </c>
      <c r="N761">
        <v>758</v>
      </c>
      <c r="O761">
        <v>1</v>
      </c>
      <c r="P761" t="s">
        <v>25</v>
      </c>
      <c r="Q761">
        <v>0.1</v>
      </c>
      <c r="R761" s="7">
        <v>130.59200000000001</v>
      </c>
      <c r="S761">
        <v>2</v>
      </c>
      <c r="T761" t="s">
        <v>109</v>
      </c>
    </row>
    <row r="762" spans="1:20">
      <c r="A762">
        <v>759</v>
      </c>
      <c r="B762" s="1">
        <v>44247</v>
      </c>
      <c r="C762">
        <v>94</v>
      </c>
      <c r="D762" t="s">
        <v>49</v>
      </c>
      <c r="E762" t="s">
        <v>31</v>
      </c>
      <c r="F762" s="8">
        <v>12</v>
      </c>
      <c r="G762" s="7">
        <v>90</v>
      </c>
      <c r="H762" s="7">
        <v>1080</v>
      </c>
      <c r="I762" s="4">
        <v>0.05</v>
      </c>
      <c r="J762" s="7">
        <v>1026</v>
      </c>
      <c r="K762" s="7">
        <f>Tabela1[[#This Row],[Valor Bruto]]-Tabela1[[#This Row],[Valor Venda]]</f>
        <v>54</v>
      </c>
      <c r="L762" s="1">
        <v>44256</v>
      </c>
      <c r="M762" s="1">
        <v>44256</v>
      </c>
      <c r="N762">
        <v>759</v>
      </c>
      <c r="O762">
        <v>7</v>
      </c>
      <c r="P762" t="s">
        <v>69</v>
      </c>
      <c r="Q762">
        <v>0.08</v>
      </c>
      <c r="R762" s="7">
        <v>82.08</v>
      </c>
      <c r="S762">
        <v>3</v>
      </c>
      <c r="T762" t="s">
        <v>109</v>
      </c>
    </row>
    <row r="763" spans="1:20">
      <c r="A763">
        <v>760</v>
      </c>
      <c r="B763" s="1">
        <v>44247</v>
      </c>
      <c r="C763">
        <v>84</v>
      </c>
      <c r="D763" t="s">
        <v>44</v>
      </c>
      <c r="E763" t="s">
        <v>24</v>
      </c>
      <c r="F763" s="8">
        <v>27</v>
      </c>
      <c r="G763" s="7">
        <v>100</v>
      </c>
      <c r="H763" s="7">
        <v>2700</v>
      </c>
      <c r="I763" s="4">
        <v>0.11</v>
      </c>
      <c r="J763" s="7">
        <v>2403</v>
      </c>
      <c r="K763" s="7">
        <f>Tabela1[[#This Row],[Valor Bruto]]-Tabela1[[#This Row],[Valor Venda]]</f>
        <v>297</v>
      </c>
      <c r="L763" s="1">
        <v>44261</v>
      </c>
      <c r="M763" s="1">
        <v>44261</v>
      </c>
      <c r="N763">
        <v>760</v>
      </c>
      <c r="O763">
        <v>3</v>
      </c>
      <c r="P763" t="s">
        <v>43</v>
      </c>
      <c r="Q763">
        <v>7.0000000000000007E-2</v>
      </c>
      <c r="R763" s="7">
        <v>168.21</v>
      </c>
      <c r="S763">
        <v>4</v>
      </c>
      <c r="T763" t="s">
        <v>109</v>
      </c>
    </row>
    <row r="764" spans="1:20">
      <c r="A764">
        <v>761</v>
      </c>
      <c r="B764" s="1">
        <v>44248</v>
      </c>
      <c r="C764">
        <v>74</v>
      </c>
      <c r="D764" t="s">
        <v>38</v>
      </c>
      <c r="E764" t="s">
        <v>46</v>
      </c>
      <c r="F764" s="8">
        <v>27</v>
      </c>
      <c r="G764" s="7">
        <v>90</v>
      </c>
      <c r="H764" s="7">
        <v>2430</v>
      </c>
      <c r="I764" s="4">
        <v>0.14000000000000001</v>
      </c>
      <c r="J764" s="7">
        <v>2089.8000000000002</v>
      </c>
      <c r="K764" s="7">
        <f>Tabela1[[#This Row],[Valor Bruto]]-Tabela1[[#This Row],[Valor Venda]]</f>
        <v>340.19999999999982</v>
      </c>
      <c r="L764" s="1">
        <v>44248</v>
      </c>
      <c r="M764" s="1">
        <v>44248</v>
      </c>
      <c r="N764">
        <v>761</v>
      </c>
      <c r="O764">
        <v>5</v>
      </c>
      <c r="P764" t="s">
        <v>29</v>
      </c>
      <c r="Q764">
        <v>0.08</v>
      </c>
      <c r="R764" s="7">
        <v>167.18400000000003</v>
      </c>
      <c r="S764">
        <v>5</v>
      </c>
      <c r="T764" t="s">
        <v>109</v>
      </c>
    </row>
    <row r="765" spans="1:20">
      <c r="A765">
        <v>762</v>
      </c>
      <c r="B765" s="1">
        <v>44248</v>
      </c>
      <c r="C765">
        <v>26</v>
      </c>
      <c r="D765" t="s">
        <v>95</v>
      </c>
      <c r="E765" t="s">
        <v>28</v>
      </c>
      <c r="F765" s="8">
        <v>48</v>
      </c>
      <c r="G765" s="7">
        <v>96</v>
      </c>
      <c r="H765" s="7">
        <v>4608</v>
      </c>
      <c r="I765" s="4">
        <v>0.13</v>
      </c>
      <c r="J765" s="7">
        <v>4008.96</v>
      </c>
      <c r="K765" s="7">
        <f>Tabela1[[#This Row],[Valor Bruto]]-Tabela1[[#This Row],[Valor Venda]]</f>
        <v>599.04</v>
      </c>
      <c r="L765" s="1">
        <v>44278</v>
      </c>
      <c r="M765" s="1">
        <v>44278</v>
      </c>
      <c r="N765">
        <v>762</v>
      </c>
      <c r="O765">
        <v>2</v>
      </c>
      <c r="P765" t="s">
        <v>47</v>
      </c>
      <c r="Q765">
        <v>7.0000000000000007E-2</v>
      </c>
      <c r="R765" s="7">
        <v>280.62720000000002</v>
      </c>
      <c r="S765">
        <v>6</v>
      </c>
      <c r="T765" t="s">
        <v>109</v>
      </c>
    </row>
    <row r="766" spans="1:20">
      <c r="A766">
        <v>763</v>
      </c>
      <c r="B766" s="1">
        <v>44248</v>
      </c>
      <c r="C766">
        <v>53</v>
      </c>
      <c r="D766" t="s">
        <v>88</v>
      </c>
      <c r="E766" t="s">
        <v>50</v>
      </c>
      <c r="F766" s="8">
        <v>41</v>
      </c>
      <c r="G766" s="7">
        <v>100</v>
      </c>
      <c r="H766" s="7">
        <v>4100</v>
      </c>
      <c r="I766" s="4">
        <v>0</v>
      </c>
      <c r="J766" s="7">
        <v>4100</v>
      </c>
      <c r="K766" s="7">
        <f>Tabela1[[#This Row],[Valor Bruto]]-Tabela1[[#This Row],[Valor Venda]]</f>
        <v>0</v>
      </c>
      <c r="L766" s="1">
        <v>44271</v>
      </c>
      <c r="M766" s="1">
        <v>44271</v>
      </c>
      <c r="N766">
        <v>763</v>
      </c>
      <c r="O766">
        <v>5</v>
      </c>
      <c r="P766" t="s">
        <v>43</v>
      </c>
      <c r="Q766">
        <v>0.06</v>
      </c>
      <c r="R766" s="7">
        <v>246</v>
      </c>
      <c r="S766">
        <v>7</v>
      </c>
      <c r="T766" t="s">
        <v>109</v>
      </c>
    </row>
    <row r="767" spans="1:20">
      <c r="A767">
        <v>764</v>
      </c>
      <c r="B767" s="1">
        <v>44248</v>
      </c>
      <c r="C767">
        <v>65</v>
      </c>
      <c r="D767" t="s">
        <v>64</v>
      </c>
      <c r="E767" t="s">
        <v>31</v>
      </c>
      <c r="F767" s="8">
        <v>45</v>
      </c>
      <c r="G767" s="7">
        <v>112</v>
      </c>
      <c r="H767" s="7">
        <v>5040</v>
      </c>
      <c r="I767" s="4">
        <v>0.05</v>
      </c>
      <c r="J767" s="7">
        <v>4788</v>
      </c>
      <c r="K767" s="7">
        <f>Tabela1[[#This Row],[Valor Bruto]]-Tabela1[[#This Row],[Valor Venda]]</f>
        <v>252</v>
      </c>
      <c r="L767" s="1">
        <v>44249</v>
      </c>
      <c r="M767" s="1">
        <v>44249</v>
      </c>
      <c r="N767">
        <v>764</v>
      </c>
      <c r="O767">
        <v>3</v>
      </c>
      <c r="P767" t="s">
        <v>25</v>
      </c>
      <c r="Q767">
        <v>0.09</v>
      </c>
      <c r="R767" s="7">
        <v>430.91999999999996</v>
      </c>
      <c r="S767">
        <v>1</v>
      </c>
      <c r="T767" t="s">
        <v>109</v>
      </c>
    </row>
    <row r="768" spans="1:20">
      <c r="A768">
        <v>765</v>
      </c>
      <c r="B768" s="1">
        <v>44248</v>
      </c>
      <c r="C768">
        <v>18</v>
      </c>
      <c r="D768" t="s">
        <v>83</v>
      </c>
      <c r="E768" t="s">
        <v>31</v>
      </c>
      <c r="F768" s="8">
        <v>20</v>
      </c>
      <c r="G768" s="7">
        <v>92</v>
      </c>
      <c r="H768" s="7">
        <v>1840</v>
      </c>
      <c r="I768" s="4">
        <v>0.15</v>
      </c>
      <c r="J768" s="7">
        <v>1564</v>
      </c>
      <c r="K768" s="7">
        <f>Tabela1[[#This Row],[Valor Bruto]]-Tabela1[[#This Row],[Valor Venda]]</f>
        <v>276</v>
      </c>
      <c r="L768" s="1">
        <v>44270</v>
      </c>
      <c r="M768" s="1">
        <v>44270</v>
      </c>
      <c r="N768">
        <v>765</v>
      </c>
      <c r="O768">
        <v>3</v>
      </c>
      <c r="P768" t="s">
        <v>34</v>
      </c>
      <c r="Q768">
        <v>0.05</v>
      </c>
      <c r="R768" s="7">
        <v>78.2</v>
      </c>
      <c r="S768">
        <v>2</v>
      </c>
      <c r="T768" t="s">
        <v>109</v>
      </c>
    </row>
    <row r="769" spans="1:20">
      <c r="A769">
        <v>766</v>
      </c>
      <c r="B769" s="1">
        <v>44248</v>
      </c>
      <c r="C769">
        <v>94</v>
      </c>
      <c r="D769" t="s">
        <v>49</v>
      </c>
      <c r="E769" t="s">
        <v>31</v>
      </c>
      <c r="F769" s="8">
        <v>28</v>
      </c>
      <c r="G769" s="7">
        <v>105</v>
      </c>
      <c r="H769" s="7">
        <v>2940</v>
      </c>
      <c r="I769" s="4">
        <v>0.02</v>
      </c>
      <c r="J769" s="7">
        <v>2881.2</v>
      </c>
      <c r="K769" s="7">
        <f>Tabela1[[#This Row],[Valor Bruto]]-Tabela1[[#This Row],[Valor Venda]]</f>
        <v>58.800000000000182</v>
      </c>
      <c r="L769" s="1">
        <v>44250</v>
      </c>
      <c r="M769" s="1">
        <v>44250</v>
      </c>
      <c r="N769">
        <v>766</v>
      </c>
      <c r="O769">
        <v>5</v>
      </c>
      <c r="P769" t="s">
        <v>25</v>
      </c>
      <c r="Q769">
        <v>0.1</v>
      </c>
      <c r="R769" s="7">
        <v>288.12</v>
      </c>
      <c r="S769">
        <v>3</v>
      </c>
      <c r="T769" t="s">
        <v>109</v>
      </c>
    </row>
    <row r="770" spans="1:20">
      <c r="A770">
        <v>767</v>
      </c>
      <c r="B770" s="1">
        <v>44249</v>
      </c>
      <c r="C770">
        <v>38</v>
      </c>
      <c r="D770" t="s">
        <v>73</v>
      </c>
      <c r="E770" t="s">
        <v>46</v>
      </c>
      <c r="F770" s="8">
        <v>38</v>
      </c>
      <c r="G770" s="7">
        <v>119</v>
      </c>
      <c r="H770" s="7">
        <v>4522</v>
      </c>
      <c r="I770" s="4">
        <v>0.04</v>
      </c>
      <c r="J770" s="7">
        <v>4341.12</v>
      </c>
      <c r="K770" s="7">
        <f>Tabela1[[#This Row],[Valor Bruto]]-Tabela1[[#This Row],[Valor Venda]]</f>
        <v>180.88000000000011</v>
      </c>
      <c r="L770" s="1">
        <v>44259</v>
      </c>
      <c r="M770" s="1">
        <v>44259</v>
      </c>
      <c r="N770">
        <v>767</v>
      </c>
      <c r="O770">
        <v>4</v>
      </c>
      <c r="P770" t="s">
        <v>32</v>
      </c>
      <c r="Q770">
        <v>0.06</v>
      </c>
      <c r="R770" s="7">
        <v>260.46719999999999</v>
      </c>
      <c r="S770">
        <v>4</v>
      </c>
      <c r="T770" t="s">
        <v>109</v>
      </c>
    </row>
    <row r="771" spans="1:20">
      <c r="A771">
        <v>768</v>
      </c>
      <c r="B771" s="1">
        <v>44249</v>
      </c>
      <c r="C771">
        <v>23</v>
      </c>
      <c r="D771" t="s">
        <v>105</v>
      </c>
      <c r="E771" t="s">
        <v>46</v>
      </c>
      <c r="F771" s="8">
        <v>29</v>
      </c>
      <c r="G771" s="7">
        <v>109</v>
      </c>
      <c r="H771" s="7">
        <v>3161</v>
      </c>
      <c r="I771" s="4">
        <v>0.09</v>
      </c>
      <c r="J771" s="7">
        <v>2876.51</v>
      </c>
      <c r="K771" s="7">
        <f>Tabela1[[#This Row],[Valor Bruto]]-Tabela1[[#This Row],[Valor Venda]]</f>
        <v>284.48999999999978</v>
      </c>
      <c r="L771" s="1">
        <v>44278</v>
      </c>
      <c r="M771" s="1">
        <v>44278</v>
      </c>
      <c r="N771">
        <v>768</v>
      </c>
      <c r="O771">
        <v>3</v>
      </c>
      <c r="P771" t="s">
        <v>22</v>
      </c>
      <c r="Q771">
        <v>0.05</v>
      </c>
      <c r="R771" s="7">
        <v>143.82550000000001</v>
      </c>
      <c r="S771">
        <v>5</v>
      </c>
      <c r="T771" t="s">
        <v>109</v>
      </c>
    </row>
    <row r="772" spans="1:20">
      <c r="A772">
        <v>769</v>
      </c>
      <c r="B772" s="1">
        <v>44249</v>
      </c>
      <c r="C772">
        <v>89</v>
      </c>
      <c r="D772" t="s">
        <v>49</v>
      </c>
      <c r="E772" t="s">
        <v>31</v>
      </c>
      <c r="F772" s="8">
        <v>11</v>
      </c>
      <c r="G772" s="7">
        <v>106</v>
      </c>
      <c r="H772" s="7">
        <v>1166</v>
      </c>
      <c r="I772" s="4">
        <v>0.06</v>
      </c>
      <c r="J772" s="7">
        <v>1096.04</v>
      </c>
      <c r="K772" s="7">
        <f>Tabela1[[#This Row],[Valor Bruto]]-Tabela1[[#This Row],[Valor Venda]]</f>
        <v>69.960000000000036</v>
      </c>
      <c r="L772" s="1">
        <v>44279</v>
      </c>
      <c r="M772" s="1">
        <v>44279</v>
      </c>
      <c r="N772">
        <v>769</v>
      </c>
      <c r="O772">
        <v>7</v>
      </c>
      <c r="P772" t="s">
        <v>34</v>
      </c>
      <c r="Q772">
        <v>0.05</v>
      </c>
      <c r="R772" s="7">
        <v>54.802</v>
      </c>
      <c r="S772">
        <v>6</v>
      </c>
      <c r="T772" t="s">
        <v>109</v>
      </c>
    </row>
    <row r="773" spans="1:20">
      <c r="A773">
        <v>770</v>
      </c>
      <c r="B773" s="1">
        <v>44250</v>
      </c>
      <c r="C773">
        <v>96</v>
      </c>
      <c r="D773" t="s">
        <v>42</v>
      </c>
      <c r="E773" t="s">
        <v>55</v>
      </c>
      <c r="F773" s="8">
        <v>20</v>
      </c>
      <c r="G773" s="7">
        <v>102</v>
      </c>
      <c r="H773" s="7">
        <v>2040</v>
      </c>
      <c r="I773" s="4">
        <v>0.08</v>
      </c>
      <c r="J773" s="7">
        <v>1876.8</v>
      </c>
      <c r="K773" s="7">
        <f>Tabela1[[#This Row],[Valor Bruto]]-Tabela1[[#This Row],[Valor Venda]]</f>
        <v>163.20000000000005</v>
      </c>
      <c r="L773" s="1">
        <v>44267</v>
      </c>
      <c r="M773" s="1">
        <v>44267</v>
      </c>
      <c r="N773">
        <v>770</v>
      </c>
      <c r="O773">
        <v>5</v>
      </c>
      <c r="P773" t="s">
        <v>47</v>
      </c>
      <c r="Q773">
        <v>0.08</v>
      </c>
      <c r="R773" s="7">
        <v>150.14400000000001</v>
      </c>
      <c r="S773">
        <v>7</v>
      </c>
      <c r="T773" t="s">
        <v>109</v>
      </c>
    </row>
    <row r="774" spans="1:20">
      <c r="A774">
        <v>771</v>
      </c>
      <c r="B774" s="1">
        <v>44250</v>
      </c>
      <c r="C774">
        <v>86</v>
      </c>
      <c r="D774" t="s">
        <v>90</v>
      </c>
      <c r="E774" t="s">
        <v>28</v>
      </c>
      <c r="F774" s="8">
        <v>33</v>
      </c>
      <c r="G774" s="7">
        <v>118</v>
      </c>
      <c r="H774" s="7">
        <v>3894</v>
      </c>
      <c r="I774" s="4">
        <v>0.09</v>
      </c>
      <c r="J774" s="7">
        <v>3543.54</v>
      </c>
      <c r="K774" s="7">
        <f>Tabela1[[#This Row],[Valor Bruto]]-Tabela1[[#This Row],[Valor Venda]]</f>
        <v>350.46000000000004</v>
      </c>
      <c r="L774" s="1">
        <v>44260</v>
      </c>
      <c r="M774" s="1">
        <v>44260</v>
      </c>
      <c r="N774">
        <v>771</v>
      </c>
      <c r="O774">
        <v>7</v>
      </c>
      <c r="P774" t="s">
        <v>43</v>
      </c>
      <c r="Q774">
        <v>0.05</v>
      </c>
      <c r="R774" s="7">
        <v>177.17700000000002</v>
      </c>
      <c r="S774">
        <v>1</v>
      </c>
      <c r="T774" t="s">
        <v>109</v>
      </c>
    </row>
    <row r="775" spans="1:20">
      <c r="A775">
        <v>772</v>
      </c>
      <c r="B775" s="1">
        <v>44251</v>
      </c>
      <c r="C775">
        <v>51</v>
      </c>
      <c r="D775" t="s">
        <v>53</v>
      </c>
      <c r="E775" t="s">
        <v>28</v>
      </c>
      <c r="F775" s="8">
        <v>19</v>
      </c>
      <c r="G775" s="7">
        <v>99</v>
      </c>
      <c r="H775" s="7">
        <v>1881</v>
      </c>
      <c r="I775" s="4">
        <v>0.06</v>
      </c>
      <c r="J775" s="7">
        <v>1768.14</v>
      </c>
      <c r="K775" s="7">
        <f>Tabela1[[#This Row],[Valor Bruto]]-Tabela1[[#This Row],[Valor Venda]]</f>
        <v>112.8599999999999</v>
      </c>
      <c r="L775" s="1">
        <v>44275</v>
      </c>
      <c r="M775" s="1">
        <v>44275</v>
      </c>
      <c r="N775">
        <v>772</v>
      </c>
      <c r="O775">
        <v>6</v>
      </c>
      <c r="P775" t="s">
        <v>52</v>
      </c>
      <c r="Q775">
        <v>0.08</v>
      </c>
      <c r="R775" s="7">
        <v>141.4512</v>
      </c>
      <c r="S775">
        <v>2</v>
      </c>
      <c r="T775" t="s">
        <v>109</v>
      </c>
    </row>
    <row r="776" spans="1:20">
      <c r="A776">
        <v>773</v>
      </c>
      <c r="B776" s="1">
        <v>44251</v>
      </c>
      <c r="C776">
        <v>33</v>
      </c>
      <c r="D776" t="s">
        <v>76</v>
      </c>
      <c r="E776" t="s">
        <v>50</v>
      </c>
      <c r="F776" s="8">
        <v>36</v>
      </c>
      <c r="G776" s="7">
        <v>98</v>
      </c>
      <c r="H776" s="7">
        <v>3528</v>
      </c>
      <c r="I776" s="4">
        <v>0.1</v>
      </c>
      <c r="J776" s="7">
        <v>3175.2</v>
      </c>
      <c r="K776" s="7">
        <f>Tabela1[[#This Row],[Valor Bruto]]-Tabela1[[#This Row],[Valor Venda]]</f>
        <v>352.80000000000018</v>
      </c>
      <c r="L776" s="1">
        <v>44279</v>
      </c>
      <c r="M776" s="1">
        <v>44279</v>
      </c>
      <c r="N776">
        <v>773</v>
      </c>
      <c r="O776">
        <v>1</v>
      </c>
      <c r="P776" t="s">
        <v>52</v>
      </c>
      <c r="Q776">
        <v>0.09</v>
      </c>
      <c r="R776" s="7">
        <v>285.76799999999997</v>
      </c>
      <c r="S776">
        <v>3</v>
      </c>
      <c r="T776" t="s">
        <v>109</v>
      </c>
    </row>
    <row r="777" spans="1:20">
      <c r="A777">
        <v>774</v>
      </c>
      <c r="B777" s="1">
        <v>44252</v>
      </c>
      <c r="C777">
        <v>60</v>
      </c>
      <c r="D777" t="s">
        <v>82</v>
      </c>
      <c r="E777" t="s">
        <v>31</v>
      </c>
      <c r="F777" s="8">
        <v>28</v>
      </c>
      <c r="G777" s="7">
        <v>97</v>
      </c>
      <c r="H777" s="7">
        <v>2716</v>
      </c>
      <c r="I777" s="4">
        <v>0.06</v>
      </c>
      <c r="J777" s="7">
        <v>2553.04</v>
      </c>
      <c r="K777" s="7">
        <f>Tabela1[[#This Row],[Valor Bruto]]-Tabela1[[#This Row],[Valor Venda]]</f>
        <v>162.96000000000004</v>
      </c>
      <c r="L777" s="1">
        <v>44260</v>
      </c>
      <c r="M777" s="1">
        <v>44260</v>
      </c>
      <c r="N777">
        <v>774</v>
      </c>
      <c r="O777">
        <v>1</v>
      </c>
      <c r="P777" t="s">
        <v>69</v>
      </c>
      <c r="Q777">
        <v>0.08</v>
      </c>
      <c r="R777" s="7">
        <v>204.2432</v>
      </c>
      <c r="S777">
        <v>4</v>
      </c>
      <c r="T777" t="s">
        <v>109</v>
      </c>
    </row>
    <row r="778" spans="1:20">
      <c r="A778">
        <v>775</v>
      </c>
      <c r="B778" s="1">
        <v>44252</v>
      </c>
      <c r="C778">
        <v>75</v>
      </c>
      <c r="D778" t="s">
        <v>38</v>
      </c>
      <c r="E778" t="s">
        <v>24</v>
      </c>
      <c r="F778" s="8">
        <v>39</v>
      </c>
      <c r="G778" s="7">
        <v>113</v>
      </c>
      <c r="H778" s="7">
        <v>4407</v>
      </c>
      <c r="I778" s="4">
        <v>0.1</v>
      </c>
      <c r="J778" s="7">
        <v>3966.3</v>
      </c>
      <c r="K778" s="7">
        <f>Tabela1[[#This Row],[Valor Bruto]]-Tabela1[[#This Row],[Valor Venda]]</f>
        <v>440.69999999999982</v>
      </c>
      <c r="L778" s="1">
        <v>44282</v>
      </c>
      <c r="M778" s="1">
        <v>44282</v>
      </c>
      <c r="N778">
        <v>775</v>
      </c>
      <c r="O778">
        <v>5</v>
      </c>
      <c r="P778" t="s">
        <v>25</v>
      </c>
      <c r="Q778">
        <v>0.06</v>
      </c>
      <c r="R778" s="7">
        <v>237.97800000000001</v>
      </c>
      <c r="S778">
        <v>5</v>
      </c>
      <c r="T778" t="s">
        <v>109</v>
      </c>
    </row>
    <row r="779" spans="1:20">
      <c r="A779">
        <v>776</v>
      </c>
      <c r="B779" s="1">
        <v>44252</v>
      </c>
      <c r="C779">
        <v>62</v>
      </c>
      <c r="D779" t="s">
        <v>38</v>
      </c>
      <c r="E779" t="s">
        <v>50</v>
      </c>
      <c r="F779" s="8">
        <v>35</v>
      </c>
      <c r="G779" s="7">
        <v>98</v>
      </c>
      <c r="H779" s="7">
        <v>3430</v>
      </c>
      <c r="I779" s="4">
        <v>0.02</v>
      </c>
      <c r="J779" s="7">
        <v>3361.4</v>
      </c>
      <c r="K779" s="7">
        <f>Tabela1[[#This Row],[Valor Bruto]]-Tabela1[[#This Row],[Valor Venda]]</f>
        <v>68.599999999999909</v>
      </c>
      <c r="L779" s="1">
        <v>44282</v>
      </c>
      <c r="M779" s="1">
        <v>44282</v>
      </c>
      <c r="N779">
        <v>776</v>
      </c>
      <c r="O779">
        <v>7</v>
      </c>
      <c r="P779" t="s">
        <v>43</v>
      </c>
      <c r="Q779">
        <v>0.05</v>
      </c>
      <c r="R779" s="7">
        <v>168.07000000000002</v>
      </c>
      <c r="S779">
        <v>6</v>
      </c>
      <c r="T779" t="s">
        <v>109</v>
      </c>
    </row>
    <row r="780" spans="1:20">
      <c r="A780">
        <v>777</v>
      </c>
      <c r="B780" s="1">
        <v>44252</v>
      </c>
      <c r="C780">
        <v>21</v>
      </c>
      <c r="D780" t="s">
        <v>87</v>
      </c>
      <c r="E780" t="s">
        <v>28</v>
      </c>
      <c r="F780" s="8">
        <v>13</v>
      </c>
      <c r="G780" s="7">
        <v>106</v>
      </c>
      <c r="H780" s="7">
        <v>1378</v>
      </c>
      <c r="I780" s="4">
        <v>0</v>
      </c>
      <c r="J780" s="7">
        <v>1378</v>
      </c>
      <c r="K780" s="7">
        <f>Tabela1[[#This Row],[Valor Bruto]]-Tabela1[[#This Row],[Valor Venda]]</f>
        <v>0</v>
      </c>
      <c r="L780" s="1">
        <v>44255</v>
      </c>
      <c r="M780" s="1">
        <v>44255</v>
      </c>
      <c r="N780">
        <v>777</v>
      </c>
      <c r="O780">
        <v>4</v>
      </c>
      <c r="P780" t="s">
        <v>25</v>
      </c>
      <c r="Q780">
        <v>0.05</v>
      </c>
      <c r="R780" s="7">
        <v>68.900000000000006</v>
      </c>
      <c r="S780">
        <v>7</v>
      </c>
      <c r="T780" t="s">
        <v>109</v>
      </c>
    </row>
    <row r="781" spans="1:20">
      <c r="A781">
        <v>778</v>
      </c>
      <c r="B781" s="1">
        <v>44253</v>
      </c>
      <c r="C781">
        <v>17</v>
      </c>
      <c r="D781" t="s">
        <v>67</v>
      </c>
      <c r="E781" t="s">
        <v>46</v>
      </c>
      <c r="F781" s="8">
        <v>10</v>
      </c>
      <c r="G781" s="7">
        <v>104</v>
      </c>
      <c r="H781" s="7">
        <v>1040</v>
      </c>
      <c r="I781" s="4">
        <v>0.12</v>
      </c>
      <c r="J781" s="7">
        <v>915.2</v>
      </c>
      <c r="K781" s="7">
        <f>Tabela1[[#This Row],[Valor Bruto]]-Tabela1[[#This Row],[Valor Venda]]</f>
        <v>124.79999999999995</v>
      </c>
      <c r="L781" s="1">
        <v>44264</v>
      </c>
      <c r="M781" s="1">
        <v>44264</v>
      </c>
      <c r="N781">
        <v>778</v>
      </c>
      <c r="O781">
        <v>2</v>
      </c>
      <c r="P781" t="s">
        <v>47</v>
      </c>
      <c r="Q781">
        <v>0.09</v>
      </c>
      <c r="R781" s="7">
        <v>82.367999999999995</v>
      </c>
      <c r="S781">
        <v>1</v>
      </c>
      <c r="T781" t="s">
        <v>109</v>
      </c>
    </row>
    <row r="782" spans="1:20">
      <c r="A782">
        <v>779</v>
      </c>
      <c r="B782" s="1">
        <v>44253</v>
      </c>
      <c r="C782">
        <v>49</v>
      </c>
      <c r="D782" t="s">
        <v>38</v>
      </c>
      <c r="E782" t="s">
        <v>54</v>
      </c>
      <c r="F782" s="8">
        <v>37</v>
      </c>
      <c r="G782" s="7">
        <v>112</v>
      </c>
      <c r="H782" s="7">
        <v>4144</v>
      </c>
      <c r="I782" s="4">
        <v>0.03</v>
      </c>
      <c r="J782" s="7">
        <v>4019.68</v>
      </c>
      <c r="K782" s="7">
        <f>Tabela1[[#This Row],[Valor Bruto]]-Tabela1[[#This Row],[Valor Venda]]</f>
        <v>124.32000000000016</v>
      </c>
      <c r="L782" s="1">
        <v>44269</v>
      </c>
      <c r="M782" s="1">
        <v>44269</v>
      </c>
      <c r="N782">
        <v>779</v>
      </c>
      <c r="O782">
        <v>4</v>
      </c>
      <c r="P782" t="s">
        <v>32</v>
      </c>
      <c r="Q782">
        <v>0.08</v>
      </c>
      <c r="R782" s="7">
        <v>321.57439999999997</v>
      </c>
      <c r="S782">
        <v>2</v>
      </c>
      <c r="T782" t="s">
        <v>109</v>
      </c>
    </row>
    <row r="783" spans="1:20">
      <c r="A783">
        <v>780</v>
      </c>
      <c r="B783" s="1">
        <v>44253</v>
      </c>
      <c r="C783">
        <v>24</v>
      </c>
      <c r="D783" t="s">
        <v>74</v>
      </c>
      <c r="E783" t="s">
        <v>54</v>
      </c>
      <c r="F783" s="8">
        <v>30</v>
      </c>
      <c r="G783" s="7">
        <v>110</v>
      </c>
      <c r="H783" s="7">
        <v>3300</v>
      </c>
      <c r="I783" s="4">
        <v>0.01</v>
      </c>
      <c r="J783" s="7">
        <v>3267</v>
      </c>
      <c r="K783" s="7">
        <f>Tabela1[[#This Row],[Valor Bruto]]-Tabela1[[#This Row],[Valor Venda]]</f>
        <v>33</v>
      </c>
      <c r="L783" s="1">
        <v>44276</v>
      </c>
      <c r="M783" s="1">
        <v>44276</v>
      </c>
      <c r="N783">
        <v>780</v>
      </c>
      <c r="O783">
        <v>2</v>
      </c>
      <c r="P783" t="s">
        <v>22</v>
      </c>
      <c r="Q783">
        <v>0.08</v>
      </c>
      <c r="R783" s="7">
        <v>261.36</v>
      </c>
      <c r="S783">
        <v>3</v>
      </c>
      <c r="T783" t="s">
        <v>109</v>
      </c>
    </row>
    <row r="784" spans="1:20">
      <c r="A784">
        <v>781</v>
      </c>
      <c r="B784" s="1">
        <v>44254</v>
      </c>
      <c r="C784">
        <v>14</v>
      </c>
      <c r="D784" t="s">
        <v>27</v>
      </c>
      <c r="E784" t="s">
        <v>50</v>
      </c>
      <c r="F784" s="8">
        <v>45</v>
      </c>
      <c r="G784" s="7">
        <v>104</v>
      </c>
      <c r="H784" s="7">
        <v>4680</v>
      </c>
      <c r="I784" s="4">
        <v>0.13</v>
      </c>
      <c r="J784" s="7">
        <v>4071.6</v>
      </c>
      <c r="K784" s="7">
        <f>Tabela1[[#This Row],[Valor Bruto]]-Tabela1[[#This Row],[Valor Venda]]</f>
        <v>608.40000000000009</v>
      </c>
      <c r="L784" s="1">
        <v>44284</v>
      </c>
      <c r="M784" s="1">
        <v>44284</v>
      </c>
      <c r="N784">
        <v>781</v>
      </c>
      <c r="O784">
        <v>3</v>
      </c>
      <c r="P784" t="s">
        <v>43</v>
      </c>
      <c r="Q784">
        <v>0.06</v>
      </c>
      <c r="R784" s="7">
        <v>244.29599999999999</v>
      </c>
      <c r="S784">
        <v>4</v>
      </c>
      <c r="T784" t="s">
        <v>109</v>
      </c>
    </row>
    <row r="785" spans="1:20">
      <c r="A785">
        <v>782</v>
      </c>
      <c r="B785" s="1">
        <v>44254</v>
      </c>
      <c r="C785">
        <v>21</v>
      </c>
      <c r="D785" t="s">
        <v>87</v>
      </c>
      <c r="E785" t="s">
        <v>28</v>
      </c>
      <c r="F785" s="8">
        <v>50</v>
      </c>
      <c r="G785" s="7">
        <v>114</v>
      </c>
      <c r="H785" s="7">
        <v>5700</v>
      </c>
      <c r="I785" s="4">
        <v>0</v>
      </c>
      <c r="J785" s="7">
        <v>5700</v>
      </c>
      <c r="K785" s="7">
        <f>Tabela1[[#This Row],[Valor Bruto]]-Tabela1[[#This Row],[Valor Venda]]</f>
        <v>0</v>
      </c>
      <c r="L785" s="1">
        <v>44282</v>
      </c>
      <c r="M785" s="1">
        <v>44282</v>
      </c>
      <c r="N785">
        <v>782</v>
      </c>
      <c r="O785">
        <v>3</v>
      </c>
      <c r="P785" t="s">
        <v>69</v>
      </c>
      <c r="Q785">
        <v>0.1</v>
      </c>
      <c r="R785" s="7">
        <v>570</v>
      </c>
      <c r="S785">
        <v>5</v>
      </c>
      <c r="T785" t="s">
        <v>109</v>
      </c>
    </row>
    <row r="786" spans="1:20">
      <c r="A786">
        <v>783</v>
      </c>
      <c r="B786" s="1">
        <v>44255</v>
      </c>
      <c r="C786">
        <v>15</v>
      </c>
      <c r="D786" t="s">
        <v>77</v>
      </c>
      <c r="E786" t="s">
        <v>28</v>
      </c>
      <c r="F786" s="8">
        <v>15</v>
      </c>
      <c r="G786" s="7">
        <v>112</v>
      </c>
      <c r="H786" s="7">
        <v>1680</v>
      </c>
      <c r="I786" s="4">
        <v>0.14000000000000001</v>
      </c>
      <c r="J786" s="7">
        <v>1444.8</v>
      </c>
      <c r="K786" s="7">
        <f>Tabela1[[#This Row],[Valor Bruto]]-Tabela1[[#This Row],[Valor Venda]]</f>
        <v>235.20000000000005</v>
      </c>
      <c r="L786" s="1">
        <v>44283</v>
      </c>
      <c r="M786" s="1">
        <v>44283</v>
      </c>
      <c r="N786">
        <v>783</v>
      </c>
      <c r="O786">
        <v>1</v>
      </c>
      <c r="P786" t="s">
        <v>34</v>
      </c>
      <c r="Q786">
        <v>7.0000000000000007E-2</v>
      </c>
      <c r="R786" s="7">
        <v>101.13600000000001</v>
      </c>
      <c r="S786">
        <v>6</v>
      </c>
      <c r="T786" t="s">
        <v>109</v>
      </c>
    </row>
    <row r="787" spans="1:20">
      <c r="A787">
        <v>784</v>
      </c>
      <c r="B787" s="1">
        <v>44256</v>
      </c>
      <c r="C787">
        <v>38</v>
      </c>
      <c r="D787" t="s">
        <v>73</v>
      </c>
      <c r="E787" t="s">
        <v>50</v>
      </c>
      <c r="F787" s="8">
        <v>47</v>
      </c>
      <c r="G787" s="7">
        <v>105</v>
      </c>
      <c r="H787" s="7">
        <v>4935</v>
      </c>
      <c r="I787" s="4">
        <v>0.15</v>
      </c>
      <c r="J787" s="7">
        <v>4194.75</v>
      </c>
      <c r="K787" s="7">
        <f>Tabela1[[#This Row],[Valor Bruto]]-Tabela1[[#This Row],[Valor Venda]]</f>
        <v>740.25</v>
      </c>
      <c r="L787" s="1">
        <v>44276</v>
      </c>
      <c r="M787" s="1">
        <v>44276</v>
      </c>
      <c r="N787">
        <v>784</v>
      </c>
      <c r="O787">
        <v>6</v>
      </c>
      <c r="P787" t="s">
        <v>69</v>
      </c>
      <c r="Q787">
        <v>0.1</v>
      </c>
      <c r="R787" s="7">
        <v>419.47500000000002</v>
      </c>
      <c r="S787">
        <v>7</v>
      </c>
      <c r="T787" t="s">
        <v>110</v>
      </c>
    </row>
    <row r="788" spans="1:20">
      <c r="A788">
        <v>785</v>
      </c>
      <c r="B788" s="1">
        <v>44257</v>
      </c>
      <c r="C788">
        <v>85</v>
      </c>
      <c r="D788" t="s">
        <v>57</v>
      </c>
      <c r="E788" t="s">
        <v>28</v>
      </c>
      <c r="F788" s="8">
        <v>13</v>
      </c>
      <c r="G788" s="7">
        <v>94</v>
      </c>
      <c r="H788" s="7">
        <v>1222</v>
      </c>
      <c r="I788" s="4">
        <v>0.02</v>
      </c>
      <c r="J788" s="7">
        <v>1197.56</v>
      </c>
      <c r="K788" s="7">
        <f>Tabela1[[#This Row],[Valor Bruto]]-Tabela1[[#This Row],[Valor Venda]]</f>
        <v>24.440000000000055</v>
      </c>
      <c r="L788" s="1">
        <v>44283</v>
      </c>
      <c r="M788" s="1">
        <v>44283</v>
      </c>
      <c r="N788">
        <v>785</v>
      </c>
      <c r="O788">
        <v>4</v>
      </c>
      <c r="P788" t="s">
        <v>37</v>
      </c>
      <c r="Q788">
        <v>0.09</v>
      </c>
      <c r="R788" s="7">
        <v>107.78039999999999</v>
      </c>
      <c r="S788">
        <v>1</v>
      </c>
      <c r="T788" t="s">
        <v>110</v>
      </c>
    </row>
    <row r="789" spans="1:20">
      <c r="A789">
        <v>786</v>
      </c>
      <c r="B789" s="1">
        <v>44257</v>
      </c>
      <c r="C789">
        <v>70</v>
      </c>
      <c r="D789" t="s">
        <v>67</v>
      </c>
      <c r="E789" t="s">
        <v>50</v>
      </c>
      <c r="F789" s="8">
        <v>29</v>
      </c>
      <c r="G789" s="7">
        <v>96</v>
      </c>
      <c r="H789" s="7">
        <v>2784</v>
      </c>
      <c r="I789" s="4">
        <v>7.0000000000000007E-2</v>
      </c>
      <c r="J789" s="7">
        <v>2589.12</v>
      </c>
      <c r="K789" s="7">
        <f>Tabela1[[#This Row],[Valor Bruto]]-Tabela1[[#This Row],[Valor Venda]]</f>
        <v>194.88000000000011</v>
      </c>
      <c r="L789" s="1">
        <v>44266</v>
      </c>
      <c r="M789" s="1">
        <v>44266</v>
      </c>
      <c r="N789">
        <v>786</v>
      </c>
      <c r="O789">
        <v>1</v>
      </c>
      <c r="P789" t="s">
        <v>29</v>
      </c>
      <c r="Q789">
        <v>7.0000000000000007E-2</v>
      </c>
      <c r="R789" s="7">
        <v>181.23840000000001</v>
      </c>
      <c r="S789">
        <v>2</v>
      </c>
      <c r="T789" t="s">
        <v>110</v>
      </c>
    </row>
    <row r="790" spans="1:20">
      <c r="A790">
        <v>787</v>
      </c>
      <c r="B790" s="1">
        <v>44257</v>
      </c>
      <c r="C790">
        <v>30</v>
      </c>
      <c r="D790" t="s">
        <v>96</v>
      </c>
      <c r="E790" t="s">
        <v>50</v>
      </c>
      <c r="F790" s="8">
        <v>24</v>
      </c>
      <c r="G790" s="7">
        <v>100</v>
      </c>
      <c r="H790" s="7">
        <v>2400</v>
      </c>
      <c r="I790" s="4">
        <v>0.15</v>
      </c>
      <c r="J790" s="7">
        <v>2040</v>
      </c>
      <c r="K790" s="7">
        <f>Tabela1[[#This Row],[Valor Bruto]]-Tabela1[[#This Row],[Valor Venda]]</f>
        <v>360</v>
      </c>
      <c r="L790" s="1">
        <v>44279</v>
      </c>
      <c r="M790" s="1">
        <v>44279</v>
      </c>
      <c r="N790">
        <v>787</v>
      </c>
      <c r="O790">
        <v>3</v>
      </c>
      <c r="P790" t="s">
        <v>47</v>
      </c>
      <c r="Q790">
        <v>0.06</v>
      </c>
      <c r="R790" s="7">
        <v>122.39999999999999</v>
      </c>
      <c r="S790">
        <v>3</v>
      </c>
      <c r="T790" t="s">
        <v>110</v>
      </c>
    </row>
    <row r="791" spans="1:20">
      <c r="A791">
        <v>788</v>
      </c>
      <c r="B791" s="1">
        <v>44257</v>
      </c>
      <c r="C791">
        <v>66</v>
      </c>
      <c r="D791" t="s">
        <v>30</v>
      </c>
      <c r="E791" t="s">
        <v>24</v>
      </c>
      <c r="F791" s="8">
        <v>34</v>
      </c>
      <c r="G791" s="7">
        <v>111</v>
      </c>
      <c r="H791" s="7">
        <v>3774</v>
      </c>
      <c r="I791" s="4">
        <v>7.0000000000000007E-2</v>
      </c>
      <c r="J791" s="7">
        <v>3509.82</v>
      </c>
      <c r="K791" s="7">
        <f>Tabela1[[#This Row],[Valor Bruto]]-Tabela1[[#This Row],[Valor Venda]]</f>
        <v>264.17999999999984</v>
      </c>
      <c r="L791" s="1">
        <v>44279</v>
      </c>
      <c r="M791" s="1">
        <v>44279</v>
      </c>
      <c r="N791">
        <v>788</v>
      </c>
      <c r="O791">
        <v>2</v>
      </c>
      <c r="P791" t="s">
        <v>43</v>
      </c>
      <c r="Q791">
        <v>0.06</v>
      </c>
      <c r="R791" s="7">
        <v>210.58920000000001</v>
      </c>
      <c r="S791">
        <v>4</v>
      </c>
      <c r="T791" t="s">
        <v>110</v>
      </c>
    </row>
    <row r="792" spans="1:20">
      <c r="A792">
        <v>789</v>
      </c>
      <c r="B792" s="1">
        <v>44259</v>
      </c>
      <c r="C792">
        <v>98</v>
      </c>
      <c r="D792" t="s">
        <v>26</v>
      </c>
      <c r="E792" t="s">
        <v>31</v>
      </c>
      <c r="F792" s="8">
        <v>49</v>
      </c>
      <c r="G792" s="7">
        <v>115</v>
      </c>
      <c r="H792" s="7">
        <v>5635</v>
      </c>
      <c r="I792" s="4">
        <v>0.09</v>
      </c>
      <c r="J792" s="7">
        <v>5127.8500000000004</v>
      </c>
      <c r="K792" s="7">
        <f>Tabela1[[#This Row],[Valor Bruto]]-Tabela1[[#This Row],[Valor Venda]]</f>
        <v>507.14999999999964</v>
      </c>
      <c r="L792" s="1">
        <v>44287</v>
      </c>
      <c r="M792" s="1">
        <v>44287</v>
      </c>
      <c r="N792">
        <v>789</v>
      </c>
      <c r="O792">
        <v>1</v>
      </c>
      <c r="P792" t="s">
        <v>69</v>
      </c>
      <c r="Q792">
        <v>0.08</v>
      </c>
      <c r="R792" s="7">
        <v>410.22800000000007</v>
      </c>
      <c r="S792">
        <v>5</v>
      </c>
      <c r="T792" t="s">
        <v>110</v>
      </c>
    </row>
    <row r="793" spans="1:20">
      <c r="A793">
        <v>790</v>
      </c>
      <c r="B793" s="1">
        <v>44260</v>
      </c>
      <c r="C793">
        <v>1</v>
      </c>
      <c r="D793" t="s">
        <v>93</v>
      </c>
      <c r="E793" t="s">
        <v>46</v>
      </c>
      <c r="F793" s="8">
        <v>37</v>
      </c>
      <c r="G793" s="7">
        <v>97</v>
      </c>
      <c r="H793" s="7">
        <v>3589</v>
      </c>
      <c r="I793" s="4">
        <v>0.03</v>
      </c>
      <c r="J793" s="7">
        <v>3481.33</v>
      </c>
      <c r="K793" s="7">
        <f>Tabela1[[#This Row],[Valor Bruto]]-Tabela1[[#This Row],[Valor Venda]]</f>
        <v>107.67000000000007</v>
      </c>
      <c r="L793" s="1">
        <v>44282</v>
      </c>
      <c r="M793" s="1">
        <v>44282</v>
      </c>
      <c r="N793">
        <v>790</v>
      </c>
      <c r="O793">
        <v>4</v>
      </c>
      <c r="P793" t="s">
        <v>47</v>
      </c>
      <c r="Q793">
        <v>0.09</v>
      </c>
      <c r="R793" s="7">
        <v>313.31969999999995</v>
      </c>
      <c r="S793">
        <v>6</v>
      </c>
      <c r="T793" t="s">
        <v>110</v>
      </c>
    </row>
    <row r="794" spans="1:20">
      <c r="A794">
        <v>791</v>
      </c>
      <c r="B794" s="1">
        <v>44260</v>
      </c>
      <c r="C794">
        <v>42</v>
      </c>
      <c r="D794" t="s">
        <v>92</v>
      </c>
      <c r="E794" t="s">
        <v>46</v>
      </c>
      <c r="F794" s="8">
        <v>47</v>
      </c>
      <c r="G794" s="7">
        <v>98</v>
      </c>
      <c r="H794" s="7">
        <v>4606</v>
      </c>
      <c r="I794" s="4">
        <v>0.01</v>
      </c>
      <c r="J794" s="7">
        <v>4559.9399999999996</v>
      </c>
      <c r="K794" s="7">
        <f>Tabela1[[#This Row],[Valor Bruto]]-Tabela1[[#This Row],[Valor Venda]]</f>
        <v>46.0600000000004</v>
      </c>
      <c r="L794" s="1">
        <v>44275</v>
      </c>
      <c r="M794" s="1">
        <v>44275</v>
      </c>
      <c r="N794">
        <v>791</v>
      </c>
      <c r="O794">
        <v>5</v>
      </c>
      <c r="P794" t="s">
        <v>52</v>
      </c>
      <c r="Q794">
        <v>0.06</v>
      </c>
      <c r="R794" s="7">
        <v>273.59639999999996</v>
      </c>
      <c r="S794">
        <v>7</v>
      </c>
      <c r="T794" t="s">
        <v>110</v>
      </c>
    </row>
    <row r="795" spans="1:20">
      <c r="A795">
        <v>792</v>
      </c>
      <c r="B795" s="1">
        <v>44260</v>
      </c>
      <c r="C795">
        <v>81</v>
      </c>
      <c r="D795" t="s">
        <v>103</v>
      </c>
      <c r="E795" t="s">
        <v>21</v>
      </c>
      <c r="F795" s="8">
        <v>12</v>
      </c>
      <c r="G795" s="7">
        <v>101</v>
      </c>
      <c r="H795" s="7">
        <v>1212</v>
      </c>
      <c r="I795" s="4">
        <v>0.01</v>
      </c>
      <c r="J795" s="7">
        <v>1199.8800000000001</v>
      </c>
      <c r="K795" s="7">
        <f>Tabela1[[#This Row],[Valor Bruto]]-Tabela1[[#This Row],[Valor Venda]]</f>
        <v>12.119999999999891</v>
      </c>
      <c r="L795" s="1">
        <v>44283</v>
      </c>
      <c r="M795" s="1">
        <v>44283</v>
      </c>
      <c r="N795">
        <v>792</v>
      </c>
      <c r="O795">
        <v>3</v>
      </c>
      <c r="P795" t="s">
        <v>22</v>
      </c>
      <c r="Q795">
        <v>7.0000000000000007E-2</v>
      </c>
      <c r="R795" s="7">
        <v>83.99160000000002</v>
      </c>
      <c r="S795">
        <v>1</v>
      </c>
      <c r="T795" t="s">
        <v>110</v>
      </c>
    </row>
    <row r="796" spans="1:20">
      <c r="A796">
        <v>793</v>
      </c>
      <c r="B796" s="1">
        <v>44261</v>
      </c>
      <c r="C796">
        <v>91</v>
      </c>
      <c r="D796" t="s">
        <v>62</v>
      </c>
      <c r="E796" t="s">
        <v>28</v>
      </c>
      <c r="F796" s="8">
        <v>49</v>
      </c>
      <c r="G796" s="7">
        <v>112</v>
      </c>
      <c r="H796" s="7">
        <v>5488</v>
      </c>
      <c r="I796" s="4">
        <v>0.02</v>
      </c>
      <c r="J796" s="7">
        <v>5378.24</v>
      </c>
      <c r="K796" s="7">
        <f>Tabela1[[#This Row],[Valor Bruto]]-Tabela1[[#This Row],[Valor Venda]]</f>
        <v>109.76000000000022</v>
      </c>
      <c r="L796" s="1">
        <v>44272</v>
      </c>
      <c r="M796" s="1">
        <v>44272</v>
      </c>
      <c r="N796">
        <v>793</v>
      </c>
      <c r="O796">
        <v>2</v>
      </c>
      <c r="P796" t="s">
        <v>32</v>
      </c>
      <c r="Q796">
        <v>0.1</v>
      </c>
      <c r="R796" s="7">
        <v>537.82399999999996</v>
      </c>
      <c r="S796">
        <v>2</v>
      </c>
      <c r="T796" t="s">
        <v>110</v>
      </c>
    </row>
    <row r="797" spans="1:20">
      <c r="A797">
        <v>794</v>
      </c>
      <c r="B797" s="1">
        <v>44261</v>
      </c>
      <c r="C797">
        <v>93</v>
      </c>
      <c r="D797" t="s">
        <v>33</v>
      </c>
      <c r="E797" t="s">
        <v>28</v>
      </c>
      <c r="F797" s="8">
        <v>30</v>
      </c>
      <c r="G797" s="7">
        <v>90</v>
      </c>
      <c r="H797" s="7">
        <v>2700</v>
      </c>
      <c r="I797" s="4">
        <v>0.02</v>
      </c>
      <c r="J797" s="7">
        <v>2646</v>
      </c>
      <c r="K797" s="7">
        <f>Tabela1[[#This Row],[Valor Bruto]]-Tabela1[[#This Row],[Valor Venda]]</f>
        <v>54</v>
      </c>
      <c r="L797" s="1">
        <v>44289</v>
      </c>
      <c r="M797" s="1">
        <v>44289</v>
      </c>
      <c r="N797">
        <v>794</v>
      </c>
      <c r="O797">
        <v>5</v>
      </c>
      <c r="P797" t="s">
        <v>69</v>
      </c>
      <c r="Q797">
        <v>0.05</v>
      </c>
      <c r="R797" s="7">
        <v>132.30000000000001</v>
      </c>
      <c r="S797">
        <v>3</v>
      </c>
      <c r="T797" t="s">
        <v>110</v>
      </c>
    </row>
    <row r="798" spans="1:20">
      <c r="A798">
        <v>795</v>
      </c>
      <c r="B798" s="1">
        <v>44261</v>
      </c>
      <c r="C798">
        <v>6</v>
      </c>
      <c r="D798" t="s">
        <v>88</v>
      </c>
      <c r="E798" t="s">
        <v>46</v>
      </c>
      <c r="F798" s="8">
        <v>41</v>
      </c>
      <c r="G798" s="7">
        <v>110</v>
      </c>
      <c r="H798" s="7">
        <v>4510</v>
      </c>
      <c r="I798" s="4">
        <v>0.1</v>
      </c>
      <c r="J798" s="7">
        <v>4059</v>
      </c>
      <c r="K798" s="7">
        <f>Tabela1[[#This Row],[Valor Bruto]]-Tabela1[[#This Row],[Valor Venda]]</f>
        <v>451</v>
      </c>
      <c r="L798" s="1">
        <v>44264</v>
      </c>
      <c r="N798">
        <v>795</v>
      </c>
      <c r="O798">
        <v>3</v>
      </c>
      <c r="P798" t="s">
        <v>37</v>
      </c>
      <c r="Q798">
        <v>0.06</v>
      </c>
      <c r="R798" s="7">
        <v>243.54</v>
      </c>
      <c r="S798">
        <v>4</v>
      </c>
      <c r="T798" t="s">
        <v>110</v>
      </c>
    </row>
    <row r="799" spans="1:20">
      <c r="A799">
        <v>796</v>
      </c>
      <c r="B799" s="1">
        <v>44261</v>
      </c>
      <c r="C799">
        <v>11</v>
      </c>
      <c r="D799" t="s">
        <v>60</v>
      </c>
      <c r="E799" t="s">
        <v>21</v>
      </c>
      <c r="F799" s="8">
        <v>23</v>
      </c>
      <c r="G799" s="7">
        <v>114</v>
      </c>
      <c r="H799" s="7">
        <v>2622</v>
      </c>
      <c r="I799" s="4">
        <v>0.15</v>
      </c>
      <c r="J799" s="7">
        <v>2228.6999999999998</v>
      </c>
      <c r="K799" s="7">
        <f>Tabela1[[#This Row],[Valor Bruto]]-Tabela1[[#This Row],[Valor Venda]]</f>
        <v>393.30000000000018</v>
      </c>
      <c r="L799" s="1">
        <v>44268</v>
      </c>
      <c r="M799" s="1">
        <v>44268</v>
      </c>
      <c r="N799">
        <v>796</v>
      </c>
      <c r="O799">
        <v>6</v>
      </c>
      <c r="P799" t="s">
        <v>22</v>
      </c>
      <c r="Q799">
        <v>7.0000000000000007E-2</v>
      </c>
      <c r="R799" s="7">
        <v>156.00900000000001</v>
      </c>
      <c r="S799">
        <v>5</v>
      </c>
      <c r="T799" t="s">
        <v>110</v>
      </c>
    </row>
    <row r="800" spans="1:20">
      <c r="A800">
        <v>797</v>
      </c>
      <c r="B800" s="1">
        <v>44261</v>
      </c>
      <c r="C800">
        <v>15</v>
      </c>
      <c r="D800" t="s">
        <v>77</v>
      </c>
      <c r="E800" t="s">
        <v>24</v>
      </c>
      <c r="F800" s="8">
        <v>29</v>
      </c>
      <c r="G800" s="7">
        <v>107</v>
      </c>
      <c r="H800" s="7">
        <v>3103</v>
      </c>
      <c r="I800" s="4">
        <v>0.15</v>
      </c>
      <c r="J800" s="7">
        <v>2637.55</v>
      </c>
      <c r="K800" s="7">
        <f>Tabela1[[#This Row],[Valor Bruto]]-Tabela1[[#This Row],[Valor Venda]]</f>
        <v>465.44999999999982</v>
      </c>
      <c r="L800" s="1">
        <v>44281</v>
      </c>
      <c r="M800" s="1">
        <v>44281</v>
      </c>
      <c r="N800">
        <v>797</v>
      </c>
      <c r="O800">
        <v>2</v>
      </c>
      <c r="P800" t="s">
        <v>29</v>
      </c>
      <c r="Q800">
        <v>0.06</v>
      </c>
      <c r="R800" s="7">
        <v>158.25300000000001</v>
      </c>
      <c r="S800">
        <v>6</v>
      </c>
      <c r="T800" t="s">
        <v>110</v>
      </c>
    </row>
    <row r="801" spans="1:20">
      <c r="A801">
        <v>798</v>
      </c>
      <c r="B801" s="1">
        <v>44262</v>
      </c>
      <c r="C801">
        <v>89</v>
      </c>
      <c r="D801" t="s">
        <v>49</v>
      </c>
      <c r="E801" t="s">
        <v>59</v>
      </c>
      <c r="F801" s="8">
        <v>39</v>
      </c>
      <c r="G801" s="7">
        <v>109</v>
      </c>
      <c r="H801" s="7">
        <v>4251</v>
      </c>
      <c r="I801" s="4">
        <v>0</v>
      </c>
      <c r="J801" s="7">
        <v>4251</v>
      </c>
      <c r="K801" s="7">
        <f>Tabela1[[#This Row],[Valor Bruto]]-Tabela1[[#This Row],[Valor Venda]]</f>
        <v>0</v>
      </c>
      <c r="L801" s="1">
        <v>44267</v>
      </c>
      <c r="M801" s="1">
        <v>44267</v>
      </c>
      <c r="N801">
        <v>798</v>
      </c>
      <c r="O801">
        <v>5</v>
      </c>
      <c r="P801" t="s">
        <v>69</v>
      </c>
      <c r="Q801">
        <v>0.08</v>
      </c>
      <c r="R801" s="7">
        <v>340.08</v>
      </c>
      <c r="S801">
        <v>7</v>
      </c>
      <c r="T801" t="s">
        <v>110</v>
      </c>
    </row>
    <row r="802" spans="1:20">
      <c r="A802">
        <v>799</v>
      </c>
      <c r="B802" s="1">
        <v>44262</v>
      </c>
      <c r="C802">
        <v>15</v>
      </c>
      <c r="D802" t="s">
        <v>77</v>
      </c>
      <c r="E802" t="s">
        <v>50</v>
      </c>
      <c r="F802" s="8">
        <v>27</v>
      </c>
      <c r="G802" s="7">
        <v>109</v>
      </c>
      <c r="H802" s="7">
        <v>2943</v>
      </c>
      <c r="I802" s="4">
        <v>0.05</v>
      </c>
      <c r="J802" s="7">
        <v>2795.85</v>
      </c>
      <c r="K802" s="7">
        <f>Tabela1[[#This Row],[Valor Bruto]]-Tabela1[[#This Row],[Valor Venda]]</f>
        <v>147.15000000000009</v>
      </c>
      <c r="L802" s="1">
        <v>44277</v>
      </c>
      <c r="M802" s="1">
        <v>44277</v>
      </c>
      <c r="N802">
        <v>799</v>
      </c>
      <c r="O802">
        <v>5</v>
      </c>
      <c r="P802" t="s">
        <v>52</v>
      </c>
      <c r="Q802">
        <v>7.0000000000000007E-2</v>
      </c>
      <c r="R802" s="7">
        <v>195.70950000000002</v>
      </c>
      <c r="S802">
        <v>1</v>
      </c>
      <c r="T802" t="s">
        <v>110</v>
      </c>
    </row>
    <row r="803" spans="1:20">
      <c r="A803">
        <v>800</v>
      </c>
      <c r="B803" s="1">
        <v>44262</v>
      </c>
      <c r="C803">
        <v>61</v>
      </c>
      <c r="D803" t="s">
        <v>56</v>
      </c>
      <c r="E803" t="s">
        <v>21</v>
      </c>
      <c r="F803" s="8">
        <v>25</v>
      </c>
      <c r="G803" s="7">
        <v>119</v>
      </c>
      <c r="H803" s="7">
        <v>2975</v>
      </c>
      <c r="I803" s="4">
        <v>0.05</v>
      </c>
      <c r="J803" s="7">
        <v>2826.25</v>
      </c>
      <c r="K803" s="7">
        <f>Tabela1[[#This Row],[Valor Bruto]]-Tabela1[[#This Row],[Valor Venda]]</f>
        <v>148.75</v>
      </c>
      <c r="L803" s="1">
        <v>44269</v>
      </c>
      <c r="M803" s="1">
        <v>44269</v>
      </c>
      <c r="N803">
        <v>800</v>
      </c>
      <c r="O803">
        <v>4</v>
      </c>
      <c r="P803" t="s">
        <v>37</v>
      </c>
      <c r="Q803">
        <v>0.09</v>
      </c>
      <c r="R803" s="7">
        <v>254.36249999999998</v>
      </c>
      <c r="S803">
        <v>2</v>
      </c>
      <c r="T803" t="s">
        <v>110</v>
      </c>
    </row>
    <row r="804" spans="1:20">
      <c r="A804">
        <v>801</v>
      </c>
      <c r="B804" s="1">
        <v>44262</v>
      </c>
      <c r="C804">
        <v>3</v>
      </c>
      <c r="D804" t="s">
        <v>91</v>
      </c>
      <c r="E804" t="s">
        <v>55</v>
      </c>
      <c r="F804" s="8">
        <v>19</v>
      </c>
      <c r="G804" s="7">
        <v>98</v>
      </c>
      <c r="H804" s="7">
        <v>1862</v>
      </c>
      <c r="I804" s="4">
        <v>0.02</v>
      </c>
      <c r="J804" s="7">
        <v>1824.76</v>
      </c>
      <c r="K804" s="7">
        <f>Tabela1[[#This Row],[Valor Bruto]]-Tabela1[[#This Row],[Valor Venda]]</f>
        <v>37.240000000000009</v>
      </c>
      <c r="L804" s="1">
        <v>44289</v>
      </c>
      <c r="M804" s="1">
        <v>44289</v>
      </c>
      <c r="N804">
        <v>801</v>
      </c>
      <c r="O804">
        <v>5</v>
      </c>
      <c r="P804" t="s">
        <v>25</v>
      </c>
      <c r="Q804">
        <v>7.0000000000000007E-2</v>
      </c>
      <c r="R804" s="7">
        <v>127.73320000000001</v>
      </c>
      <c r="S804">
        <v>3</v>
      </c>
      <c r="T804" t="s">
        <v>110</v>
      </c>
    </row>
    <row r="805" spans="1:20">
      <c r="A805">
        <v>802</v>
      </c>
      <c r="B805" s="1">
        <v>44262</v>
      </c>
      <c r="C805">
        <v>22</v>
      </c>
      <c r="D805" t="s">
        <v>51</v>
      </c>
      <c r="E805" t="s">
        <v>24</v>
      </c>
      <c r="F805" s="8">
        <v>10</v>
      </c>
      <c r="G805" s="7">
        <v>97</v>
      </c>
      <c r="H805" s="7">
        <v>970</v>
      </c>
      <c r="I805" s="4">
        <v>0.01</v>
      </c>
      <c r="J805" s="7">
        <v>960.3</v>
      </c>
      <c r="K805" s="7">
        <f>Tabela1[[#This Row],[Valor Bruto]]-Tabela1[[#This Row],[Valor Venda]]</f>
        <v>9.7000000000000455</v>
      </c>
      <c r="L805" s="1">
        <v>44267</v>
      </c>
      <c r="M805" s="1">
        <v>44267</v>
      </c>
      <c r="N805">
        <v>802</v>
      </c>
      <c r="O805">
        <v>7</v>
      </c>
      <c r="P805" t="s">
        <v>37</v>
      </c>
      <c r="Q805">
        <v>0.1</v>
      </c>
      <c r="R805" s="7">
        <v>96.03</v>
      </c>
      <c r="S805">
        <v>4</v>
      </c>
      <c r="T805" t="s">
        <v>110</v>
      </c>
    </row>
    <row r="806" spans="1:20">
      <c r="A806">
        <v>803</v>
      </c>
      <c r="B806" s="1">
        <v>44264</v>
      </c>
      <c r="C806">
        <v>87</v>
      </c>
      <c r="D806" t="s">
        <v>40</v>
      </c>
      <c r="E806" t="s">
        <v>46</v>
      </c>
      <c r="F806" s="8">
        <v>25</v>
      </c>
      <c r="G806" s="7">
        <v>119</v>
      </c>
      <c r="H806" s="7">
        <v>2975</v>
      </c>
      <c r="I806" s="4">
        <v>0.01</v>
      </c>
      <c r="J806" s="7">
        <v>2945.25</v>
      </c>
      <c r="K806" s="7">
        <f>Tabela1[[#This Row],[Valor Bruto]]-Tabela1[[#This Row],[Valor Venda]]</f>
        <v>29.75</v>
      </c>
      <c r="L806" s="1">
        <v>44287</v>
      </c>
      <c r="M806" s="1">
        <v>44287</v>
      </c>
      <c r="N806">
        <v>803</v>
      </c>
      <c r="O806">
        <v>3</v>
      </c>
      <c r="P806" t="s">
        <v>29</v>
      </c>
      <c r="Q806">
        <v>0.05</v>
      </c>
      <c r="R806" s="7">
        <v>147.26250000000002</v>
      </c>
      <c r="S806">
        <v>5</v>
      </c>
      <c r="T806" t="s">
        <v>110</v>
      </c>
    </row>
    <row r="807" spans="1:20">
      <c r="A807">
        <v>804</v>
      </c>
      <c r="B807" s="1">
        <v>44264</v>
      </c>
      <c r="C807">
        <v>26</v>
      </c>
      <c r="D807" t="s">
        <v>95</v>
      </c>
      <c r="E807" t="s">
        <v>46</v>
      </c>
      <c r="F807" s="8">
        <v>45</v>
      </c>
      <c r="G807" s="7">
        <v>116</v>
      </c>
      <c r="H807" s="7">
        <v>5220</v>
      </c>
      <c r="I807" s="4">
        <v>0.15</v>
      </c>
      <c r="J807" s="7">
        <v>4437</v>
      </c>
      <c r="K807" s="7">
        <f>Tabela1[[#This Row],[Valor Bruto]]-Tabela1[[#This Row],[Valor Venda]]</f>
        <v>783</v>
      </c>
      <c r="L807" s="1">
        <v>44273</v>
      </c>
      <c r="M807" s="1">
        <v>44273</v>
      </c>
      <c r="N807">
        <v>804</v>
      </c>
      <c r="O807">
        <v>1</v>
      </c>
      <c r="P807" t="s">
        <v>32</v>
      </c>
      <c r="Q807">
        <v>0.06</v>
      </c>
      <c r="R807" s="7">
        <v>266.21999999999997</v>
      </c>
      <c r="S807">
        <v>6</v>
      </c>
      <c r="T807" t="s">
        <v>110</v>
      </c>
    </row>
    <row r="808" spans="1:20">
      <c r="A808">
        <v>805</v>
      </c>
      <c r="B808" s="1">
        <v>44264</v>
      </c>
      <c r="C808">
        <v>3</v>
      </c>
      <c r="D808" t="s">
        <v>91</v>
      </c>
      <c r="E808" t="s">
        <v>21</v>
      </c>
      <c r="F808" s="8">
        <v>39</v>
      </c>
      <c r="G808" s="7">
        <v>115</v>
      </c>
      <c r="H808" s="7">
        <v>4485</v>
      </c>
      <c r="I808" s="4">
        <v>0.14000000000000001</v>
      </c>
      <c r="J808" s="7">
        <v>3857.1</v>
      </c>
      <c r="K808" s="7">
        <f>Tabela1[[#This Row],[Valor Bruto]]-Tabela1[[#This Row],[Valor Venda]]</f>
        <v>627.90000000000009</v>
      </c>
      <c r="L808" s="1">
        <v>44273</v>
      </c>
      <c r="M808" s="1">
        <v>44273</v>
      </c>
      <c r="N808">
        <v>805</v>
      </c>
      <c r="O808">
        <v>6</v>
      </c>
      <c r="P808" t="s">
        <v>29</v>
      </c>
      <c r="Q808">
        <v>0.06</v>
      </c>
      <c r="R808" s="7">
        <v>231.42599999999999</v>
      </c>
      <c r="S808">
        <v>7</v>
      </c>
      <c r="T808" t="s">
        <v>110</v>
      </c>
    </row>
    <row r="809" spans="1:20">
      <c r="A809">
        <v>806</v>
      </c>
      <c r="B809" s="1">
        <v>44265</v>
      </c>
      <c r="C809">
        <v>68</v>
      </c>
      <c r="D809" t="s">
        <v>49</v>
      </c>
      <c r="E809" t="s">
        <v>59</v>
      </c>
      <c r="F809" s="8">
        <v>48</v>
      </c>
      <c r="G809" s="7">
        <v>112</v>
      </c>
      <c r="H809" s="7">
        <v>5376</v>
      </c>
      <c r="I809" s="4">
        <v>0.09</v>
      </c>
      <c r="J809" s="7">
        <v>4892.16</v>
      </c>
      <c r="K809" s="7">
        <f>Tabela1[[#This Row],[Valor Bruto]]-Tabela1[[#This Row],[Valor Venda]]</f>
        <v>483.84000000000015</v>
      </c>
      <c r="L809" s="1">
        <v>44280</v>
      </c>
      <c r="M809" s="1">
        <v>44280</v>
      </c>
      <c r="N809">
        <v>806</v>
      </c>
      <c r="O809">
        <v>1</v>
      </c>
      <c r="P809" t="s">
        <v>37</v>
      </c>
      <c r="Q809">
        <v>7.0000000000000007E-2</v>
      </c>
      <c r="R809" s="7">
        <v>342.45120000000003</v>
      </c>
      <c r="S809">
        <v>1</v>
      </c>
      <c r="T809" t="s">
        <v>110</v>
      </c>
    </row>
    <row r="810" spans="1:20">
      <c r="A810">
        <v>807</v>
      </c>
      <c r="B810" s="1">
        <v>44265</v>
      </c>
      <c r="C810">
        <v>46</v>
      </c>
      <c r="D810" t="s">
        <v>94</v>
      </c>
      <c r="E810" t="s">
        <v>24</v>
      </c>
      <c r="F810" s="8">
        <v>38</v>
      </c>
      <c r="G810" s="7">
        <v>102</v>
      </c>
      <c r="H810" s="7">
        <v>3876</v>
      </c>
      <c r="I810" s="4">
        <v>0.08</v>
      </c>
      <c r="J810" s="7">
        <v>3565.92</v>
      </c>
      <c r="K810" s="7">
        <f>Tabela1[[#This Row],[Valor Bruto]]-Tabela1[[#This Row],[Valor Venda]]</f>
        <v>310.07999999999993</v>
      </c>
      <c r="L810" s="1">
        <v>44269</v>
      </c>
      <c r="M810" s="1">
        <v>44269</v>
      </c>
      <c r="N810">
        <v>807</v>
      </c>
      <c r="O810">
        <v>7</v>
      </c>
      <c r="P810" t="s">
        <v>52</v>
      </c>
      <c r="Q810">
        <v>0.09</v>
      </c>
      <c r="R810" s="7">
        <v>320.93279999999999</v>
      </c>
      <c r="S810">
        <v>2</v>
      </c>
      <c r="T810" t="s">
        <v>110</v>
      </c>
    </row>
    <row r="811" spans="1:20">
      <c r="A811">
        <v>808</v>
      </c>
      <c r="B811" s="1">
        <v>44265</v>
      </c>
      <c r="C811">
        <v>37</v>
      </c>
      <c r="D811" t="s">
        <v>48</v>
      </c>
      <c r="E811" t="s">
        <v>31</v>
      </c>
      <c r="F811" s="8">
        <v>14</v>
      </c>
      <c r="G811" s="7">
        <v>113</v>
      </c>
      <c r="H811" s="7">
        <v>1582</v>
      </c>
      <c r="I811" s="4">
        <v>0.01</v>
      </c>
      <c r="J811" s="7">
        <v>1566.18</v>
      </c>
      <c r="K811" s="7">
        <f>Tabela1[[#This Row],[Valor Bruto]]-Tabela1[[#This Row],[Valor Venda]]</f>
        <v>15.819999999999936</v>
      </c>
      <c r="L811" s="1">
        <v>44291</v>
      </c>
      <c r="N811">
        <v>808</v>
      </c>
      <c r="O811">
        <v>3</v>
      </c>
      <c r="P811" t="s">
        <v>43</v>
      </c>
      <c r="Q811">
        <v>0.05</v>
      </c>
      <c r="R811" s="7">
        <v>78.309000000000012</v>
      </c>
      <c r="S811">
        <v>3</v>
      </c>
      <c r="T811" t="s">
        <v>110</v>
      </c>
    </row>
    <row r="812" spans="1:20">
      <c r="A812">
        <v>809</v>
      </c>
      <c r="B812" s="1">
        <v>44265</v>
      </c>
      <c r="C812">
        <v>11</v>
      </c>
      <c r="D812" t="s">
        <v>60</v>
      </c>
      <c r="E812" t="s">
        <v>24</v>
      </c>
      <c r="F812" s="8">
        <v>27</v>
      </c>
      <c r="G812" s="7">
        <v>104</v>
      </c>
      <c r="H812" s="7">
        <v>2808</v>
      </c>
      <c r="I812" s="4">
        <v>0.02</v>
      </c>
      <c r="J812" s="7">
        <v>2751.84</v>
      </c>
      <c r="K812" s="7">
        <f>Tabela1[[#This Row],[Valor Bruto]]-Tabela1[[#This Row],[Valor Venda]]</f>
        <v>56.159999999999854</v>
      </c>
      <c r="L812" s="1">
        <v>44276</v>
      </c>
      <c r="M812" s="1">
        <v>44276</v>
      </c>
      <c r="N812">
        <v>809</v>
      </c>
      <c r="O812">
        <v>3</v>
      </c>
      <c r="P812" t="s">
        <v>25</v>
      </c>
      <c r="Q812">
        <v>0.08</v>
      </c>
      <c r="R812" s="7">
        <v>220.14720000000003</v>
      </c>
      <c r="S812">
        <v>4</v>
      </c>
      <c r="T812" t="s">
        <v>110</v>
      </c>
    </row>
    <row r="813" spans="1:20">
      <c r="A813">
        <v>810</v>
      </c>
      <c r="B813" s="1">
        <v>44266</v>
      </c>
      <c r="C813">
        <v>100</v>
      </c>
      <c r="D813" t="s">
        <v>38</v>
      </c>
      <c r="E813" t="s">
        <v>54</v>
      </c>
      <c r="F813" s="8">
        <v>48</v>
      </c>
      <c r="G813" s="7">
        <v>96</v>
      </c>
      <c r="H813" s="7">
        <v>4608</v>
      </c>
      <c r="I813" s="4">
        <v>0.06</v>
      </c>
      <c r="J813" s="7">
        <v>4331.5200000000004</v>
      </c>
      <c r="K813" s="7">
        <f>Tabela1[[#This Row],[Valor Bruto]]-Tabela1[[#This Row],[Valor Venda]]</f>
        <v>276.47999999999956</v>
      </c>
      <c r="L813" s="1">
        <v>44282</v>
      </c>
      <c r="M813" s="1">
        <v>44282</v>
      </c>
      <c r="N813">
        <v>810</v>
      </c>
      <c r="O813">
        <v>5</v>
      </c>
      <c r="P813" t="s">
        <v>52</v>
      </c>
      <c r="Q813">
        <v>0.05</v>
      </c>
      <c r="R813" s="7">
        <v>216.57600000000002</v>
      </c>
      <c r="S813">
        <v>5</v>
      </c>
      <c r="T813" t="s">
        <v>110</v>
      </c>
    </row>
    <row r="814" spans="1:20">
      <c r="A814">
        <v>811</v>
      </c>
      <c r="B814" s="1">
        <v>44267</v>
      </c>
      <c r="C814">
        <v>75</v>
      </c>
      <c r="D814" t="s">
        <v>38</v>
      </c>
      <c r="E814" t="s">
        <v>59</v>
      </c>
      <c r="F814" s="8">
        <v>22</v>
      </c>
      <c r="G814" s="7">
        <v>101</v>
      </c>
      <c r="H814" s="7">
        <v>2222</v>
      </c>
      <c r="I814" s="4">
        <v>0.02</v>
      </c>
      <c r="J814" s="7">
        <v>2177.56</v>
      </c>
      <c r="K814" s="7">
        <f>Tabela1[[#This Row],[Valor Bruto]]-Tabela1[[#This Row],[Valor Venda]]</f>
        <v>44.440000000000055</v>
      </c>
      <c r="L814" s="1">
        <v>44289</v>
      </c>
      <c r="M814" s="1">
        <v>44289</v>
      </c>
      <c r="N814">
        <v>811</v>
      </c>
      <c r="O814">
        <v>7</v>
      </c>
      <c r="P814" t="s">
        <v>43</v>
      </c>
      <c r="Q814">
        <v>0.1</v>
      </c>
      <c r="R814" s="7">
        <v>217.756</v>
      </c>
      <c r="S814">
        <v>6</v>
      </c>
      <c r="T814" t="s">
        <v>110</v>
      </c>
    </row>
    <row r="815" spans="1:20">
      <c r="A815">
        <v>812</v>
      </c>
      <c r="B815" s="1">
        <v>44267</v>
      </c>
      <c r="C815">
        <v>35</v>
      </c>
      <c r="D815" t="s">
        <v>38</v>
      </c>
      <c r="E815" t="s">
        <v>55</v>
      </c>
      <c r="F815" s="8">
        <v>30</v>
      </c>
      <c r="G815" s="7">
        <v>118</v>
      </c>
      <c r="H815" s="7">
        <v>3540</v>
      </c>
      <c r="I815" s="4">
        <v>0.01</v>
      </c>
      <c r="J815" s="7">
        <v>3504.6</v>
      </c>
      <c r="K815" s="7">
        <f>Tabela1[[#This Row],[Valor Bruto]]-Tabela1[[#This Row],[Valor Venda]]</f>
        <v>35.400000000000091</v>
      </c>
      <c r="L815" s="1">
        <v>44271</v>
      </c>
      <c r="M815" s="1">
        <v>44271</v>
      </c>
      <c r="N815">
        <v>812</v>
      </c>
      <c r="O815">
        <v>1</v>
      </c>
      <c r="P815" t="s">
        <v>25</v>
      </c>
      <c r="Q815">
        <v>0.06</v>
      </c>
      <c r="R815" s="7">
        <v>210.27599999999998</v>
      </c>
      <c r="S815">
        <v>7</v>
      </c>
      <c r="T815" t="s">
        <v>110</v>
      </c>
    </row>
    <row r="816" spans="1:20">
      <c r="A816">
        <v>813</v>
      </c>
      <c r="B816" s="1">
        <v>44268</v>
      </c>
      <c r="C816">
        <v>26</v>
      </c>
      <c r="D816" t="s">
        <v>95</v>
      </c>
      <c r="E816" t="s">
        <v>31</v>
      </c>
      <c r="F816" s="8">
        <v>17</v>
      </c>
      <c r="G816" s="7">
        <v>111</v>
      </c>
      <c r="H816" s="7">
        <v>1887</v>
      </c>
      <c r="I816" s="4">
        <v>0</v>
      </c>
      <c r="J816" s="7">
        <v>1887</v>
      </c>
      <c r="K816" s="7">
        <f>Tabela1[[#This Row],[Valor Bruto]]-Tabela1[[#This Row],[Valor Venda]]</f>
        <v>0</v>
      </c>
      <c r="L816" s="1">
        <v>44273</v>
      </c>
      <c r="M816" s="1">
        <v>44273</v>
      </c>
      <c r="N816">
        <v>813</v>
      </c>
      <c r="O816">
        <v>5</v>
      </c>
      <c r="P816" t="s">
        <v>52</v>
      </c>
      <c r="Q816">
        <v>0.05</v>
      </c>
      <c r="R816" s="7">
        <v>94.350000000000009</v>
      </c>
      <c r="S816">
        <v>1</v>
      </c>
      <c r="T816" t="s">
        <v>110</v>
      </c>
    </row>
    <row r="817" spans="1:20">
      <c r="A817">
        <v>814</v>
      </c>
      <c r="B817" s="1">
        <v>44268</v>
      </c>
      <c r="C817">
        <v>49</v>
      </c>
      <c r="D817" t="s">
        <v>38</v>
      </c>
      <c r="E817" t="s">
        <v>28</v>
      </c>
      <c r="F817" s="8">
        <v>14</v>
      </c>
      <c r="G817" s="7">
        <v>113</v>
      </c>
      <c r="H817" s="7">
        <v>1582</v>
      </c>
      <c r="I817" s="4">
        <v>0.11</v>
      </c>
      <c r="J817" s="7">
        <v>1407.98</v>
      </c>
      <c r="K817" s="7">
        <f>Tabela1[[#This Row],[Valor Bruto]]-Tabela1[[#This Row],[Valor Venda]]</f>
        <v>174.01999999999998</v>
      </c>
      <c r="L817" s="1">
        <v>44268</v>
      </c>
      <c r="M817" s="1">
        <v>44268</v>
      </c>
      <c r="N817">
        <v>814</v>
      </c>
      <c r="O817">
        <v>3</v>
      </c>
      <c r="P817" t="s">
        <v>29</v>
      </c>
      <c r="Q817">
        <v>7.0000000000000007E-2</v>
      </c>
      <c r="R817" s="7">
        <v>98.558600000000013</v>
      </c>
      <c r="S817">
        <v>2</v>
      </c>
      <c r="T817" t="s">
        <v>110</v>
      </c>
    </row>
    <row r="818" spans="1:20">
      <c r="A818">
        <v>815</v>
      </c>
      <c r="B818" s="1">
        <v>44269</v>
      </c>
      <c r="C818">
        <v>14</v>
      </c>
      <c r="D818" t="s">
        <v>27</v>
      </c>
      <c r="E818" t="s">
        <v>46</v>
      </c>
      <c r="F818" s="8">
        <v>15</v>
      </c>
      <c r="G818" s="7">
        <v>118</v>
      </c>
      <c r="H818" s="7">
        <v>1770</v>
      </c>
      <c r="I818" s="4">
        <v>0.14000000000000001</v>
      </c>
      <c r="J818" s="7">
        <v>1522.2</v>
      </c>
      <c r="K818" s="7">
        <f>Tabela1[[#This Row],[Valor Bruto]]-Tabela1[[#This Row],[Valor Venda]]</f>
        <v>247.79999999999995</v>
      </c>
      <c r="L818" s="1">
        <v>44279</v>
      </c>
      <c r="M818" s="1">
        <v>44279</v>
      </c>
      <c r="N818">
        <v>815</v>
      </c>
      <c r="O818">
        <v>3</v>
      </c>
      <c r="P818" t="s">
        <v>32</v>
      </c>
      <c r="Q818">
        <v>0.09</v>
      </c>
      <c r="R818" s="7">
        <v>136.99799999999999</v>
      </c>
      <c r="S818">
        <v>3</v>
      </c>
      <c r="T818" t="s">
        <v>110</v>
      </c>
    </row>
    <row r="819" spans="1:20">
      <c r="A819">
        <v>816</v>
      </c>
      <c r="B819" s="1">
        <v>44270</v>
      </c>
      <c r="C819">
        <v>69</v>
      </c>
      <c r="D819" t="s">
        <v>67</v>
      </c>
      <c r="E819" t="s">
        <v>24</v>
      </c>
      <c r="F819" s="8">
        <v>10</v>
      </c>
      <c r="G819" s="7">
        <v>100</v>
      </c>
      <c r="H819" s="7">
        <v>1000</v>
      </c>
      <c r="I819" s="4">
        <v>0.08</v>
      </c>
      <c r="J819" s="7">
        <v>920</v>
      </c>
      <c r="K819" s="7">
        <f>Tabela1[[#This Row],[Valor Bruto]]-Tabela1[[#This Row],[Valor Venda]]</f>
        <v>80</v>
      </c>
      <c r="L819" s="1">
        <v>44297</v>
      </c>
      <c r="M819" s="1">
        <v>44297</v>
      </c>
      <c r="N819">
        <v>816</v>
      </c>
      <c r="O819">
        <v>2</v>
      </c>
      <c r="P819" t="s">
        <v>52</v>
      </c>
      <c r="Q819">
        <v>0.08</v>
      </c>
      <c r="R819" s="7">
        <v>73.600000000000009</v>
      </c>
      <c r="S819">
        <v>4</v>
      </c>
      <c r="T819" t="s">
        <v>110</v>
      </c>
    </row>
    <row r="820" spans="1:20">
      <c r="A820">
        <v>817</v>
      </c>
      <c r="B820" s="1">
        <v>44271</v>
      </c>
      <c r="C820">
        <v>66</v>
      </c>
      <c r="D820" t="s">
        <v>30</v>
      </c>
      <c r="E820" t="s">
        <v>31</v>
      </c>
      <c r="F820" s="8">
        <v>48</v>
      </c>
      <c r="G820" s="7">
        <v>102</v>
      </c>
      <c r="H820" s="7">
        <v>4896</v>
      </c>
      <c r="I820" s="4">
        <v>0.05</v>
      </c>
      <c r="J820" s="7">
        <v>4651.2</v>
      </c>
      <c r="K820" s="7">
        <f>Tabela1[[#This Row],[Valor Bruto]]-Tabela1[[#This Row],[Valor Venda]]</f>
        <v>244.80000000000018</v>
      </c>
      <c r="L820" s="1">
        <v>44291</v>
      </c>
      <c r="M820" s="1">
        <v>44291</v>
      </c>
      <c r="N820">
        <v>817</v>
      </c>
      <c r="O820">
        <v>1</v>
      </c>
      <c r="P820" t="s">
        <v>43</v>
      </c>
      <c r="Q820">
        <v>0.08</v>
      </c>
      <c r="R820" s="7">
        <v>372.096</v>
      </c>
      <c r="S820">
        <v>5</v>
      </c>
      <c r="T820" t="s">
        <v>110</v>
      </c>
    </row>
    <row r="821" spans="1:20">
      <c r="A821">
        <v>818</v>
      </c>
      <c r="B821" s="1">
        <v>44271</v>
      </c>
      <c r="C821">
        <v>21</v>
      </c>
      <c r="D821" t="s">
        <v>87</v>
      </c>
      <c r="E821" t="s">
        <v>50</v>
      </c>
      <c r="F821" s="8">
        <v>11</v>
      </c>
      <c r="G821" s="7">
        <v>92</v>
      </c>
      <c r="H821" s="7">
        <v>1012</v>
      </c>
      <c r="I821" s="4">
        <v>0.14000000000000001</v>
      </c>
      <c r="J821" s="7">
        <v>870.31999999999994</v>
      </c>
      <c r="K821" s="7">
        <f>Tabela1[[#This Row],[Valor Bruto]]-Tabela1[[#This Row],[Valor Venda]]</f>
        <v>141.68000000000006</v>
      </c>
      <c r="L821" s="1">
        <v>44288</v>
      </c>
      <c r="M821" s="1">
        <v>44288</v>
      </c>
      <c r="N821">
        <v>818</v>
      </c>
      <c r="O821">
        <v>5</v>
      </c>
      <c r="P821" t="s">
        <v>34</v>
      </c>
      <c r="Q821">
        <v>7.0000000000000007E-2</v>
      </c>
      <c r="R821" s="7">
        <v>60.922400000000003</v>
      </c>
      <c r="S821">
        <v>6</v>
      </c>
      <c r="T821" t="s">
        <v>110</v>
      </c>
    </row>
    <row r="822" spans="1:20">
      <c r="A822">
        <v>819</v>
      </c>
      <c r="B822" s="1">
        <v>44271</v>
      </c>
      <c r="C822">
        <v>50</v>
      </c>
      <c r="D822" t="s">
        <v>81</v>
      </c>
      <c r="E822" t="s">
        <v>31</v>
      </c>
      <c r="F822" s="8">
        <v>23</v>
      </c>
      <c r="G822" s="7">
        <v>119</v>
      </c>
      <c r="H822" s="7">
        <v>2737</v>
      </c>
      <c r="I822" s="4">
        <v>0.02</v>
      </c>
      <c r="J822" s="7">
        <v>2682.26</v>
      </c>
      <c r="K822" s="7">
        <f>Tabela1[[#This Row],[Valor Bruto]]-Tabela1[[#This Row],[Valor Venda]]</f>
        <v>54.739999999999782</v>
      </c>
      <c r="L822" s="1">
        <v>44284</v>
      </c>
      <c r="M822" s="1">
        <v>44284</v>
      </c>
      <c r="N822">
        <v>819</v>
      </c>
      <c r="O822">
        <v>4</v>
      </c>
      <c r="P822" t="s">
        <v>37</v>
      </c>
      <c r="Q822">
        <v>0.08</v>
      </c>
      <c r="R822" s="7">
        <v>214.58080000000001</v>
      </c>
      <c r="S822">
        <v>7</v>
      </c>
      <c r="T822" t="s">
        <v>110</v>
      </c>
    </row>
    <row r="823" spans="1:20">
      <c r="A823">
        <v>820</v>
      </c>
      <c r="B823" s="1">
        <v>44272</v>
      </c>
      <c r="C823">
        <v>87</v>
      </c>
      <c r="D823" t="s">
        <v>40</v>
      </c>
      <c r="E823" t="s">
        <v>50</v>
      </c>
      <c r="F823" s="8">
        <v>14</v>
      </c>
      <c r="G823" s="7">
        <v>117</v>
      </c>
      <c r="H823" s="7">
        <v>1638</v>
      </c>
      <c r="I823" s="4">
        <v>0.09</v>
      </c>
      <c r="J823" s="7">
        <v>1490.58</v>
      </c>
      <c r="K823" s="7">
        <f>Tabela1[[#This Row],[Valor Bruto]]-Tabela1[[#This Row],[Valor Venda]]</f>
        <v>147.42000000000007</v>
      </c>
      <c r="L823" s="1">
        <v>44290</v>
      </c>
      <c r="M823" s="1">
        <v>44290</v>
      </c>
      <c r="N823">
        <v>820</v>
      </c>
      <c r="O823">
        <v>3</v>
      </c>
      <c r="P823" t="s">
        <v>52</v>
      </c>
      <c r="Q823">
        <v>0.06</v>
      </c>
      <c r="R823" s="7">
        <v>89.434799999999996</v>
      </c>
      <c r="S823">
        <v>1</v>
      </c>
      <c r="T823" t="s">
        <v>110</v>
      </c>
    </row>
    <row r="824" spans="1:20">
      <c r="A824">
        <v>821</v>
      </c>
      <c r="B824" s="1">
        <v>44273</v>
      </c>
      <c r="C824">
        <v>19</v>
      </c>
      <c r="D824" t="s">
        <v>38</v>
      </c>
      <c r="E824" t="s">
        <v>24</v>
      </c>
      <c r="F824" s="8">
        <v>45</v>
      </c>
      <c r="G824" s="7">
        <v>96</v>
      </c>
      <c r="H824" s="7">
        <v>4320</v>
      </c>
      <c r="I824" s="4">
        <v>0.1</v>
      </c>
      <c r="J824" s="7">
        <v>3888</v>
      </c>
      <c r="K824" s="7">
        <f>Tabela1[[#This Row],[Valor Bruto]]-Tabela1[[#This Row],[Valor Venda]]</f>
        <v>432</v>
      </c>
      <c r="L824" s="1">
        <v>44290</v>
      </c>
      <c r="M824" s="1">
        <v>44290</v>
      </c>
      <c r="N824">
        <v>821</v>
      </c>
      <c r="O824">
        <v>2</v>
      </c>
      <c r="P824" t="s">
        <v>37</v>
      </c>
      <c r="Q824">
        <v>0.08</v>
      </c>
      <c r="R824" s="7">
        <v>311.04000000000002</v>
      </c>
      <c r="S824">
        <v>2</v>
      </c>
      <c r="T824" t="s">
        <v>110</v>
      </c>
    </row>
    <row r="825" spans="1:20">
      <c r="A825">
        <v>822</v>
      </c>
      <c r="B825" s="1">
        <v>44273</v>
      </c>
      <c r="C825">
        <v>61</v>
      </c>
      <c r="D825" t="s">
        <v>56</v>
      </c>
      <c r="E825" t="s">
        <v>24</v>
      </c>
      <c r="F825" s="8">
        <v>30</v>
      </c>
      <c r="G825" s="7">
        <v>112</v>
      </c>
      <c r="H825" s="7">
        <v>3360</v>
      </c>
      <c r="I825" s="4">
        <v>0.09</v>
      </c>
      <c r="J825" s="7">
        <v>3057.6</v>
      </c>
      <c r="K825" s="7">
        <f>Tabela1[[#This Row],[Valor Bruto]]-Tabela1[[#This Row],[Valor Venda]]</f>
        <v>302.40000000000009</v>
      </c>
      <c r="L825" s="1">
        <v>44300</v>
      </c>
      <c r="M825" s="1">
        <v>44300</v>
      </c>
      <c r="N825">
        <v>822</v>
      </c>
      <c r="O825">
        <v>6</v>
      </c>
      <c r="P825" t="s">
        <v>25</v>
      </c>
      <c r="Q825">
        <v>0.09</v>
      </c>
      <c r="R825" s="7">
        <v>275.18399999999997</v>
      </c>
      <c r="S825">
        <v>3</v>
      </c>
      <c r="T825" t="s">
        <v>110</v>
      </c>
    </row>
    <row r="826" spans="1:20">
      <c r="A826">
        <v>823</v>
      </c>
      <c r="B826" s="1">
        <v>44273</v>
      </c>
      <c r="C826">
        <v>73</v>
      </c>
      <c r="D826" t="s">
        <v>38</v>
      </c>
      <c r="E826" t="s">
        <v>46</v>
      </c>
      <c r="F826" s="8">
        <v>34</v>
      </c>
      <c r="G826" s="7">
        <v>92</v>
      </c>
      <c r="H826" s="7">
        <v>3128</v>
      </c>
      <c r="I826" s="4">
        <v>0.14000000000000001</v>
      </c>
      <c r="J826" s="7">
        <v>2690.08</v>
      </c>
      <c r="K826" s="7">
        <f>Tabela1[[#This Row],[Valor Bruto]]-Tabela1[[#This Row],[Valor Venda]]</f>
        <v>437.92000000000007</v>
      </c>
      <c r="L826" s="1">
        <v>44277</v>
      </c>
      <c r="M826" s="1">
        <v>44277</v>
      </c>
      <c r="N826">
        <v>823</v>
      </c>
      <c r="O826">
        <v>4</v>
      </c>
      <c r="P826" t="s">
        <v>43</v>
      </c>
      <c r="Q826">
        <v>0.05</v>
      </c>
      <c r="R826" s="7">
        <v>134.50399999999999</v>
      </c>
      <c r="S826">
        <v>4</v>
      </c>
      <c r="T826" t="s">
        <v>110</v>
      </c>
    </row>
    <row r="827" spans="1:20">
      <c r="A827">
        <v>824</v>
      </c>
      <c r="B827" s="1">
        <v>44273</v>
      </c>
      <c r="C827">
        <v>37</v>
      </c>
      <c r="D827" t="s">
        <v>48</v>
      </c>
      <c r="E827" t="s">
        <v>31</v>
      </c>
      <c r="F827" s="8">
        <v>12</v>
      </c>
      <c r="G827" s="7">
        <v>118</v>
      </c>
      <c r="H827" s="7">
        <v>1416</v>
      </c>
      <c r="I827" s="4">
        <v>0.06</v>
      </c>
      <c r="J827" s="7">
        <v>1331.04</v>
      </c>
      <c r="K827" s="7">
        <f>Tabela1[[#This Row],[Valor Bruto]]-Tabela1[[#This Row],[Valor Venda]]</f>
        <v>84.960000000000036</v>
      </c>
      <c r="L827" s="1">
        <v>44283</v>
      </c>
      <c r="M827" s="1">
        <v>44283</v>
      </c>
      <c r="N827">
        <v>824</v>
      </c>
      <c r="O827">
        <v>3</v>
      </c>
      <c r="P827" t="s">
        <v>34</v>
      </c>
      <c r="Q827">
        <v>0.05</v>
      </c>
      <c r="R827" s="7">
        <v>66.552000000000007</v>
      </c>
      <c r="S827">
        <v>5</v>
      </c>
      <c r="T827" t="s">
        <v>110</v>
      </c>
    </row>
    <row r="828" spans="1:20">
      <c r="A828">
        <v>825</v>
      </c>
      <c r="B828" s="1">
        <v>44274</v>
      </c>
      <c r="C828">
        <v>86</v>
      </c>
      <c r="D828" t="s">
        <v>90</v>
      </c>
      <c r="E828" t="s">
        <v>46</v>
      </c>
      <c r="F828" s="8">
        <v>40</v>
      </c>
      <c r="G828" s="7">
        <v>90</v>
      </c>
      <c r="H828" s="7">
        <v>3600</v>
      </c>
      <c r="I828" s="4">
        <v>0.13</v>
      </c>
      <c r="J828" s="7">
        <v>3132</v>
      </c>
      <c r="K828" s="7">
        <f>Tabela1[[#This Row],[Valor Bruto]]-Tabela1[[#This Row],[Valor Venda]]</f>
        <v>468</v>
      </c>
      <c r="L828" s="1">
        <v>44282</v>
      </c>
      <c r="M828" s="1">
        <v>44282</v>
      </c>
      <c r="N828">
        <v>825</v>
      </c>
      <c r="O828">
        <v>4</v>
      </c>
      <c r="P828" t="s">
        <v>22</v>
      </c>
      <c r="Q828">
        <v>0.09</v>
      </c>
      <c r="R828" s="7">
        <v>281.88</v>
      </c>
      <c r="S828">
        <v>6</v>
      </c>
      <c r="T828" t="s">
        <v>110</v>
      </c>
    </row>
    <row r="829" spans="1:20">
      <c r="A829">
        <v>826</v>
      </c>
      <c r="B829" s="1">
        <v>44275</v>
      </c>
      <c r="C829">
        <v>6</v>
      </c>
      <c r="D829" t="s">
        <v>88</v>
      </c>
      <c r="E829" t="s">
        <v>50</v>
      </c>
      <c r="F829" s="8">
        <v>34</v>
      </c>
      <c r="G829" s="7">
        <v>117</v>
      </c>
      <c r="H829" s="7">
        <v>3978</v>
      </c>
      <c r="I829" s="4">
        <v>0.01</v>
      </c>
      <c r="J829" s="7">
        <v>3938.22</v>
      </c>
      <c r="K829" s="7">
        <f>Tabela1[[#This Row],[Valor Bruto]]-Tabela1[[#This Row],[Valor Venda]]</f>
        <v>39.7800000000002</v>
      </c>
      <c r="L829" s="1">
        <v>44277</v>
      </c>
      <c r="M829" s="1">
        <v>44277</v>
      </c>
      <c r="N829">
        <v>826</v>
      </c>
      <c r="O829">
        <v>6</v>
      </c>
      <c r="P829" t="s">
        <v>32</v>
      </c>
      <c r="Q829">
        <v>7.0000000000000007E-2</v>
      </c>
      <c r="R829" s="7">
        <v>275.67540000000002</v>
      </c>
      <c r="S829">
        <v>7</v>
      </c>
      <c r="T829" t="s">
        <v>110</v>
      </c>
    </row>
    <row r="830" spans="1:20">
      <c r="A830">
        <v>827</v>
      </c>
      <c r="B830" s="1">
        <v>44278</v>
      </c>
      <c r="C830">
        <v>63</v>
      </c>
      <c r="D830" t="s">
        <v>80</v>
      </c>
      <c r="E830" t="s">
        <v>46</v>
      </c>
      <c r="F830" s="8">
        <v>48</v>
      </c>
      <c r="G830" s="7">
        <v>108</v>
      </c>
      <c r="H830" s="7">
        <v>5184</v>
      </c>
      <c r="I830" s="4">
        <v>0.04</v>
      </c>
      <c r="J830" s="7">
        <v>4976.6400000000003</v>
      </c>
      <c r="K830" s="7">
        <f>Tabela1[[#This Row],[Valor Bruto]]-Tabela1[[#This Row],[Valor Venda]]</f>
        <v>207.35999999999967</v>
      </c>
      <c r="L830" s="1">
        <v>44306</v>
      </c>
      <c r="M830" s="1">
        <v>44306</v>
      </c>
      <c r="N830">
        <v>827</v>
      </c>
      <c r="O830">
        <v>5</v>
      </c>
      <c r="P830" t="s">
        <v>29</v>
      </c>
      <c r="Q830">
        <v>0.09</v>
      </c>
      <c r="R830" s="7">
        <v>447.89760000000001</v>
      </c>
      <c r="S830">
        <v>1</v>
      </c>
      <c r="T830" t="s">
        <v>110</v>
      </c>
    </row>
    <row r="831" spans="1:20">
      <c r="A831">
        <v>828</v>
      </c>
      <c r="B831" s="1">
        <v>44279</v>
      </c>
      <c r="C831">
        <v>37</v>
      </c>
      <c r="D831" t="s">
        <v>48</v>
      </c>
      <c r="E831" t="s">
        <v>31</v>
      </c>
      <c r="F831" s="8">
        <v>47</v>
      </c>
      <c r="G831" s="7">
        <v>108</v>
      </c>
      <c r="H831" s="7">
        <v>5076</v>
      </c>
      <c r="I831" s="4">
        <v>0</v>
      </c>
      <c r="J831" s="7">
        <v>5076</v>
      </c>
      <c r="K831" s="7">
        <f>Tabela1[[#This Row],[Valor Bruto]]-Tabela1[[#This Row],[Valor Venda]]</f>
        <v>0</v>
      </c>
      <c r="L831" s="1">
        <v>44295</v>
      </c>
      <c r="M831" s="1">
        <v>44295</v>
      </c>
      <c r="N831">
        <v>828</v>
      </c>
      <c r="O831">
        <v>5</v>
      </c>
      <c r="P831" t="s">
        <v>34</v>
      </c>
      <c r="Q831">
        <v>7.0000000000000007E-2</v>
      </c>
      <c r="R831" s="7">
        <v>355.32000000000005</v>
      </c>
      <c r="S831">
        <v>2</v>
      </c>
      <c r="T831" t="s">
        <v>110</v>
      </c>
    </row>
    <row r="832" spans="1:20">
      <c r="A832">
        <v>829</v>
      </c>
      <c r="B832" s="1">
        <v>44279</v>
      </c>
      <c r="C832">
        <v>10</v>
      </c>
      <c r="D832" t="s">
        <v>89</v>
      </c>
      <c r="E832" t="s">
        <v>24</v>
      </c>
      <c r="F832" s="8">
        <v>20</v>
      </c>
      <c r="G832" s="7">
        <v>117</v>
      </c>
      <c r="H832" s="7">
        <v>2340</v>
      </c>
      <c r="I832" s="4">
        <v>0.08</v>
      </c>
      <c r="J832" s="7">
        <v>2152.8000000000002</v>
      </c>
      <c r="K832" s="7">
        <f>Tabela1[[#This Row],[Valor Bruto]]-Tabela1[[#This Row],[Valor Venda]]</f>
        <v>187.19999999999982</v>
      </c>
      <c r="L832" s="1">
        <v>44294</v>
      </c>
      <c r="M832" s="1">
        <v>44294</v>
      </c>
      <c r="N832">
        <v>829</v>
      </c>
      <c r="O832">
        <v>3</v>
      </c>
      <c r="P832" t="s">
        <v>29</v>
      </c>
      <c r="Q832">
        <v>0.1</v>
      </c>
      <c r="R832" s="7">
        <v>215.28000000000003</v>
      </c>
      <c r="S832">
        <v>3</v>
      </c>
      <c r="T832" t="s">
        <v>110</v>
      </c>
    </row>
    <row r="833" spans="1:20">
      <c r="A833">
        <v>830</v>
      </c>
      <c r="B833" s="1">
        <v>44279</v>
      </c>
      <c r="C833">
        <v>85</v>
      </c>
      <c r="D833" t="s">
        <v>57</v>
      </c>
      <c r="E833" t="s">
        <v>59</v>
      </c>
      <c r="F833" s="8">
        <v>50</v>
      </c>
      <c r="G833" s="7">
        <v>107</v>
      </c>
      <c r="H833" s="7">
        <v>5350</v>
      </c>
      <c r="I833" s="4">
        <v>0.15</v>
      </c>
      <c r="J833" s="7">
        <v>4547.5</v>
      </c>
      <c r="K833" s="7">
        <f>Tabela1[[#This Row],[Valor Bruto]]-Tabela1[[#This Row],[Valor Venda]]</f>
        <v>802.5</v>
      </c>
      <c r="L833" s="1">
        <v>44291</v>
      </c>
      <c r="M833" s="1">
        <v>44291</v>
      </c>
      <c r="N833">
        <v>830</v>
      </c>
      <c r="O833">
        <v>6</v>
      </c>
      <c r="P833" t="s">
        <v>32</v>
      </c>
      <c r="Q833">
        <v>0.05</v>
      </c>
      <c r="R833" s="7">
        <v>227.375</v>
      </c>
      <c r="S833">
        <v>4</v>
      </c>
      <c r="T833" t="s">
        <v>110</v>
      </c>
    </row>
    <row r="834" spans="1:20">
      <c r="A834">
        <v>831</v>
      </c>
      <c r="B834" s="1">
        <v>44281</v>
      </c>
      <c r="C834">
        <v>39</v>
      </c>
      <c r="D834" t="s">
        <v>38</v>
      </c>
      <c r="E834" t="s">
        <v>28</v>
      </c>
      <c r="F834" s="8">
        <v>27</v>
      </c>
      <c r="G834" s="7">
        <v>116</v>
      </c>
      <c r="H834" s="7">
        <v>3132</v>
      </c>
      <c r="I834" s="4">
        <v>0.09</v>
      </c>
      <c r="J834" s="7">
        <v>2850.12</v>
      </c>
      <c r="K834" s="7">
        <f>Tabela1[[#This Row],[Valor Bruto]]-Tabela1[[#This Row],[Valor Venda]]</f>
        <v>281.88000000000011</v>
      </c>
      <c r="L834" s="1">
        <v>44295</v>
      </c>
      <c r="M834" s="1">
        <v>44295</v>
      </c>
      <c r="N834">
        <v>831</v>
      </c>
      <c r="O834">
        <v>2</v>
      </c>
      <c r="P834" t="s">
        <v>37</v>
      </c>
      <c r="Q834">
        <v>0.1</v>
      </c>
      <c r="R834" s="7">
        <v>285.012</v>
      </c>
      <c r="S834">
        <v>5</v>
      </c>
      <c r="T834" t="s">
        <v>110</v>
      </c>
    </row>
    <row r="835" spans="1:20">
      <c r="A835">
        <v>832</v>
      </c>
      <c r="B835" s="1">
        <v>44281</v>
      </c>
      <c r="C835">
        <v>46</v>
      </c>
      <c r="D835" t="s">
        <v>94</v>
      </c>
      <c r="E835" t="s">
        <v>46</v>
      </c>
      <c r="F835" s="8">
        <v>50</v>
      </c>
      <c r="G835" s="7">
        <v>93</v>
      </c>
      <c r="H835" s="7">
        <v>4650</v>
      </c>
      <c r="I835" s="4">
        <v>0.13</v>
      </c>
      <c r="J835" s="7">
        <v>4045.5</v>
      </c>
      <c r="K835" s="7">
        <f>Tabela1[[#This Row],[Valor Bruto]]-Tabela1[[#This Row],[Valor Venda]]</f>
        <v>604.5</v>
      </c>
      <c r="L835" s="1">
        <v>44299</v>
      </c>
      <c r="M835" s="1">
        <v>44299</v>
      </c>
      <c r="N835">
        <v>832</v>
      </c>
      <c r="O835">
        <v>1</v>
      </c>
      <c r="P835" t="s">
        <v>52</v>
      </c>
      <c r="Q835">
        <v>0.1</v>
      </c>
      <c r="R835" s="7">
        <v>404.55</v>
      </c>
      <c r="S835">
        <v>6</v>
      </c>
      <c r="T835" t="s">
        <v>110</v>
      </c>
    </row>
    <row r="836" spans="1:20">
      <c r="A836">
        <v>833</v>
      </c>
      <c r="B836" s="1">
        <v>44281</v>
      </c>
      <c r="C836">
        <v>72</v>
      </c>
      <c r="D836" t="s">
        <v>38</v>
      </c>
      <c r="E836" t="s">
        <v>50</v>
      </c>
      <c r="F836" s="8">
        <v>21</v>
      </c>
      <c r="G836" s="7">
        <v>115</v>
      </c>
      <c r="H836" s="7">
        <v>2415</v>
      </c>
      <c r="I836" s="4">
        <v>0.12</v>
      </c>
      <c r="J836" s="7">
        <v>2125.1999999999998</v>
      </c>
      <c r="K836" s="7">
        <f>Tabela1[[#This Row],[Valor Bruto]]-Tabela1[[#This Row],[Valor Venda]]</f>
        <v>289.80000000000018</v>
      </c>
      <c r="L836" s="1">
        <v>44282</v>
      </c>
      <c r="M836" s="1">
        <v>44282</v>
      </c>
      <c r="N836">
        <v>833</v>
      </c>
      <c r="O836">
        <v>7</v>
      </c>
      <c r="P836" t="s">
        <v>69</v>
      </c>
      <c r="Q836">
        <v>0.09</v>
      </c>
      <c r="R836" s="7">
        <v>191.26799999999997</v>
      </c>
      <c r="S836">
        <v>7</v>
      </c>
      <c r="T836" t="s">
        <v>110</v>
      </c>
    </row>
    <row r="837" spans="1:20">
      <c r="A837">
        <v>834</v>
      </c>
      <c r="B837" s="1">
        <v>44281</v>
      </c>
      <c r="C837">
        <v>29</v>
      </c>
      <c r="D837" t="s">
        <v>98</v>
      </c>
      <c r="E837" t="s">
        <v>59</v>
      </c>
      <c r="F837" s="8">
        <v>12</v>
      </c>
      <c r="G837" s="7">
        <v>97</v>
      </c>
      <c r="H837" s="7">
        <v>1164</v>
      </c>
      <c r="I837" s="4">
        <v>0.03</v>
      </c>
      <c r="J837" s="7">
        <v>1129.08</v>
      </c>
      <c r="K837" s="7">
        <f>Tabela1[[#This Row],[Valor Bruto]]-Tabela1[[#This Row],[Valor Venda]]</f>
        <v>34.920000000000073</v>
      </c>
      <c r="L837" s="1">
        <v>44292</v>
      </c>
      <c r="M837" s="1">
        <v>44292</v>
      </c>
      <c r="N837">
        <v>834</v>
      </c>
      <c r="O837">
        <v>5</v>
      </c>
      <c r="P837" t="s">
        <v>34</v>
      </c>
      <c r="Q837">
        <v>0.05</v>
      </c>
      <c r="R837" s="7">
        <v>56.454000000000001</v>
      </c>
      <c r="S837">
        <v>1</v>
      </c>
      <c r="T837" t="s">
        <v>110</v>
      </c>
    </row>
    <row r="838" spans="1:20">
      <c r="A838">
        <v>835</v>
      </c>
      <c r="B838" s="1">
        <v>44282</v>
      </c>
      <c r="C838">
        <v>66</v>
      </c>
      <c r="D838" t="s">
        <v>30</v>
      </c>
      <c r="E838" t="s">
        <v>24</v>
      </c>
      <c r="F838" s="8">
        <v>23</v>
      </c>
      <c r="G838" s="7">
        <v>99</v>
      </c>
      <c r="H838" s="7">
        <v>2277</v>
      </c>
      <c r="I838" s="4">
        <v>0.02</v>
      </c>
      <c r="J838" s="7">
        <v>2231.46</v>
      </c>
      <c r="K838" s="7">
        <f>Tabela1[[#This Row],[Valor Bruto]]-Tabela1[[#This Row],[Valor Venda]]</f>
        <v>45.539999999999964</v>
      </c>
      <c r="L838" s="1">
        <v>44288</v>
      </c>
      <c r="M838" s="1">
        <v>44288</v>
      </c>
      <c r="N838">
        <v>835</v>
      </c>
      <c r="O838">
        <v>1</v>
      </c>
      <c r="P838" t="s">
        <v>69</v>
      </c>
      <c r="Q838">
        <v>7.0000000000000007E-2</v>
      </c>
      <c r="R838" s="7">
        <v>156.2022</v>
      </c>
      <c r="S838">
        <v>2</v>
      </c>
      <c r="T838" t="s">
        <v>110</v>
      </c>
    </row>
    <row r="839" spans="1:20">
      <c r="A839">
        <v>836</v>
      </c>
      <c r="B839" s="1">
        <v>44282</v>
      </c>
      <c r="C839">
        <v>70</v>
      </c>
      <c r="D839" t="s">
        <v>67</v>
      </c>
      <c r="E839" t="s">
        <v>31</v>
      </c>
      <c r="F839" s="8">
        <v>45</v>
      </c>
      <c r="G839" s="7">
        <v>98</v>
      </c>
      <c r="H839" s="7">
        <v>4410</v>
      </c>
      <c r="I839" s="4">
        <v>0.14000000000000001</v>
      </c>
      <c r="J839" s="7">
        <v>3792.6</v>
      </c>
      <c r="K839" s="7">
        <f>Tabela1[[#This Row],[Valor Bruto]]-Tabela1[[#This Row],[Valor Venda]]</f>
        <v>617.40000000000009</v>
      </c>
      <c r="L839" s="1">
        <v>44307</v>
      </c>
      <c r="M839" s="1">
        <v>44307</v>
      </c>
      <c r="N839">
        <v>836</v>
      </c>
      <c r="O839">
        <v>7</v>
      </c>
      <c r="P839" t="s">
        <v>37</v>
      </c>
      <c r="Q839">
        <v>0.09</v>
      </c>
      <c r="R839" s="7">
        <v>341.334</v>
      </c>
      <c r="S839">
        <v>3</v>
      </c>
      <c r="T839" t="s">
        <v>110</v>
      </c>
    </row>
    <row r="840" spans="1:20">
      <c r="A840">
        <v>837</v>
      </c>
      <c r="B840" s="1">
        <v>44282</v>
      </c>
      <c r="C840">
        <v>75</v>
      </c>
      <c r="D840" t="s">
        <v>38</v>
      </c>
      <c r="E840" t="s">
        <v>46</v>
      </c>
      <c r="F840" s="8">
        <v>26</v>
      </c>
      <c r="G840" s="7">
        <v>94</v>
      </c>
      <c r="H840" s="7">
        <v>2444</v>
      </c>
      <c r="I840" s="4">
        <v>0.09</v>
      </c>
      <c r="J840" s="7">
        <v>2224.04</v>
      </c>
      <c r="K840" s="7">
        <f>Tabela1[[#This Row],[Valor Bruto]]-Tabela1[[#This Row],[Valor Venda]]</f>
        <v>219.96000000000004</v>
      </c>
      <c r="L840" s="1">
        <v>44287</v>
      </c>
      <c r="M840" s="1">
        <v>44287</v>
      </c>
      <c r="N840">
        <v>837</v>
      </c>
      <c r="O840">
        <v>3</v>
      </c>
      <c r="P840" t="s">
        <v>34</v>
      </c>
      <c r="Q840">
        <v>0.09</v>
      </c>
      <c r="R840" s="7">
        <v>200.1636</v>
      </c>
      <c r="S840">
        <v>4</v>
      </c>
      <c r="T840" t="s">
        <v>110</v>
      </c>
    </row>
    <row r="841" spans="1:20">
      <c r="A841">
        <v>838</v>
      </c>
      <c r="B841" s="1">
        <v>44282</v>
      </c>
      <c r="C841">
        <v>17</v>
      </c>
      <c r="D841" t="s">
        <v>67</v>
      </c>
      <c r="E841" t="s">
        <v>21</v>
      </c>
      <c r="F841" s="8">
        <v>23</v>
      </c>
      <c r="G841" s="7">
        <v>115</v>
      </c>
      <c r="H841" s="7">
        <v>2645</v>
      </c>
      <c r="I841" s="4">
        <v>7.0000000000000007E-2</v>
      </c>
      <c r="J841" s="7">
        <v>2459.85</v>
      </c>
      <c r="K841" s="7">
        <f>Tabela1[[#This Row],[Valor Bruto]]-Tabela1[[#This Row],[Valor Venda]]</f>
        <v>185.15000000000009</v>
      </c>
      <c r="L841" s="1">
        <v>44284</v>
      </c>
      <c r="M841" s="1">
        <v>44284</v>
      </c>
      <c r="N841">
        <v>838</v>
      </c>
      <c r="O841">
        <v>3</v>
      </c>
      <c r="P841" t="s">
        <v>47</v>
      </c>
      <c r="Q841">
        <v>0.06</v>
      </c>
      <c r="R841" s="7">
        <v>147.59099999999998</v>
      </c>
      <c r="S841">
        <v>5</v>
      </c>
      <c r="T841" t="s">
        <v>110</v>
      </c>
    </row>
    <row r="842" spans="1:20">
      <c r="A842">
        <v>839</v>
      </c>
      <c r="B842" s="1">
        <v>44283</v>
      </c>
      <c r="C842">
        <v>68</v>
      </c>
      <c r="D842" t="s">
        <v>49</v>
      </c>
      <c r="E842" t="s">
        <v>54</v>
      </c>
      <c r="F842" s="8">
        <v>22</v>
      </c>
      <c r="G842" s="7">
        <v>116</v>
      </c>
      <c r="H842" s="7">
        <v>2552</v>
      </c>
      <c r="I842" s="4">
        <v>0.09</v>
      </c>
      <c r="J842" s="7">
        <v>2322.3200000000002</v>
      </c>
      <c r="K842" s="7">
        <f>Tabela1[[#This Row],[Valor Bruto]]-Tabela1[[#This Row],[Valor Venda]]</f>
        <v>229.67999999999984</v>
      </c>
      <c r="L842" s="1">
        <v>44312</v>
      </c>
      <c r="M842" s="1">
        <v>44312</v>
      </c>
      <c r="N842">
        <v>839</v>
      </c>
      <c r="O842">
        <v>5</v>
      </c>
      <c r="P842" t="s">
        <v>29</v>
      </c>
      <c r="Q842">
        <v>0.06</v>
      </c>
      <c r="R842" s="7">
        <v>139.33920000000001</v>
      </c>
      <c r="S842">
        <v>6</v>
      </c>
      <c r="T842" t="s">
        <v>110</v>
      </c>
    </row>
    <row r="843" spans="1:20">
      <c r="A843">
        <v>840</v>
      </c>
      <c r="B843" s="1">
        <v>44283</v>
      </c>
      <c r="C843">
        <v>50</v>
      </c>
      <c r="D843" t="s">
        <v>81</v>
      </c>
      <c r="E843" t="s">
        <v>50</v>
      </c>
      <c r="F843" s="8">
        <v>37</v>
      </c>
      <c r="G843" s="7">
        <v>91</v>
      </c>
      <c r="H843" s="7">
        <v>3367</v>
      </c>
      <c r="I843" s="4">
        <v>0.02</v>
      </c>
      <c r="J843" s="7">
        <v>3299.66</v>
      </c>
      <c r="K843" s="7">
        <f>Tabela1[[#This Row],[Valor Bruto]]-Tabela1[[#This Row],[Valor Venda]]</f>
        <v>67.340000000000146</v>
      </c>
      <c r="L843" s="1">
        <v>44284</v>
      </c>
      <c r="M843" s="1">
        <v>44284</v>
      </c>
      <c r="N843">
        <v>840</v>
      </c>
      <c r="O843">
        <v>7</v>
      </c>
      <c r="P843" t="s">
        <v>29</v>
      </c>
      <c r="Q843">
        <v>7.0000000000000007E-2</v>
      </c>
      <c r="R843" s="7">
        <v>230.97620000000001</v>
      </c>
      <c r="S843">
        <v>7</v>
      </c>
      <c r="T843" t="s">
        <v>110</v>
      </c>
    </row>
    <row r="844" spans="1:20">
      <c r="A844">
        <v>841</v>
      </c>
      <c r="B844" s="1">
        <v>44283</v>
      </c>
      <c r="C844">
        <v>23</v>
      </c>
      <c r="D844" t="s">
        <v>105</v>
      </c>
      <c r="E844" t="s">
        <v>55</v>
      </c>
      <c r="F844" s="8">
        <v>47</v>
      </c>
      <c r="G844" s="7">
        <v>99</v>
      </c>
      <c r="H844" s="7">
        <v>4653</v>
      </c>
      <c r="I844" s="4">
        <v>0.03</v>
      </c>
      <c r="J844" s="7">
        <v>4513.41</v>
      </c>
      <c r="K844" s="7">
        <f>Tabela1[[#This Row],[Valor Bruto]]-Tabela1[[#This Row],[Valor Venda]]</f>
        <v>139.59000000000015</v>
      </c>
      <c r="L844" s="1">
        <v>44307</v>
      </c>
      <c r="M844" s="1">
        <v>44307</v>
      </c>
      <c r="N844">
        <v>841</v>
      </c>
      <c r="O844">
        <v>3</v>
      </c>
      <c r="P844" t="s">
        <v>29</v>
      </c>
      <c r="Q844">
        <v>0.09</v>
      </c>
      <c r="R844" s="7">
        <v>406.20689999999996</v>
      </c>
      <c r="S844">
        <v>1</v>
      </c>
      <c r="T844" t="s">
        <v>110</v>
      </c>
    </row>
    <row r="845" spans="1:20">
      <c r="A845">
        <v>842</v>
      </c>
      <c r="B845" s="1">
        <v>44284</v>
      </c>
      <c r="C845">
        <v>85</v>
      </c>
      <c r="D845" t="s">
        <v>57</v>
      </c>
      <c r="E845" t="s">
        <v>24</v>
      </c>
      <c r="F845" s="8">
        <v>20</v>
      </c>
      <c r="G845" s="7">
        <v>93</v>
      </c>
      <c r="H845" s="7">
        <v>1860</v>
      </c>
      <c r="I845" s="4">
        <v>0.1</v>
      </c>
      <c r="J845" s="7">
        <v>1674</v>
      </c>
      <c r="K845" s="7">
        <f>Tabela1[[#This Row],[Valor Bruto]]-Tabela1[[#This Row],[Valor Venda]]</f>
        <v>186</v>
      </c>
      <c r="L845" s="1">
        <v>44288</v>
      </c>
      <c r="M845" s="1">
        <v>44288</v>
      </c>
      <c r="N845">
        <v>842</v>
      </c>
      <c r="O845">
        <v>2</v>
      </c>
      <c r="P845" t="s">
        <v>25</v>
      </c>
      <c r="Q845">
        <v>0.06</v>
      </c>
      <c r="R845" s="7">
        <v>100.44</v>
      </c>
      <c r="S845">
        <v>2</v>
      </c>
      <c r="T845" t="s">
        <v>110</v>
      </c>
    </row>
    <row r="846" spans="1:20">
      <c r="A846">
        <v>843</v>
      </c>
      <c r="B846" s="1">
        <v>44284</v>
      </c>
      <c r="C846">
        <v>1</v>
      </c>
      <c r="D846" t="s">
        <v>93</v>
      </c>
      <c r="E846" t="s">
        <v>54</v>
      </c>
      <c r="F846" s="8">
        <v>13</v>
      </c>
      <c r="G846" s="7">
        <v>92</v>
      </c>
      <c r="H846" s="7">
        <v>1196</v>
      </c>
      <c r="I846" s="4">
        <v>7.0000000000000007E-2</v>
      </c>
      <c r="J846" s="7">
        <v>1112.28</v>
      </c>
      <c r="K846" s="7">
        <f>Tabela1[[#This Row],[Valor Bruto]]-Tabela1[[#This Row],[Valor Venda]]</f>
        <v>83.720000000000027</v>
      </c>
      <c r="L846" s="1">
        <v>44311</v>
      </c>
      <c r="M846" s="1">
        <v>44311</v>
      </c>
      <c r="N846">
        <v>843</v>
      </c>
      <c r="O846">
        <v>4</v>
      </c>
      <c r="P846" t="s">
        <v>43</v>
      </c>
      <c r="Q846">
        <v>0.05</v>
      </c>
      <c r="R846" s="7">
        <v>55.614000000000004</v>
      </c>
      <c r="S846">
        <v>3</v>
      </c>
      <c r="T846" t="s">
        <v>110</v>
      </c>
    </row>
    <row r="847" spans="1:20">
      <c r="A847">
        <v>844</v>
      </c>
      <c r="B847" s="1">
        <v>44284</v>
      </c>
      <c r="C847">
        <v>68</v>
      </c>
      <c r="D847" t="s">
        <v>49</v>
      </c>
      <c r="E847" t="s">
        <v>54</v>
      </c>
      <c r="F847" s="8">
        <v>46</v>
      </c>
      <c r="G847" s="7">
        <v>104</v>
      </c>
      <c r="H847" s="7">
        <v>4784</v>
      </c>
      <c r="I847" s="4">
        <v>0.08</v>
      </c>
      <c r="J847" s="7">
        <v>4401.28</v>
      </c>
      <c r="K847" s="7">
        <f>Tabela1[[#This Row],[Valor Bruto]]-Tabela1[[#This Row],[Valor Venda]]</f>
        <v>382.72000000000025</v>
      </c>
      <c r="L847" s="1">
        <v>44314</v>
      </c>
      <c r="M847" s="1">
        <v>44314</v>
      </c>
      <c r="N847">
        <v>844</v>
      </c>
      <c r="O847">
        <v>1</v>
      </c>
      <c r="P847" t="s">
        <v>43</v>
      </c>
      <c r="Q847">
        <v>0.06</v>
      </c>
      <c r="R847" s="7">
        <v>264.07679999999999</v>
      </c>
      <c r="S847">
        <v>4</v>
      </c>
      <c r="T847" t="s">
        <v>110</v>
      </c>
    </row>
    <row r="848" spans="1:20">
      <c r="A848">
        <v>845</v>
      </c>
      <c r="B848" s="1">
        <v>44285</v>
      </c>
      <c r="C848">
        <v>85</v>
      </c>
      <c r="D848" t="s">
        <v>57</v>
      </c>
      <c r="E848" t="s">
        <v>54</v>
      </c>
      <c r="F848" s="8">
        <v>14</v>
      </c>
      <c r="G848" s="7">
        <v>93</v>
      </c>
      <c r="H848" s="7">
        <v>1302</v>
      </c>
      <c r="I848" s="4">
        <v>0.02</v>
      </c>
      <c r="J848" s="7">
        <v>1275.96</v>
      </c>
      <c r="K848" s="7">
        <f>Tabela1[[#This Row],[Valor Bruto]]-Tabela1[[#This Row],[Valor Venda]]</f>
        <v>26.039999999999964</v>
      </c>
      <c r="L848" s="1">
        <v>44290</v>
      </c>
      <c r="M848" s="1">
        <v>44290</v>
      </c>
      <c r="N848">
        <v>845</v>
      </c>
      <c r="O848">
        <v>2</v>
      </c>
      <c r="P848" t="s">
        <v>34</v>
      </c>
      <c r="Q848">
        <v>0.1</v>
      </c>
      <c r="R848" s="7">
        <v>127.596</v>
      </c>
      <c r="S848">
        <v>5</v>
      </c>
      <c r="T848" t="s">
        <v>110</v>
      </c>
    </row>
    <row r="849" spans="1:20">
      <c r="A849">
        <v>846</v>
      </c>
      <c r="B849" s="1">
        <v>44285</v>
      </c>
      <c r="C849">
        <v>86</v>
      </c>
      <c r="D849" t="s">
        <v>90</v>
      </c>
      <c r="E849" t="s">
        <v>46</v>
      </c>
      <c r="F849" s="8">
        <v>50</v>
      </c>
      <c r="G849" s="7">
        <v>118</v>
      </c>
      <c r="H849" s="7">
        <v>5900</v>
      </c>
      <c r="I849" s="4">
        <v>0.12</v>
      </c>
      <c r="J849" s="7">
        <v>5192</v>
      </c>
      <c r="K849" s="7">
        <f>Tabela1[[#This Row],[Valor Bruto]]-Tabela1[[#This Row],[Valor Venda]]</f>
        <v>708</v>
      </c>
      <c r="L849" s="1">
        <v>44313</v>
      </c>
      <c r="M849" s="1">
        <v>44313</v>
      </c>
      <c r="N849">
        <v>846</v>
      </c>
      <c r="O849">
        <v>7</v>
      </c>
      <c r="P849" t="s">
        <v>37</v>
      </c>
      <c r="Q849">
        <v>0.05</v>
      </c>
      <c r="R849" s="7">
        <v>259.60000000000002</v>
      </c>
      <c r="S849">
        <v>6</v>
      </c>
      <c r="T849" t="s">
        <v>110</v>
      </c>
    </row>
    <row r="850" spans="1:20">
      <c r="A850">
        <v>847</v>
      </c>
      <c r="B850" s="1">
        <v>44286</v>
      </c>
      <c r="C850">
        <v>57</v>
      </c>
      <c r="D850" t="s">
        <v>89</v>
      </c>
      <c r="E850" t="s">
        <v>55</v>
      </c>
      <c r="F850" s="8">
        <v>26</v>
      </c>
      <c r="G850" s="7">
        <v>103</v>
      </c>
      <c r="H850" s="7">
        <v>2678</v>
      </c>
      <c r="I850" s="4">
        <v>0.05</v>
      </c>
      <c r="J850" s="7">
        <v>2544.1</v>
      </c>
      <c r="K850" s="7">
        <f>Tabela1[[#This Row],[Valor Bruto]]-Tabela1[[#This Row],[Valor Venda]]</f>
        <v>133.90000000000009</v>
      </c>
      <c r="L850" s="1">
        <v>44314</v>
      </c>
      <c r="M850" s="1">
        <v>44314</v>
      </c>
      <c r="N850">
        <v>847</v>
      </c>
      <c r="O850">
        <v>6</v>
      </c>
      <c r="P850" t="s">
        <v>37</v>
      </c>
      <c r="Q850">
        <v>0.1</v>
      </c>
      <c r="R850" s="7">
        <v>254.41</v>
      </c>
      <c r="S850">
        <v>7</v>
      </c>
      <c r="T850" t="s">
        <v>110</v>
      </c>
    </row>
    <row r="851" spans="1:20">
      <c r="A851">
        <v>848</v>
      </c>
      <c r="B851" s="1">
        <v>44286</v>
      </c>
      <c r="C851">
        <v>84</v>
      </c>
      <c r="D851" t="s">
        <v>44</v>
      </c>
      <c r="E851" t="s">
        <v>24</v>
      </c>
      <c r="F851" s="8">
        <v>42</v>
      </c>
      <c r="G851" s="7">
        <v>91</v>
      </c>
      <c r="H851" s="7">
        <v>3822</v>
      </c>
      <c r="I851" s="4">
        <v>0.01</v>
      </c>
      <c r="J851" s="7">
        <v>3783.78</v>
      </c>
      <c r="K851" s="7">
        <f>Tabela1[[#This Row],[Valor Bruto]]-Tabela1[[#This Row],[Valor Venda]]</f>
        <v>38.2199999999998</v>
      </c>
      <c r="L851" s="1">
        <v>44294</v>
      </c>
      <c r="M851" s="1">
        <v>44294</v>
      </c>
      <c r="N851">
        <v>848</v>
      </c>
      <c r="O851">
        <v>6</v>
      </c>
      <c r="P851" t="s">
        <v>34</v>
      </c>
      <c r="Q851">
        <v>0.06</v>
      </c>
      <c r="R851" s="7">
        <v>227.02680000000001</v>
      </c>
      <c r="S851">
        <v>1</v>
      </c>
      <c r="T851" t="s">
        <v>110</v>
      </c>
    </row>
    <row r="852" spans="1:20">
      <c r="A852">
        <v>849</v>
      </c>
      <c r="B852" s="1">
        <v>44286</v>
      </c>
      <c r="C852">
        <v>58</v>
      </c>
      <c r="D852" t="s">
        <v>72</v>
      </c>
      <c r="E852" t="s">
        <v>21</v>
      </c>
      <c r="F852" s="8">
        <v>21</v>
      </c>
      <c r="G852" s="7">
        <v>93</v>
      </c>
      <c r="H852" s="7">
        <v>1953</v>
      </c>
      <c r="I852" s="4">
        <v>0</v>
      </c>
      <c r="J852" s="7">
        <v>1953</v>
      </c>
      <c r="K852" s="7">
        <f>Tabela1[[#This Row],[Valor Bruto]]-Tabela1[[#This Row],[Valor Venda]]</f>
        <v>0</v>
      </c>
      <c r="L852" s="1">
        <v>44308</v>
      </c>
      <c r="M852" s="1">
        <v>44308</v>
      </c>
      <c r="N852">
        <v>849</v>
      </c>
      <c r="O852">
        <v>2</v>
      </c>
      <c r="P852" t="s">
        <v>29</v>
      </c>
      <c r="Q852">
        <v>0.1</v>
      </c>
      <c r="R852" s="7">
        <v>195.3</v>
      </c>
      <c r="S852">
        <v>2</v>
      </c>
      <c r="T852" t="s">
        <v>110</v>
      </c>
    </row>
    <row r="853" spans="1:20">
      <c r="A853">
        <v>850</v>
      </c>
      <c r="B853" s="1">
        <v>44287</v>
      </c>
      <c r="C853">
        <v>11</v>
      </c>
      <c r="D853" t="s">
        <v>60</v>
      </c>
      <c r="E853" t="s">
        <v>21</v>
      </c>
      <c r="F853" s="8">
        <v>49</v>
      </c>
      <c r="G853" s="7">
        <v>114</v>
      </c>
      <c r="H853" s="7">
        <v>5586</v>
      </c>
      <c r="I853" s="4">
        <v>0.14000000000000001</v>
      </c>
      <c r="J853" s="7">
        <v>4803.96</v>
      </c>
      <c r="K853" s="7">
        <f>Tabela1[[#This Row],[Valor Bruto]]-Tabela1[[#This Row],[Valor Venda]]</f>
        <v>782.04</v>
      </c>
      <c r="L853" s="1">
        <v>44309</v>
      </c>
      <c r="M853" s="1">
        <v>44309</v>
      </c>
      <c r="N853">
        <v>850</v>
      </c>
      <c r="O853">
        <v>1</v>
      </c>
      <c r="P853" t="s">
        <v>37</v>
      </c>
      <c r="Q853">
        <v>0.08</v>
      </c>
      <c r="R853" s="7">
        <v>384.3168</v>
      </c>
      <c r="S853">
        <v>3</v>
      </c>
      <c r="T853" t="s">
        <v>111</v>
      </c>
    </row>
    <row r="854" spans="1:20">
      <c r="A854">
        <v>851</v>
      </c>
      <c r="B854" s="1">
        <v>44287</v>
      </c>
      <c r="C854">
        <v>58</v>
      </c>
      <c r="D854" t="s">
        <v>72</v>
      </c>
      <c r="E854" t="s">
        <v>50</v>
      </c>
      <c r="F854" s="8">
        <v>23</v>
      </c>
      <c r="G854" s="7">
        <v>106</v>
      </c>
      <c r="H854" s="7">
        <v>2438</v>
      </c>
      <c r="I854" s="4">
        <v>0.08</v>
      </c>
      <c r="J854" s="7">
        <v>2242.96</v>
      </c>
      <c r="K854" s="7">
        <f>Tabela1[[#This Row],[Valor Bruto]]-Tabela1[[#This Row],[Valor Venda]]</f>
        <v>195.03999999999996</v>
      </c>
      <c r="L854" s="1">
        <v>44314</v>
      </c>
      <c r="M854" s="1">
        <v>44314</v>
      </c>
      <c r="N854">
        <v>851</v>
      </c>
      <c r="O854">
        <v>2</v>
      </c>
      <c r="P854" t="s">
        <v>52</v>
      </c>
      <c r="Q854">
        <v>0.08</v>
      </c>
      <c r="R854" s="7">
        <v>179.43680000000001</v>
      </c>
      <c r="S854">
        <v>4</v>
      </c>
      <c r="T854" t="s">
        <v>111</v>
      </c>
    </row>
    <row r="855" spans="1:20">
      <c r="A855">
        <v>852</v>
      </c>
      <c r="B855" s="1">
        <v>44288</v>
      </c>
      <c r="C855">
        <v>2</v>
      </c>
      <c r="D855" t="s">
        <v>35</v>
      </c>
      <c r="E855" t="s">
        <v>41</v>
      </c>
      <c r="F855" s="8">
        <v>17</v>
      </c>
      <c r="G855" s="7">
        <v>102</v>
      </c>
      <c r="H855" s="7">
        <v>1734</v>
      </c>
      <c r="I855" s="4">
        <v>0.06</v>
      </c>
      <c r="J855" s="7">
        <v>1629.96</v>
      </c>
      <c r="K855" s="7">
        <f>Tabela1[[#This Row],[Valor Bruto]]-Tabela1[[#This Row],[Valor Venda]]</f>
        <v>104.03999999999996</v>
      </c>
      <c r="L855" s="1">
        <v>44312</v>
      </c>
      <c r="M855" s="1">
        <v>44312</v>
      </c>
      <c r="N855">
        <v>852</v>
      </c>
      <c r="O855">
        <v>3</v>
      </c>
      <c r="P855" t="s">
        <v>52</v>
      </c>
      <c r="Q855">
        <v>0.1</v>
      </c>
      <c r="R855" s="7">
        <v>162.99600000000001</v>
      </c>
      <c r="S855">
        <v>5</v>
      </c>
      <c r="T855" t="s">
        <v>111</v>
      </c>
    </row>
    <row r="856" spans="1:20">
      <c r="A856">
        <v>853</v>
      </c>
      <c r="B856" s="1">
        <v>44288</v>
      </c>
      <c r="C856">
        <v>14</v>
      </c>
      <c r="D856" t="s">
        <v>27</v>
      </c>
      <c r="E856" t="s">
        <v>21</v>
      </c>
      <c r="F856" s="8">
        <v>39</v>
      </c>
      <c r="G856" s="7">
        <v>118</v>
      </c>
      <c r="H856" s="7">
        <v>4602</v>
      </c>
      <c r="I856" s="4">
        <v>0.08</v>
      </c>
      <c r="J856" s="7">
        <v>4233.84</v>
      </c>
      <c r="K856" s="7">
        <f>Tabela1[[#This Row],[Valor Bruto]]-Tabela1[[#This Row],[Valor Venda]]</f>
        <v>368.15999999999985</v>
      </c>
      <c r="L856" s="1">
        <v>44317</v>
      </c>
      <c r="M856" s="1">
        <v>44317</v>
      </c>
      <c r="N856">
        <v>853</v>
      </c>
      <c r="O856">
        <v>5</v>
      </c>
      <c r="P856" t="s">
        <v>34</v>
      </c>
      <c r="Q856">
        <v>0.05</v>
      </c>
      <c r="R856" s="7">
        <v>211.69200000000001</v>
      </c>
      <c r="S856">
        <v>6</v>
      </c>
      <c r="T856" t="s">
        <v>111</v>
      </c>
    </row>
    <row r="857" spans="1:20">
      <c r="A857">
        <v>854</v>
      </c>
      <c r="B857" s="1">
        <v>44288</v>
      </c>
      <c r="C857">
        <v>85</v>
      </c>
      <c r="D857" t="s">
        <v>57</v>
      </c>
      <c r="E857" t="s">
        <v>54</v>
      </c>
      <c r="F857" s="8">
        <v>35</v>
      </c>
      <c r="G857" s="7">
        <v>101</v>
      </c>
      <c r="H857" s="7">
        <v>3535</v>
      </c>
      <c r="I857" s="4">
        <v>0.09</v>
      </c>
      <c r="J857" s="7">
        <v>3216.85</v>
      </c>
      <c r="K857" s="7">
        <f>Tabela1[[#This Row],[Valor Bruto]]-Tabela1[[#This Row],[Valor Venda]]</f>
        <v>318.15000000000009</v>
      </c>
      <c r="L857" s="1">
        <v>44295</v>
      </c>
      <c r="M857" s="1">
        <v>44295</v>
      </c>
      <c r="N857">
        <v>854</v>
      </c>
      <c r="O857">
        <v>7</v>
      </c>
      <c r="P857" t="s">
        <v>22</v>
      </c>
      <c r="Q857">
        <v>7.0000000000000007E-2</v>
      </c>
      <c r="R857" s="7">
        <v>225.17950000000002</v>
      </c>
      <c r="S857">
        <v>7</v>
      </c>
      <c r="T857" t="s">
        <v>111</v>
      </c>
    </row>
    <row r="858" spans="1:20">
      <c r="A858">
        <v>855</v>
      </c>
      <c r="B858" s="1">
        <v>44289</v>
      </c>
      <c r="C858">
        <v>7</v>
      </c>
      <c r="D858" t="s">
        <v>102</v>
      </c>
      <c r="E858" t="s">
        <v>28</v>
      </c>
      <c r="F858" s="8">
        <v>27</v>
      </c>
      <c r="G858" s="7">
        <v>109</v>
      </c>
      <c r="H858" s="7">
        <v>2943</v>
      </c>
      <c r="I858" s="4">
        <v>0.06</v>
      </c>
      <c r="J858" s="7">
        <v>2766.42</v>
      </c>
      <c r="K858" s="7">
        <f>Tabela1[[#This Row],[Valor Bruto]]-Tabela1[[#This Row],[Valor Venda]]</f>
        <v>176.57999999999993</v>
      </c>
      <c r="L858" s="1">
        <v>44308</v>
      </c>
      <c r="M858" s="1">
        <v>44308</v>
      </c>
      <c r="N858">
        <v>855</v>
      </c>
      <c r="O858">
        <v>2</v>
      </c>
      <c r="P858" t="s">
        <v>32</v>
      </c>
      <c r="Q858">
        <v>0.05</v>
      </c>
      <c r="R858" s="7">
        <v>138.321</v>
      </c>
      <c r="S858">
        <v>1</v>
      </c>
      <c r="T858" t="s">
        <v>111</v>
      </c>
    </row>
    <row r="859" spans="1:20">
      <c r="A859">
        <v>856</v>
      </c>
      <c r="B859" s="1">
        <v>44289</v>
      </c>
      <c r="C859">
        <v>46</v>
      </c>
      <c r="D859" t="s">
        <v>94</v>
      </c>
      <c r="E859" t="s">
        <v>50</v>
      </c>
      <c r="F859" s="8">
        <v>45</v>
      </c>
      <c r="G859" s="7">
        <v>109</v>
      </c>
      <c r="H859" s="7">
        <v>4905</v>
      </c>
      <c r="I859" s="4">
        <v>0.13</v>
      </c>
      <c r="J859" s="7">
        <v>4267.3500000000004</v>
      </c>
      <c r="K859" s="7">
        <f>Tabela1[[#This Row],[Valor Bruto]]-Tabela1[[#This Row],[Valor Venda]]</f>
        <v>637.64999999999964</v>
      </c>
      <c r="L859" s="1">
        <v>44298</v>
      </c>
      <c r="M859" s="1">
        <v>44298</v>
      </c>
      <c r="N859">
        <v>856</v>
      </c>
      <c r="O859">
        <v>3</v>
      </c>
      <c r="P859" t="s">
        <v>52</v>
      </c>
      <c r="Q859">
        <v>7.0000000000000007E-2</v>
      </c>
      <c r="R859" s="7">
        <v>298.71450000000004</v>
      </c>
      <c r="S859">
        <v>2</v>
      </c>
      <c r="T859" t="s">
        <v>111</v>
      </c>
    </row>
    <row r="860" spans="1:20">
      <c r="A860">
        <v>857</v>
      </c>
      <c r="B860" s="1">
        <v>44289</v>
      </c>
      <c r="C860">
        <v>38</v>
      </c>
      <c r="D860" t="s">
        <v>73</v>
      </c>
      <c r="E860" t="s">
        <v>31</v>
      </c>
      <c r="F860" s="8">
        <v>48</v>
      </c>
      <c r="G860" s="7">
        <v>101</v>
      </c>
      <c r="H860" s="7">
        <v>4848</v>
      </c>
      <c r="I860" s="4">
        <v>0.02</v>
      </c>
      <c r="J860" s="7">
        <v>4751.04</v>
      </c>
      <c r="K860" s="7">
        <f>Tabela1[[#This Row],[Valor Bruto]]-Tabela1[[#This Row],[Valor Venda]]</f>
        <v>96.960000000000036</v>
      </c>
      <c r="L860" s="1">
        <v>44301</v>
      </c>
      <c r="M860" s="1">
        <v>44301</v>
      </c>
      <c r="N860">
        <v>857</v>
      </c>
      <c r="O860">
        <v>2</v>
      </c>
      <c r="P860" t="s">
        <v>37</v>
      </c>
      <c r="Q860">
        <v>0.06</v>
      </c>
      <c r="R860" s="7">
        <v>285.06239999999997</v>
      </c>
      <c r="S860">
        <v>3</v>
      </c>
      <c r="T860" t="s">
        <v>111</v>
      </c>
    </row>
    <row r="861" spans="1:20">
      <c r="A861">
        <v>858</v>
      </c>
      <c r="B861" s="1">
        <v>44290</v>
      </c>
      <c r="C861">
        <v>33</v>
      </c>
      <c r="D861" t="s">
        <v>76</v>
      </c>
      <c r="E861" t="s">
        <v>54</v>
      </c>
      <c r="F861" s="8">
        <v>46</v>
      </c>
      <c r="G861" s="7">
        <v>118</v>
      </c>
      <c r="H861" s="7">
        <v>5428</v>
      </c>
      <c r="I861" s="4">
        <v>0</v>
      </c>
      <c r="J861" s="7">
        <v>5428</v>
      </c>
      <c r="K861" s="7">
        <f>Tabela1[[#This Row],[Valor Bruto]]-Tabela1[[#This Row],[Valor Venda]]</f>
        <v>0</v>
      </c>
      <c r="L861" s="1">
        <v>44313</v>
      </c>
      <c r="M861" s="1">
        <v>44313</v>
      </c>
      <c r="N861">
        <v>858</v>
      </c>
      <c r="O861">
        <v>1</v>
      </c>
      <c r="P861" t="s">
        <v>34</v>
      </c>
      <c r="Q861">
        <v>0.09</v>
      </c>
      <c r="R861" s="7">
        <v>488.52</v>
      </c>
      <c r="S861">
        <v>4</v>
      </c>
      <c r="T861" t="s">
        <v>111</v>
      </c>
    </row>
    <row r="862" spans="1:20">
      <c r="A862">
        <v>859</v>
      </c>
      <c r="B862" s="1">
        <v>44290</v>
      </c>
      <c r="C862">
        <v>48</v>
      </c>
      <c r="D862" t="s">
        <v>61</v>
      </c>
      <c r="E862" t="s">
        <v>31</v>
      </c>
      <c r="F862" s="8">
        <v>11</v>
      </c>
      <c r="G862" s="7">
        <v>98</v>
      </c>
      <c r="H862" s="7">
        <v>1078</v>
      </c>
      <c r="I862" s="4">
        <v>0.08</v>
      </c>
      <c r="J862" s="7">
        <v>991.76</v>
      </c>
      <c r="K862" s="7">
        <f>Tabela1[[#This Row],[Valor Bruto]]-Tabela1[[#This Row],[Valor Venda]]</f>
        <v>86.240000000000009</v>
      </c>
      <c r="L862" s="1">
        <v>44290</v>
      </c>
      <c r="M862" s="1">
        <v>44290</v>
      </c>
      <c r="N862">
        <v>859</v>
      </c>
      <c r="O862">
        <v>1</v>
      </c>
      <c r="P862" t="s">
        <v>32</v>
      </c>
      <c r="Q862">
        <v>0.1</v>
      </c>
      <c r="R862" s="7">
        <v>99.176000000000002</v>
      </c>
      <c r="S862">
        <v>5</v>
      </c>
      <c r="T862" t="s">
        <v>111</v>
      </c>
    </row>
    <row r="863" spans="1:20">
      <c r="A863">
        <v>860</v>
      </c>
      <c r="B863" s="1">
        <v>44290</v>
      </c>
      <c r="C863">
        <v>13</v>
      </c>
      <c r="D863" t="s">
        <v>75</v>
      </c>
      <c r="E863" t="s">
        <v>50</v>
      </c>
      <c r="F863" s="8">
        <v>45</v>
      </c>
      <c r="G863" s="7">
        <v>95</v>
      </c>
      <c r="H863" s="7">
        <v>4275</v>
      </c>
      <c r="I863" s="4">
        <v>0.12</v>
      </c>
      <c r="J863" s="7">
        <v>3762</v>
      </c>
      <c r="K863" s="7">
        <f>Tabela1[[#This Row],[Valor Bruto]]-Tabela1[[#This Row],[Valor Venda]]</f>
        <v>513</v>
      </c>
      <c r="L863" s="1">
        <v>44295</v>
      </c>
      <c r="M863" s="1">
        <v>44295</v>
      </c>
      <c r="N863">
        <v>860</v>
      </c>
      <c r="O863">
        <v>2</v>
      </c>
      <c r="P863" t="s">
        <v>25</v>
      </c>
      <c r="Q863">
        <v>0.08</v>
      </c>
      <c r="R863" s="7">
        <v>300.95999999999998</v>
      </c>
      <c r="S863">
        <v>6</v>
      </c>
      <c r="T863" t="s">
        <v>111</v>
      </c>
    </row>
    <row r="864" spans="1:20">
      <c r="A864">
        <v>861</v>
      </c>
      <c r="B864" s="1">
        <v>44290</v>
      </c>
      <c r="C864">
        <v>45</v>
      </c>
      <c r="D864" t="s">
        <v>38</v>
      </c>
      <c r="E864" t="s">
        <v>41</v>
      </c>
      <c r="F864" s="8">
        <v>41</v>
      </c>
      <c r="G864" s="7">
        <v>101</v>
      </c>
      <c r="H864" s="7">
        <v>4141</v>
      </c>
      <c r="I864" s="4">
        <v>0.15</v>
      </c>
      <c r="J864" s="7">
        <v>3519.85</v>
      </c>
      <c r="K864" s="7">
        <f>Tabela1[[#This Row],[Valor Bruto]]-Tabela1[[#This Row],[Valor Venda]]</f>
        <v>621.15000000000009</v>
      </c>
      <c r="L864" s="1">
        <v>44297</v>
      </c>
      <c r="M864" s="1">
        <v>44297</v>
      </c>
      <c r="N864">
        <v>861</v>
      </c>
      <c r="O864">
        <v>1</v>
      </c>
      <c r="P864" t="s">
        <v>69</v>
      </c>
      <c r="Q864">
        <v>7.0000000000000007E-2</v>
      </c>
      <c r="R864" s="7">
        <v>246.38950000000003</v>
      </c>
      <c r="S864">
        <v>7</v>
      </c>
      <c r="T864" t="s">
        <v>111</v>
      </c>
    </row>
    <row r="865" spans="1:20">
      <c r="A865">
        <v>862</v>
      </c>
      <c r="B865" s="1">
        <v>44291</v>
      </c>
      <c r="C865">
        <v>27</v>
      </c>
      <c r="D865" t="s">
        <v>101</v>
      </c>
      <c r="E865" t="s">
        <v>54</v>
      </c>
      <c r="F865" s="8">
        <v>23</v>
      </c>
      <c r="G865" s="7">
        <v>110</v>
      </c>
      <c r="H865" s="7">
        <v>2530</v>
      </c>
      <c r="I865" s="4">
        <v>7.0000000000000007E-2</v>
      </c>
      <c r="J865" s="7">
        <v>2352.9</v>
      </c>
      <c r="K865" s="7">
        <f>Tabela1[[#This Row],[Valor Bruto]]-Tabela1[[#This Row],[Valor Venda]]</f>
        <v>177.09999999999991</v>
      </c>
      <c r="L865" s="1">
        <v>44308</v>
      </c>
      <c r="M865" s="1">
        <v>44308</v>
      </c>
      <c r="N865">
        <v>862</v>
      </c>
      <c r="O865">
        <v>1</v>
      </c>
      <c r="P865" t="s">
        <v>34</v>
      </c>
      <c r="Q865">
        <v>0.06</v>
      </c>
      <c r="R865" s="7">
        <v>141.17400000000001</v>
      </c>
      <c r="S865">
        <v>1</v>
      </c>
      <c r="T865" t="s">
        <v>111</v>
      </c>
    </row>
    <row r="866" spans="1:20">
      <c r="A866">
        <v>863</v>
      </c>
      <c r="B866" s="1">
        <v>44291</v>
      </c>
      <c r="C866">
        <v>32</v>
      </c>
      <c r="D866" t="s">
        <v>77</v>
      </c>
      <c r="E866" t="s">
        <v>59</v>
      </c>
      <c r="F866" s="8">
        <v>46</v>
      </c>
      <c r="G866" s="7">
        <v>106</v>
      </c>
      <c r="H866" s="7">
        <v>4876</v>
      </c>
      <c r="I866" s="4">
        <v>0.01</v>
      </c>
      <c r="J866" s="7">
        <v>4827.24</v>
      </c>
      <c r="K866" s="7">
        <f>Tabela1[[#This Row],[Valor Bruto]]-Tabela1[[#This Row],[Valor Venda]]</f>
        <v>48.760000000000218</v>
      </c>
      <c r="L866" s="1">
        <v>44312</v>
      </c>
      <c r="M866" s="1">
        <v>44312</v>
      </c>
      <c r="N866">
        <v>863</v>
      </c>
      <c r="O866">
        <v>1</v>
      </c>
      <c r="P866" t="s">
        <v>32</v>
      </c>
      <c r="Q866">
        <v>0.08</v>
      </c>
      <c r="R866" s="7">
        <v>386.17919999999998</v>
      </c>
      <c r="S866">
        <v>2</v>
      </c>
      <c r="T866" t="s">
        <v>111</v>
      </c>
    </row>
    <row r="867" spans="1:20">
      <c r="A867">
        <v>864</v>
      </c>
      <c r="B867" s="1">
        <v>44292</v>
      </c>
      <c r="C867">
        <v>16</v>
      </c>
      <c r="D867" t="s">
        <v>27</v>
      </c>
      <c r="E867" t="s">
        <v>21</v>
      </c>
      <c r="F867" s="8">
        <v>28</v>
      </c>
      <c r="G867" s="7">
        <v>106</v>
      </c>
      <c r="H867" s="7">
        <v>2968</v>
      </c>
      <c r="I867" s="4">
        <v>7.0000000000000007E-2</v>
      </c>
      <c r="J867" s="7">
        <v>2760.24</v>
      </c>
      <c r="K867" s="7">
        <f>Tabela1[[#This Row],[Valor Bruto]]-Tabela1[[#This Row],[Valor Venda]]</f>
        <v>207.76000000000022</v>
      </c>
      <c r="L867" s="1">
        <v>44292</v>
      </c>
      <c r="M867" s="1">
        <v>44292</v>
      </c>
      <c r="N867">
        <v>864</v>
      </c>
      <c r="O867">
        <v>4</v>
      </c>
      <c r="P867" t="s">
        <v>37</v>
      </c>
      <c r="Q867">
        <v>0.1</v>
      </c>
      <c r="R867" s="7">
        <v>276.024</v>
      </c>
      <c r="S867">
        <v>3</v>
      </c>
      <c r="T867" t="s">
        <v>111</v>
      </c>
    </row>
    <row r="868" spans="1:20">
      <c r="A868">
        <v>865</v>
      </c>
      <c r="B868" s="1">
        <v>44293</v>
      </c>
      <c r="C868">
        <v>29</v>
      </c>
      <c r="D868" t="s">
        <v>98</v>
      </c>
      <c r="E868" t="s">
        <v>59</v>
      </c>
      <c r="F868" s="8">
        <v>30</v>
      </c>
      <c r="G868" s="7">
        <v>112</v>
      </c>
      <c r="H868" s="7">
        <v>3360</v>
      </c>
      <c r="I868" s="4">
        <v>0</v>
      </c>
      <c r="J868" s="7">
        <v>3360</v>
      </c>
      <c r="K868" s="7">
        <f>Tabela1[[#This Row],[Valor Bruto]]-Tabela1[[#This Row],[Valor Venda]]</f>
        <v>0</v>
      </c>
      <c r="L868" s="1">
        <v>44312</v>
      </c>
      <c r="M868" s="1">
        <v>44312</v>
      </c>
      <c r="N868">
        <v>865</v>
      </c>
      <c r="O868">
        <v>4</v>
      </c>
      <c r="P868" t="s">
        <v>47</v>
      </c>
      <c r="Q868">
        <v>7.0000000000000007E-2</v>
      </c>
      <c r="R868" s="7">
        <v>235.20000000000002</v>
      </c>
      <c r="S868">
        <v>4</v>
      </c>
      <c r="T868" t="s">
        <v>111</v>
      </c>
    </row>
    <row r="869" spans="1:20">
      <c r="A869">
        <v>866</v>
      </c>
      <c r="B869" s="1">
        <v>44293</v>
      </c>
      <c r="C869">
        <v>86</v>
      </c>
      <c r="D869" t="s">
        <v>90</v>
      </c>
      <c r="E869" t="s">
        <v>46</v>
      </c>
      <c r="F869" s="8">
        <v>39</v>
      </c>
      <c r="G869" s="7">
        <v>108</v>
      </c>
      <c r="H869" s="7">
        <v>4212</v>
      </c>
      <c r="I869" s="4">
        <v>0.15</v>
      </c>
      <c r="J869" s="7">
        <v>3580.2</v>
      </c>
      <c r="K869" s="7">
        <f>Tabela1[[#This Row],[Valor Bruto]]-Tabela1[[#This Row],[Valor Venda]]</f>
        <v>631.80000000000018</v>
      </c>
      <c r="L869" s="1">
        <v>44307</v>
      </c>
      <c r="M869" s="1">
        <v>44307</v>
      </c>
      <c r="N869">
        <v>866</v>
      </c>
      <c r="O869">
        <v>7</v>
      </c>
      <c r="P869" t="s">
        <v>43</v>
      </c>
      <c r="Q869">
        <v>0.05</v>
      </c>
      <c r="R869" s="7">
        <v>179.01</v>
      </c>
      <c r="S869">
        <v>5</v>
      </c>
      <c r="T869" t="s">
        <v>111</v>
      </c>
    </row>
    <row r="870" spans="1:20">
      <c r="A870">
        <v>867</v>
      </c>
      <c r="B870" s="1">
        <v>44294</v>
      </c>
      <c r="C870">
        <v>18</v>
      </c>
      <c r="D870" t="s">
        <v>83</v>
      </c>
      <c r="E870" t="s">
        <v>55</v>
      </c>
      <c r="F870" s="8">
        <v>14</v>
      </c>
      <c r="G870" s="7">
        <v>97</v>
      </c>
      <c r="H870" s="7">
        <v>1358</v>
      </c>
      <c r="I870" s="4">
        <v>0.03</v>
      </c>
      <c r="J870" s="7">
        <v>1317.26</v>
      </c>
      <c r="K870" s="7">
        <f>Tabela1[[#This Row],[Valor Bruto]]-Tabela1[[#This Row],[Valor Venda]]</f>
        <v>40.740000000000009</v>
      </c>
      <c r="L870" s="1">
        <v>44297</v>
      </c>
      <c r="M870" s="1">
        <v>44297</v>
      </c>
      <c r="N870">
        <v>867</v>
      </c>
      <c r="O870">
        <v>2</v>
      </c>
      <c r="P870" t="s">
        <v>69</v>
      </c>
      <c r="Q870">
        <v>0.09</v>
      </c>
      <c r="R870" s="7">
        <v>118.5534</v>
      </c>
      <c r="S870">
        <v>6</v>
      </c>
      <c r="T870" t="s">
        <v>111</v>
      </c>
    </row>
    <row r="871" spans="1:20">
      <c r="A871">
        <v>868</v>
      </c>
      <c r="B871" s="1">
        <v>44294</v>
      </c>
      <c r="C871">
        <v>81</v>
      </c>
      <c r="D871" t="s">
        <v>103</v>
      </c>
      <c r="E871" t="s">
        <v>46</v>
      </c>
      <c r="F871" s="8">
        <v>15</v>
      </c>
      <c r="G871" s="7">
        <v>90</v>
      </c>
      <c r="H871" s="7">
        <v>1350</v>
      </c>
      <c r="I871" s="4">
        <v>0.09</v>
      </c>
      <c r="J871" s="7">
        <v>1228.5</v>
      </c>
      <c r="K871" s="7">
        <f>Tabela1[[#This Row],[Valor Bruto]]-Tabela1[[#This Row],[Valor Venda]]</f>
        <v>121.5</v>
      </c>
      <c r="L871" s="1">
        <v>44324</v>
      </c>
      <c r="M871" s="1">
        <v>44324</v>
      </c>
      <c r="N871">
        <v>868</v>
      </c>
      <c r="O871">
        <v>6</v>
      </c>
      <c r="P871" t="s">
        <v>34</v>
      </c>
      <c r="Q871">
        <v>0.06</v>
      </c>
      <c r="R871" s="7">
        <v>73.709999999999994</v>
      </c>
      <c r="S871">
        <v>7</v>
      </c>
      <c r="T871" t="s">
        <v>111</v>
      </c>
    </row>
    <row r="872" spans="1:20">
      <c r="A872">
        <v>869</v>
      </c>
      <c r="B872" s="1">
        <v>44295</v>
      </c>
      <c r="C872">
        <v>49</v>
      </c>
      <c r="D872" t="s">
        <v>38</v>
      </c>
      <c r="E872" t="s">
        <v>41</v>
      </c>
      <c r="F872" s="8">
        <v>29</v>
      </c>
      <c r="G872" s="7">
        <v>102</v>
      </c>
      <c r="H872" s="7">
        <v>2958</v>
      </c>
      <c r="I872" s="4">
        <v>0.13</v>
      </c>
      <c r="J872" s="7">
        <v>2573.46</v>
      </c>
      <c r="K872" s="7">
        <f>Tabela1[[#This Row],[Valor Bruto]]-Tabela1[[#This Row],[Valor Venda]]</f>
        <v>384.53999999999996</v>
      </c>
      <c r="L872" s="1">
        <v>44300</v>
      </c>
      <c r="M872" s="1">
        <v>44300</v>
      </c>
      <c r="N872">
        <v>869</v>
      </c>
      <c r="O872">
        <v>3</v>
      </c>
      <c r="P872" t="s">
        <v>22</v>
      </c>
      <c r="Q872">
        <v>0.1</v>
      </c>
      <c r="R872" s="7">
        <v>257.346</v>
      </c>
      <c r="S872">
        <v>1</v>
      </c>
      <c r="T872" t="s">
        <v>111</v>
      </c>
    </row>
    <row r="873" spans="1:20">
      <c r="A873">
        <v>870</v>
      </c>
      <c r="B873" s="1">
        <v>44295</v>
      </c>
      <c r="C873">
        <v>59</v>
      </c>
      <c r="D873" t="s">
        <v>97</v>
      </c>
      <c r="E873" t="s">
        <v>28</v>
      </c>
      <c r="F873" s="8">
        <v>29</v>
      </c>
      <c r="G873" s="7">
        <v>94</v>
      </c>
      <c r="H873" s="7">
        <v>2726</v>
      </c>
      <c r="I873" s="4">
        <v>0</v>
      </c>
      <c r="J873" s="7">
        <v>2726</v>
      </c>
      <c r="K873" s="7">
        <f>Tabela1[[#This Row],[Valor Bruto]]-Tabela1[[#This Row],[Valor Venda]]</f>
        <v>0</v>
      </c>
      <c r="L873" s="1">
        <v>44313</v>
      </c>
      <c r="M873" s="1">
        <v>44313</v>
      </c>
      <c r="N873">
        <v>870</v>
      </c>
      <c r="O873">
        <v>1</v>
      </c>
      <c r="P873" t="s">
        <v>32</v>
      </c>
      <c r="Q873">
        <v>0.05</v>
      </c>
      <c r="R873" s="7">
        <v>136.30000000000001</v>
      </c>
      <c r="S873">
        <v>2</v>
      </c>
      <c r="T873" t="s">
        <v>111</v>
      </c>
    </row>
    <row r="874" spans="1:20">
      <c r="A874">
        <v>871</v>
      </c>
      <c r="B874" s="1">
        <v>44296</v>
      </c>
      <c r="C874">
        <v>15</v>
      </c>
      <c r="D874" t="s">
        <v>77</v>
      </c>
      <c r="E874" t="s">
        <v>46</v>
      </c>
      <c r="F874" s="8">
        <v>35</v>
      </c>
      <c r="G874" s="7">
        <v>109</v>
      </c>
      <c r="H874" s="7">
        <v>3815</v>
      </c>
      <c r="I874" s="4">
        <v>0.01</v>
      </c>
      <c r="J874" s="7">
        <v>3776.85</v>
      </c>
      <c r="K874" s="7">
        <f>Tabela1[[#This Row],[Valor Bruto]]-Tabela1[[#This Row],[Valor Venda]]</f>
        <v>38.150000000000091</v>
      </c>
      <c r="L874" s="1">
        <v>44316</v>
      </c>
      <c r="M874" s="1">
        <v>44316</v>
      </c>
      <c r="N874">
        <v>871</v>
      </c>
      <c r="O874">
        <v>6</v>
      </c>
      <c r="P874" t="s">
        <v>32</v>
      </c>
      <c r="Q874">
        <v>0.06</v>
      </c>
      <c r="R874" s="7">
        <v>226.61099999999999</v>
      </c>
      <c r="S874">
        <v>3</v>
      </c>
      <c r="T874" t="s">
        <v>111</v>
      </c>
    </row>
    <row r="875" spans="1:20">
      <c r="A875">
        <v>872</v>
      </c>
      <c r="B875" s="1">
        <v>44296</v>
      </c>
      <c r="C875">
        <v>62</v>
      </c>
      <c r="D875" t="s">
        <v>38</v>
      </c>
      <c r="E875" t="s">
        <v>28</v>
      </c>
      <c r="F875" s="8">
        <v>41</v>
      </c>
      <c r="G875" s="7">
        <v>115</v>
      </c>
      <c r="H875" s="7">
        <v>4715</v>
      </c>
      <c r="I875" s="4">
        <v>0.02</v>
      </c>
      <c r="J875" s="7">
        <v>4620.7</v>
      </c>
      <c r="K875" s="7">
        <f>Tabela1[[#This Row],[Valor Bruto]]-Tabela1[[#This Row],[Valor Venda]]</f>
        <v>94.300000000000182</v>
      </c>
      <c r="L875" s="1">
        <v>44309</v>
      </c>
      <c r="M875" s="1">
        <v>44309</v>
      </c>
      <c r="N875">
        <v>872</v>
      </c>
      <c r="O875">
        <v>1</v>
      </c>
      <c r="P875" t="s">
        <v>69</v>
      </c>
      <c r="Q875">
        <v>0.09</v>
      </c>
      <c r="R875" s="7">
        <v>415.86299999999994</v>
      </c>
      <c r="S875">
        <v>4</v>
      </c>
      <c r="T875" t="s">
        <v>111</v>
      </c>
    </row>
    <row r="876" spans="1:20">
      <c r="A876">
        <v>873</v>
      </c>
      <c r="B876" s="1">
        <v>44296</v>
      </c>
      <c r="C876">
        <v>2</v>
      </c>
      <c r="D876" t="s">
        <v>35</v>
      </c>
      <c r="E876" t="s">
        <v>50</v>
      </c>
      <c r="F876" s="8">
        <v>30</v>
      </c>
      <c r="G876" s="7">
        <v>108</v>
      </c>
      <c r="H876" s="7">
        <v>3240</v>
      </c>
      <c r="I876" s="4">
        <v>0.05</v>
      </c>
      <c r="J876" s="7">
        <v>3078</v>
      </c>
      <c r="K876" s="7">
        <f>Tabela1[[#This Row],[Valor Bruto]]-Tabela1[[#This Row],[Valor Venda]]</f>
        <v>162</v>
      </c>
      <c r="L876" s="1">
        <v>44302</v>
      </c>
      <c r="M876" s="1">
        <v>44302</v>
      </c>
      <c r="N876">
        <v>873</v>
      </c>
      <c r="O876">
        <v>6</v>
      </c>
      <c r="P876" t="s">
        <v>47</v>
      </c>
      <c r="Q876">
        <v>0.05</v>
      </c>
      <c r="R876" s="7">
        <v>153.9</v>
      </c>
      <c r="S876">
        <v>5</v>
      </c>
      <c r="T876" t="s">
        <v>111</v>
      </c>
    </row>
    <row r="877" spans="1:20">
      <c r="A877">
        <v>874</v>
      </c>
      <c r="B877" s="1">
        <v>44299</v>
      </c>
      <c r="C877">
        <v>41</v>
      </c>
      <c r="D877" t="s">
        <v>68</v>
      </c>
      <c r="E877" t="s">
        <v>50</v>
      </c>
      <c r="F877" s="8">
        <v>17</v>
      </c>
      <c r="G877" s="7">
        <v>115</v>
      </c>
      <c r="H877" s="7">
        <v>1955</v>
      </c>
      <c r="I877" s="4">
        <v>0</v>
      </c>
      <c r="J877" s="7">
        <v>1955</v>
      </c>
      <c r="K877" s="7">
        <f>Tabela1[[#This Row],[Valor Bruto]]-Tabela1[[#This Row],[Valor Venda]]</f>
        <v>0</v>
      </c>
      <c r="L877" s="1">
        <v>44307</v>
      </c>
      <c r="M877" s="1">
        <v>44307</v>
      </c>
      <c r="N877">
        <v>874</v>
      </c>
      <c r="O877">
        <v>6</v>
      </c>
      <c r="P877" t="s">
        <v>47</v>
      </c>
      <c r="Q877">
        <v>0.1</v>
      </c>
      <c r="R877" s="7">
        <v>195.5</v>
      </c>
      <c r="S877">
        <v>6</v>
      </c>
      <c r="T877" t="s">
        <v>111</v>
      </c>
    </row>
    <row r="878" spans="1:20">
      <c r="A878">
        <v>875</v>
      </c>
      <c r="B878" s="1">
        <v>44302</v>
      </c>
      <c r="C878">
        <v>31</v>
      </c>
      <c r="D878" t="s">
        <v>85</v>
      </c>
      <c r="E878" t="s">
        <v>46</v>
      </c>
      <c r="F878" s="8">
        <v>37</v>
      </c>
      <c r="G878" s="7">
        <v>111</v>
      </c>
      <c r="H878" s="7">
        <v>4107</v>
      </c>
      <c r="I878" s="4">
        <v>0</v>
      </c>
      <c r="J878" s="7">
        <v>4107</v>
      </c>
      <c r="K878" s="7">
        <f>Tabela1[[#This Row],[Valor Bruto]]-Tabela1[[#This Row],[Valor Venda]]</f>
        <v>0</v>
      </c>
      <c r="L878" s="1">
        <v>44314</v>
      </c>
      <c r="M878" s="1">
        <v>44314</v>
      </c>
      <c r="N878">
        <v>875</v>
      </c>
      <c r="O878">
        <v>5</v>
      </c>
      <c r="P878" t="s">
        <v>25</v>
      </c>
      <c r="Q878">
        <v>0.1</v>
      </c>
      <c r="R878" s="7">
        <v>410.70000000000005</v>
      </c>
      <c r="S878">
        <v>7</v>
      </c>
      <c r="T878" t="s">
        <v>111</v>
      </c>
    </row>
    <row r="879" spans="1:20">
      <c r="A879">
        <v>876</v>
      </c>
      <c r="B879" s="1">
        <v>44304</v>
      </c>
      <c r="C879">
        <v>34</v>
      </c>
      <c r="D879" t="s">
        <v>58</v>
      </c>
      <c r="E879" t="s">
        <v>24</v>
      </c>
      <c r="F879" s="8">
        <v>38</v>
      </c>
      <c r="G879" s="7">
        <v>108</v>
      </c>
      <c r="H879" s="7">
        <v>4104</v>
      </c>
      <c r="I879" s="4">
        <v>0.06</v>
      </c>
      <c r="J879" s="7">
        <v>3857.76</v>
      </c>
      <c r="K879" s="7">
        <f>Tabela1[[#This Row],[Valor Bruto]]-Tabela1[[#This Row],[Valor Venda]]</f>
        <v>246.23999999999978</v>
      </c>
      <c r="L879" s="1">
        <v>44306</v>
      </c>
      <c r="M879" s="1">
        <v>44306</v>
      </c>
      <c r="N879">
        <v>876</v>
      </c>
      <c r="O879">
        <v>1</v>
      </c>
      <c r="P879" t="s">
        <v>52</v>
      </c>
      <c r="Q879">
        <v>0.1</v>
      </c>
      <c r="R879" s="7">
        <v>385.77600000000007</v>
      </c>
      <c r="S879">
        <v>1</v>
      </c>
      <c r="T879" t="s">
        <v>111</v>
      </c>
    </row>
    <row r="880" spans="1:20">
      <c r="A880">
        <v>877</v>
      </c>
      <c r="B880" s="1">
        <v>44304</v>
      </c>
      <c r="C880">
        <v>28</v>
      </c>
      <c r="D880" t="s">
        <v>86</v>
      </c>
      <c r="E880" t="s">
        <v>31</v>
      </c>
      <c r="F880" s="8">
        <v>42</v>
      </c>
      <c r="G880" s="7">
        <v>96</v>
      </c>
      <c r="H880" s="7">
        <v>4032</v>
      </c>
      <c r="I880" s="4">
        <v>0.12</v>
      </c>
      <c r="J880" s="7">
        <v>3548.16</v>
      </c>
      <c r="K880" s="7">
        <f>Tabela1[[#This Row],[Valor Bruto]]-Tabela1[[#This Row],[Valor Venda]]</f>
        <v>483.84000000000015</v>
      </c>
      <c r="L880" s="1">
        <v>44307</v>
      </c>
      <c r="M880" s="1">
        <v>44307</v>
      </c>
      <c r="N880">
        <v>877</v>
      </c>
      <c r="O880">
        <v>6</v>
      </c>
      <c r="P880" t="s">
        <v>47</v>
      </c>
      <c r="Q880">
        <v>0.08</v>
      </c>
      <c r="R880" s="7">
        <v>283.8528</v>
      </c>
      <c r="S880">
        <v>2</v>
      </c>
      <c r="T880" t="s">
        <v>111</v>
      </c>
    </row>
    <row r="881" spans="1:20">
      <c r="A881">
        <v>878</v>
      </c>
      <c r="B881" s="1">
        <v>44306</v>
      </c>
      <c r="C881">
        <v>6</v>
      </c>
      <c r="D881" t="s">
        <v>88</v>
      </c>
      <c r="E881" t="s">
        <v>28</v>
      </c>
      <c r="F881" s="8">
        <v>16</v>
      </c>
      <c r="G881" s="7">
        <v>93</v>
      </c>
      <c r="H881" s="7">
        <v>1488</v>
      </c>
      <c r="I881" s="4">
        <v>0.12</v>
      </c>
      <c r="J881" s="7">
        <v>1309.44</v>
      </c>
      <c r="K881" s="7">
        <f>Tabela1[[#This Row],[Valor Bruto]]-Tabela1[[#This Row],[Valor Venda]]</f>
        <v>178.55999999999995</v>
      </c>
      <c r="L881" s="1">
        <v>44330</v>
      </c>
      <c r="M881" s="1">
        <v>44330</v>
      </c>
      <c r="N881">
        <v>878</v>
      </c>
      <c r="O881">
        <v>1</v>
      </c>
      <c r="P881" t="s">
        <v>29</v>
      </c>
      <c r="Q881">
        <v>0.05</v>
      </c>
      <c r="R881" s="7">
        <v>65.472000000000008</v>
      </c>
      <c r="S881">
        <v>3</v>
      </c>
      <c r="T881" t="s">
        <v>111</v>
      </c>
    </row>
    <row r="882" spans="1:20">
      <c r="A882">
        <v>879</v>
      </c>
      <c r="B882" s="1">
        <v>44306</v>
      </c>
      <c r="C882">
        <v>37</v>
      </c>
      <c r="D882" t="s">
        <v>48</v>
      </c>
      <c r="E882" t="s">
        <v>28</v>
      </c>
      <c r="F882" s="8">
        <v>44</v>
      </c>
      <c r="G882" s="7">
        <v>96</v>
      </c>
      <c r="H882" s="7">
        <v>4224</v>
      </c>
      <c r="I882" s="4">
        <v>0.05</v>
      </c>
      <c r="J882" s="7">
        <v>4012.8</v>
      </c>
      <c r="K882" s="7">
        <f>Tabela1[[#This Row],[Valor Bruto]]-Tabela1[[#This Row],[Valor Venda]]</f>
        <v>211.19999999999982</v>
      </c>
      <c r="L882" s="1">
        <v>44318</v>
      </c>
      <c r="M882" s="1">
        <v>44318</v>
      </c>
      <c r="N882">
        <v>879</v>
      </c>
      <c r="O882">
        <v>7</v>
      </c>
      <c r="P882" t="s">
        <v>25</v>
      </c>
      <c r="Q882">
        <v>0.08</v>
      </c>
      <c r="R882" s="7">
        <v>321.024</v>
      </c>
      <c r="S882">
        <v>4</v>
      </c>
      <c r="T882" t="s">
        <v>111</v>
      </c>
    </row>
    <row r="883" spans="1:20">
      <c r="A883">
        <v>880</v>
      </c>
      <c r="B883" s="1">
        <v>44306</v>
      </c>
      <c r="C883">
        <v>45</v>
      </c>
      <c r="D883" t="s">
        <v>38</v>
      </c>
      <c r="E883" t="s">
        <v>31</v>
      </c>
      <c r="F883" s="8">
        <v>43</v>
      </c>
      <c r="G883" s="7">
        <v>110</v>
      </c>
      <c r="H883" s="7">
        <v>4730</v>
      </c>
      <c r="I883" s="4">
        <v>0.03</v>
      </c>
      <c r="J883" s="7">
        <v>4588.1000000000004</v>
      </c>
      <c r="K883" s="7">
        <f>Tabela1[[#This Row],[Valor Bruto]]-Tabela1[[#This Row],[Valor Venda]]</f>
        <v>141.89999999999964</v>
      </c>
      <c r="L883" s="1">
        <v>44333</v>
      </c>
      <c r="M883" s="1">
        <v>44333</v>
      </c>
      <c r="N883">
        <v>880</v>
      </c>
      <c r="O883">
        <v>2</v>
      </c>
      <c r="P883" t="s">
        <v>22</v>
      </c>
      <c r="Q883">
        <v>0.08</v>
      </c>
      <c r="R883" s="7">
        <v>367.04800000000006</v>
      </c>
      <c r="S883">
        <v>5</v>
      </c>
      <c r="T883" t="s">
        <v>111</v>
      </c>
    </row>
    <row r="884" spans="1:20">
      <c r="A884">
        <v>881</v>
      </c>
      <c r="B884" s="1">
        <v>44306</v>
      </c>
      <c r="C884">
        <v>53</v>
      </c>
      <c r="D884" t="s">
        <v>88</v>
      </c>
      <c r="E884" t="s">
        <v>50</v>
      </c>
      <c r="F884" s="8">
        <v>31</v>
      </c>
      <c r="G884" s="7">
        <v>120</v>
      </c>
      <c r="H884" s="7">
        <v>3720</v>
      </c>
      <c r="I884" s="4">
        <v>0.14000000000000001</v>
      </c>
      <c r="J884" s="7">
        <v>3199.2</v>
      </c>
      <c r="K884" s="7">
        <f>Tabela1[[#This Row],[Valor Bruto]]-Tabela1[[#This Row],[Valor Venda]]</f>
        <v>520.80000000000018</v>
      </c>
      <c r="L884" s="1">
        <v>44317</v>
      </c>
      <c r="M884" s="1">
        <v>44317</v>
      </c>
      <c r="N884">
        <v>881</v>
      </c>
      <c r="O884">
        <v>3</v>
      </c>
      <c r="P884" t="s">
        <v>22</v>
      </c>
      <c r="Q884">
        <v>0.1</v>
      </c>
      <c r="R884" s="7">
        <v>319.92</v>
      </c>
      <c r="S884">
        <v>6</v>
      </c>
      <c r="T884" t="s">
        <v>111</v>
      </c>
    </row>
    <row r="885" spans="1:20">
      <c r="A885">
        <v>882</v>
      </c>
      <c r="B885" s="1">
        <v>44307</v>
      </c>
      <c r="C885">
        <v>9</v>
      </c>
      <c r="D885" t="s">
        <v>36</v>
      </c>
      <c r="E885" t="s">
        <v>24</v>
      </c>
      <c r="F885" s="8">
        <v>33</v>
      </c>
      <c r="G885" s="7">
        <v>109</v>
      </c>
      <c r="H885" s="7">
        <v>3597</v>
      </c>
      <c r="I885" s="4">
        <v>0.03</v>
      </c>
      <c r="J885" s="7">
        <v>3489.09</v>
      </c>
      <c r="K885" s="7">
        <f>Tabela1[[#This Row],[Valor Bruto]]-Tabela1[[#This Row],[Valor Venda]]</f>
        <v>107.90999999999985</v>
      </c>
      <c r="L885" s="1">
        <v>44311</v>
      </c>
      <c r="M885" s="1">
        <v>44311</v>
      </c>
      <c r="N885">
        <v>882</v>
      </c>
      <c r="O885">
        <v>1</v>
      </c>
      <c r="P885" t="s">
        <v>22</v>
      </c>
      <c r="Q885">
        <v>0.1</v>
      </c>
      <c r="R885" s="7">
        <v>348.90900000000005</v>
      </c>
      <c r="S885">
        <v>7</v>
      </c>
      <c r="T885" t="s">
        <v>111</v>
      </c>
    </row>
    <row r="886" spans="1:20">
      <c r="A886">
        <v>883</v>
      </c>
      <c r="B886" s="1">
        <v>44309</v>
      </c>
      <c r="C886">
        <v>65</v>
      </c>
      <c r="D886" t="s">
        <v>64</v>
      </c>
      <c r="E886" t="s">
        <v>31</v>
      </c>
      <c r="F886" s="8">
        <v>32</v>
      </c>
      <c r="G886" s="7">
        <v>118</v>
      </c>
      <c r="H886" s="7">
        <v>3776</v>
      </c>
      <c r="I886" s="4">
        <v>0</v>
      </c>
      <c r="J886" s="7">
        <v>3776</v>
      </c>
      <c r="K886" s="7">
        <f>Tabela1[[#This Row],[Valor Bruto]]-Tabela1[[#This Row],[Valor Venda]]</f>
        <v>0</v>
      </c>
      <c r="L886" s="1">
        <v>44337</v>
      </c>
      <c r="M886" s="1">
        <v>44337</v>
      </c>
      <c r="N886">
        <v>883</v>
      </c>
      <c r="O886">
        <v>7</v>
      </c>
      <c r="P886" t="s">
        <v>43</v>
      </c>
      <c r="Q886">
        <v>7.0000000000000007E-2</v>
      </c>
      <c r="R886" s="7">
        <v>264.32000000000005</v>
      </c>
      <c r="S886">
        <v>1</v>
      </c>
      <c r="T886" t="s">
        <v>111</v>
      </c>
    </row>
    <row r="887" spans="1:20">
      <c r="A887">
        <v>884</v>
      </c>
      <c r="B887" s="1">
        <v>44309</v>
      </c>
      <c r="C887">
        <v>36</v>
      </c>
      <c r="D887" t="s">
        <v>70</v>
      </c>
      <c r="E887" t="s">
        <v>31</v>
      </c>
      <c r="F887" s="8">
        <v>34</v>
      </c>
      <c r="G887" s="7">
        <v>111</v>
      </c>
      <c r="H887" s="7">
        <v>3774</v>
      </c>
      <c r="I887" s="4">
        <v>0.08</v>
      </c>
      <c r="J887" s="7">
        <v>3472.08</v>
      </c>
      <c r="K887" s="7">
        <f>Tabela1[[#This Row],[Valor Bruto]]-Tabela1[[#This Row],[Valor Venda]]</f>
        <v>301.92000000000007</v>
      </c>
      <c r="L887" s="1">
        <v>44334</v>
      </c>
      <c r="M887" s="1">
        <v>44334</v>
      </c>
      <c r="N887">
        <v>884</v>
      </c>
      <c r="O887">
        <v>3</v>
      </c>
      <c r="P887" t="s">
        <v>37</v>
      </c>
      <c r="Q887">
        <v>0.05</v>
      </c>
      <c r="R887" s="7">
        <v>173.60400000000001</v>
      </c>
      <c r="S887">
        <v>2</v>
      </c>
      <c r="T887" t="s">
        <v>111</v>
      </c>
    </row>
    <row r="888" spans="1:20">
      <c r="A888">
        <v>885</v>
      </c>
      <c r="B888" s="1">
        <v>44309</v>
      </c>
      <c r="C888">
        <v>78</v>
      </c>
      <c r="D888" t="s">
        <v>36</v>
      </c>
      <c r="E888" t="s">
        <v>50</v>
      </c>
      <c r="F888" s="8">
        <v>44</v>
      </c>
      <c r="G888" s="7">
        <v>99</v>
      </c>
      <c r="H888" s="7">
        <v>4356</v>
      </c>
      <c r="I888" s="4">
        <v>0.11</v>
      </c>
      <c r="J888" s="7">
        <v>3876.84</v>
      </c>
      <c r="K888" s="7">
        <f>Tabela1[[#This Row],[Valor Bruto]]-Tabela1[[#This Row],[Valor Venda]]</f>
        <v>479.15999999999985</v>
      </c>
      <c r="L888" s="1">
        <v>44326</v>
      </c>
      <c r="M888" s="1">
        <v>44326</v>
      </c>
      <c r="N888">
        <v>885</v>
      </c>
      <c r="O888">
        <v>4</v>
      </c>
      <c r="P888" t="s">
        <v>43</v>
      </c>
      <c r="Q888">
        <v>0.05</v>
      </c>
      <c r="R888" s="7">
        <v>193.84200000000001</v>
      </c>
      <c r="S888">
        <v>3</v>
      </c>
      <c r="T888" t="s">
        <v>111</v>
      </c>
    </row>
    <row r="889" spans="1:20">
      <c r="A889">
        <v>886</v>
      </c>
      <c r="B889" s="1">
        <v>44310</v>
      </c>
      <c r="C889">
        <v>86</v>
      </c>
      <c r="D889" t="s">
        <v>90</v>
      </c>
      <c r="E889" t="s">
        <v>24</v>
      </c>
      <c r="F889" s="8">
        <v>29</v>
      </c>
      <c r="G889" s="7">
        <v>114</v>
      </c>
      <c r="H889" s="7">
        <v>3306</v>
      </c>
      <c r="I889" s="4">
        <v>7.0000000000000007E-2</v>
      </c>
      <c r="J889" s="7">
        <v>3074.58</v>
      </c>
      <c r="K889" s="7">
        <f>Tabela1[[#This Row],[Valor Bruto]]-Tabela1[[#This Row],[Valor Venda]]</f>
        <v>231.42000000000007</v>
      </c>
      <c r="L889" s="1">
        <v>44339</v>
      </c>
      <c r="M889" s="1">
        <v>44339</v>
      </c>
      <c r="N889">
        <v>886</v>
      </c>
      <c r="O889">
        <v>2</v>
      </c>
      <c r="P889" t="s">
        <v>29</v>
      </c>
      <c r="Q889">
        <v>7.0000000000000007E-2</v>
      </c>
      <c r="R889" s="7">
        <v>215.22060000000002</v>
      </c>
      <c r="S889">
        <v>4</v>
      </c>
      <c r="T889" t="s">
        <v>111</v>
      </c>
    </row>
    <row r="890" spans="1:20">
      <c r="A890">
        <v>887</v>
      </c>
      <c r="B890" s="1">
        <v>44310</v>
      </c>
      <c r="C890">
        <v>70</v>
      </c>
      <c r="D890" t="s">
        <v>67</v>
      </c>
      <c r="E890" t="s">
        <v>31</v>
      </c>
      <c r="F890" s="8">
        <v>29</v>
      </c>
      <c r="G890" s="7">
        <v>117</v>
      </c>
      <c r="H890" s="7">
        <v>3393</v>
      </c>
      <c r="I890" s="4">
        <v>0.01</v>
      </c>
      <c r="J890" s="7">
        <v>3359.07</v>
      </c>
      <c r="K890" s="7">
        <f>Tabela1[[#This Row],[Valor Bruto]]-Tabela1[[#This Row],[Valor Venda]]</f>
        <v>33.929999999999836</v>
      </c>
      <c r="L890" s="1">
        <v>44325</v>
      </c>
      <c r="M890" s="1">
        <v>44325</v>
      </c>
      <c r="N890">
        <v>887</v>
      </c>
      <c r="O890">
        <v>4</v>
      </c>
      <c r="P890" t="s">
        <v>52</v>
      </c>
      <c r="Q890">
        <v>0.06</v>
      </c>
      <c r="R890" s="7">
        <v>201.54419999999999</v>
      </c>
      <c r="S890">
        <v>5</v>
      </c>
      <c r="T890" t="s">
        <v>111</v>
      </c>
    </row>
    <row r="891" spans="1:20">
      <c r="A891">
        <v>888</v>
      </c>
      <c r="B891" s="1">
        <v>44311</v>
      </c>
      <c r="C891">
        <v>18</v>
      </c>
      <c r="D891" t="s">
        <v>83</v>
      </c>
      <c r="E891" t="s">
        <v>46</v>
      </c>
      <c r="F891" s="8">
        <v>25</v>
      </c>
      <c r="G891" s="7">
        <v>107</v>
      </c>
      <c r="H891" s="7">
        <v>2675</v>
      </c>
      <c r="I891" s="4">
        <v>0.06</v>
      </c>
      <c r="J891" s="7">
        <v>2514.5</v>
      </c>
      <c r="K891" s="7">
        <f>Tabela1[[#This Row],[Valor Bruto]]-Tabela1[[#This Row],[Valor Venda]]</f>
        <v>160.5</v>
      </c>
      <c r="L891" s="1">
        <v>44312</v>
      </c>
      <c r="M891" s="1">
        <v>44312</v>
      </c>
      <c r="N891">
        <v>888</v>
      </c>
      <c r="O891">
        <v>7</v>
      </c>
      <c r="P891" t="s">
        <v>32</v>
      </c>
      <c r="Q891">
        <v>0.05</v>
      </c>
      <c r="R891" s="7">
        <v>125.72500000000001</v>
      </c>
      <c r="S891">
        <v>6</v>
      </c>
      <c r="T891" t="s">
        <v>111</v>
      </c>
    </row>
    <row r="892" spans="1:20">
      <c r="A892">
        <v>889</v>
      </c>
      <c r="B892" s="1">
        <v>44312</v>
      </c>
      <c r="C892">
        <v>12</v>
      </c>
      <c r="D892" t="s">
        <v>45</v>
      </c>
      <c r="E892" t="s">
        <v>50</v>
      </c>
      <c r="F892" s="8">
        <v>30</v>
      </c>
      <c r="G892" s="7">
        <v>95</v>
      </c>
      <c r="H892" s="7">
        <v>2850</v>
      </c>
      <c r="I892" s="4">
        <v>0.12</v>
      </c>
      <c r="J892" s="7">
        <v>2508</v>
      </c>
      <c r="K892" s="7">
        <f>Tabela1[[#This Row],[Valor Bruto]]-Tabela1[[#This Row],[Valor Venda]]</f>
        <v>342</v>
      </c>
      <c r="L892" s="1">
        <v>44333</v>
      </c>
      <c r="M892" s="1">
        <v>44333</v>
      </c>
      <c r="N892">
        <v>889</v>
      </c>
      <c r="O892">
        <v>1</v>
      </c>
      <c r="P892" t="s">
        <v>47</v>
      </c>
      <c r="Q892">
        <v>0.08</v>
      </c>
      <c r="R892" s="7">
        <v>200.64000000000001</v>
      </c>
      <c r="S892">
        <v>7</v>
      </c>
      <c r="T892" t="s">
        <v>111</v>
      </c>
    </row>
    <row r="893" spans="1:20">
      <c r="A893">
        <v>890</v>
      </c>
      <c r="B893" s="1">
        <v>44312</v>
      </c>
      <c r="C893">
        <v>33</v>
      </c>
      <c r="D893" t="s">
        <v>76</v>
      </c>
      <c r="E893" t="s">
        <v>21</v>
      </c>
      <c r="F893" s="8">
        <v>27</v>
      </c>
      <c r="G893" s="7">
        <v>99</v>
      </c>
      <c r="H893" s="7">
        <v>2673</v>
      </c>
      <c r="I893" s="4">
        <v>7.0000000000000007E-2</v>
      </c>
      <c r="J893" s="7">
        <v>2485.89</v>
      </c>
      <c r="K893" s="7">
        <f>Tabela1[[#This Row],[Valor Bruto]]-Tabela1[[#This Row],[Valor Venda]]</f>
        <v>187.11000000000013</v>
      </c>
      <c r="L893" s="1">
        <v>44335</v>
      </c>
      <c r="M893" s="1">
        <v>44335</v>
      </c>
      <c r="N893">
        <v>890</v>
      </c>
      <c r="O893">
        <v>1</v>
      </c>
      <c r="P893" t="s">
        <v>52</v>
      </c>
      <c r="Q893">
        <v>0.09</v>
      </c>
      <c r="R893" s="7">
        <v>223.73009999999999</v>
      </c>
      <c r="S893">
        <v>1</v>
      </c>
      <c r="T893" t="s">
        <v>111</v>
      </c>
    </row>
    <row r="894" spans="1:20">
      <c r="A894">
        <v>891</v>
      </c>
      <c r="B894" s="1">
        <v>44312</v>
      </c>
      <c r="C894">
        <v>44</v>
      </c>
      <c r="D894" t="s">
        <v>71</v>
      </c>
      <c r="E894" t="s">
        <v>21</v>
      </c>
      <c r="F894" s="8">
        <v>26</v>
      </c>
      <c r="G894" s="7">
        <v>111</v>
      </c>
      <c r="H894" s="7">
        <v>2886</v>
      </c>
      <c r="I894" s="4">
        <v>0.09</v>
      </c>
      <c r="J894" s="7">
        <v>2626.26</v>
      </c>
      <c r="K894" s="7">
        <f>Tabela1[[#This Row],[Valor Bruto]]-Tabela1[[#This Row],[Valor Venda]]</f>
        <v>259.73999999999978</v>
      </c>
      <c r="L894" s="1">
        <v>44328</v>
      </c>
      <c r="M894" s="1">
        <v>44328</v>
      </c>
      <c r="N894">
        <v>891</v>
      </c>
      <c r="O894">
        <v>1</v>
      </c>
      <c r="P894" t="s">
        <v>69</v>
      </c>
      <c r="Q894">
        <v>7.0000000000000007E-2</v>
      </c>
      <c r="R894" s="7">
        <v>183.83820000000003</v>
      </c>
      <c r="S894">
        <v>2</v>
      </c>
      <c r="T894" t="s">
        <v>111</v>
      </c>
    </row>
    <row r="895" spans="1:20">
      <c r="A895">
        <v>892</v>
      </c>
      <c r="B895" s="1">
        <v>44312</v>
      </c>
      <c r="C895">
        <v>67</v>
      </c>
      <c r="D895" t="s">
        <v>106</v>
      </c>
      <c r="E895" t="s">
        <v>28</v>
      </c>
      <c r="F895" s="8">
        <v>14</v>
      </c>
      <c r="G895" s="7">
        <v>95</v>
      </c>
      <c r="H895" s="7">
        <v>1330</v>
      </c>
      <c r="I895" s="4">
        <v>0.15</v>
      </c>
      <c r="J895" s="7">
        <v>1130.5</v>
      </c>
      <c r="K895" s="7">
        <f>Tabela1[[#This Row],[Valor Bruto]]-Tabela1[[#This Row],[Valor Venda]]</f>
        <v>199.5</v>
      </c>
      <c r="L895" s="1">
        <v>44321</v>
      </c>
      <c r="M895" s="1">
        <v>44321</v>
      </c>
      <c r="N895">
        <v>892</v>
      </c>
      <c r="O895">
        <v>1</v>
      </c>
      <c r="P895" t="s">
        <v>69</v>
      </c>
      <c r="Q895">
        <v>0.08</v>
      </c>
      <c r="R895" s="7">
        <v>90.44</v>
      </c>
      <c r="S895">
        <v>3</v>
      </c>
      <c r="T895" t="s">
        <v>111</v>
      </c>
    </row>
    <row r="896" spans="1:20">
      <c r="A896">
        <v>893</v>
      </c>
      <c r="B896" s="1">
        <v>44313</v>
      </c>
      <c r="C896">
        <v>43</v>
      </c>
      <c r="D896" t="s">
        <v>99</v>
      </c>
      <c r="E896" t="s">
        <v>28</v>
      </c>
      <c r="F896" s="8">
        <v>33</v>
      </c>
      <c r="G896" s="7">
        <v>99</v>
      </c>
      <c r="H896" s="7">
        <v>3267</v>
      </c>
      <c r="I896" s="4">
        <v>0.11</v>
      </c>
      <c r="J896" s="7">
        <v>2907.63</v>
      </c>
      <c r="K896" s="7">
        <f>Tabela1[[#This Row],[Valor Bruto]]-Tabela1[[#This Row],[Valor Venda]]</f>
        <v>359.36999999999989</v>
      </c>
      <c r="L896" s="1">
        <v>44314</v>
      </c>
      <c r="M896" s="1">
        <v>44314</v>
      </c>
      <c r="N896">
        <v>893</v>
      </c>
      <c r="O896">
        <v>3</v>
      </c>
      <c r="P896" t="s">
        <v>25</v>
      </c>
      <c r="Q896">
        <v>0.1</v>
      </c>
      <c r="R896" s="7">
        <v>290.76300000000003</v>
      </c>
      <c r="S896">
        <v>4</v>
      </c>
      <c r="T896" t="s">
        <v>111</v>
      </c>
    </row>
    <row r="897" spans="1:20">
      <c r="A897">
        <v>894</v>
      </c>
      <c r="B897" s="1">
        <v>44313</v>
      </c>
      <c r="C897">
        <v>80</v>
      </c>
      <c r="D897" t="s">
        <v>38</v>
      </c>
      <c r="E897" t="s">
        <v>21</v>
      </c>
      <c r="F897" s="8">
        <v>10</v>
      </c>
      <c r="G897" s="7">
        <v>92</v>
      </c>
      <c r="H897" s="7">
        <v>920</v>
      </c>
      <c r="I897" s="4">
        <v>0.03</v>
      </c>
      <c r="J897" s="7">
        <v>892.4</v>
      </c>
      <c r="K897" s="7">
        <f>Tabela1[[#This Row],[Valor Bruto]]-Tabela1[[#This Row],[Valor Venda]]</f>
        <v>27.600000000000023</v>
      </c>
      <c r="L897" s="1">
        <v>44334</v>
      </c>
      <c r="M897" s="1">
        <v>44334</v>
      </c>
      <c r="N897">
        <v>894</v>
      </c>
      <c r="O897">
        <v>4</v>
      </c>
      <c r="P897" t="s">
        <v>34</v>
      </c>
      <c r="Q897">
        <v>0.09</v>
      </c>
      <c r="R897" s="7">
        <v>80.315999999999988</v>
      </c>
      <c r="S897">
        <v>5</v>
      </c>
      <c r="T897" t="s">
        <v>111</v>
      </c>
    </row>
    <row r="898" spans="1:20">
      <c r="A898">
        <v>895</v>
      </c>
      <c r="B898" s="1">
        <v>44314</v>
      </c>
      <c r="C898">
        <v>87</v>
      </c>
      <c r="D898" t="s">
        <v>40</v>
      </c>
      <c r="E898" t="s">
        <v>24</v>
      </c>
      <c r="F898" s="8">
        <v>43</v>
      </c>
      <c r="G898" s="7">
        <v>96</v>
      </c>
      <c r="H898" s="7">
        <v>4128</v>
      </c>
      <c r="I898" s="4">
        <v>7.0000000000000007E-2</v>
      </c>
      <c r="J898" s="7">
        <v>3839.04</v>
      </c>
      <c r="K898" s="7">
        <f>Tabela1[[#This Row],[Valor Bruto]]-Tabela1[[#This Row],[Valor Venda]]</f>
        <v>288.96000000000004</v>
      </c>
      <c r="L898" s="1">
        <v>44315</v>
      </c>
      <c r="M898" s="1">
        <v>44315</v>
      </c>
      <c r="N898">
        <v>895</v>
      </c>
      <c r="O898">
        <v>2</v>
      </c>
      <c r="P898" t="s">
        <v>34</v>
      </c>
      <c r="Q898">
        <v>0.06</v>
      </c>
      <c r="R898" s="7">
        <v>230.3424</v>
      </c>
      <c r="S898">
        <v>6</v>
      </c>
      <c r="T898" t="s">
        <v>111</v>
      </c>
    </row>
    <row r="899" spans="1:20">
      <c r="A899">
        <v>896</v>
      </c>
      <c r="B899" s="1">
        <v>44314</v>
      </c>
      <c r="C899">
        <v>42</v>
      </c>
      <c r="D899" t="s">
        <v>92</v>
      </c>
      <c r="E899" t="s">
        <v>50</v>
      </c>
      <c r="F899" s="8">
        <v>18</v>
      </c>
      <c r="G899" s="7">
        <v>105</v>
      </c>
      <c r="H899" s="7">
        <v>1890</v>
      </c>
      <c r="I899" s="4">
        <v>7.0000000000000007E-2</v>
      </c>
      <c r="J899" s="7">
        <v>1757.7</v>
      </c>
      <c r="K899" s="7">
        <f>Tabela1[[#This Row],[Valor Bruto]]-Tabela1[[#This Row],[Valor Venda]]</f>
        <v>132.29999999999995</v>
      </c>
      <c r="L899" s="1">
        <v>44336</v>
      </c>
      <c r="M899" s="1">
        <v>44336</v>
      </c>
      <c r="N899">
        <v>896</v>
      </c>
      <c r="O899">
        <v>2</v>
      </c>
      <c r="P899" t="s">
        <v>25</v>
      </c>
      <c r="Q899">
        <v>7.0000000000000007E-2</v>
      </c>
      <c r="R899" s="7">
        <v>123.03900000000002</v>
      </c>
      <c r="S899">
        <v>7</v>
      </c>
      <c r="T899" t="s">
        <v>111</v>
      </c>
    </row>
    <row r="900" spans="1:20">
      <c r="A900">
        <v>897</v>
      </c>
      <c r="B900" s="1">
        <v>44314</v>
      </c>
      <c r="C900">
        <v>31</v>
      </c>
      <c r="D900" t="s">
        <v>85</v>
      </c>
      <c r="E900" t="s">
        <v>50</v>
      </c>
      <c r="F900" s="8">
        <v>32</v>
      </c>
      <c r="G900" s="7">
        <v>100</v>
      </c>
      <c r="H900" s="7">
        <v>3200</v>
      </c>
      <c r="I900" s="4">
        <v>0.09</v>
      </c>
      <c r="J900" s="7">
        <v>2912</v>
      </c>
      <c r="K900" s="7">
        <f>Tabela1[[#This Row],[Valor Bruto]]-Tabela1[[#This Row],[Valor Venda]]</f>
        <v>288</v>
      </c>
      <c r="L900" s="1">
        <v>44321</v>
      </c>
      <c r="M900" s="1">
        <v>44321</v>
      </c>
      <c r="N900">
        <v>897</v>
      </c>
      <c r="O900">
        <v>6</v>
      </c>
      <c r="P900" t="s">
        <v>22</v>
      </c>
      <c r="Q900">
        <v>0.1</v>
      </c>
      <c r="R900" s="7">
        <v>291.2</v>
      </c>
      <c r="S900">
        <v>1</v>
      </c>
      <c r="T900" t="s">
        <v>111</v>
      </c>
    </row>
    <row r="901" spans="1:20">
      <c r="A901">
        <v>898</v>
      </c>
      <c r="B901" s="1">
        <v>44315</v>
      </c>
      <c r="C901">
        <v>7</v>
      </c>
      <c r="D901" t="s">
        <v>102</v>
      </c>
      <c r="E901" t="s">
        <v>31</v>
      </c>
      <c r="F901" s="8">
        <v>35</v>
      </c>
      <c r="G901" s="7">
        <v>113</v>
      </c>
      <c r="H901" s="7">
        <v>3955</v>
      </c>
      <c r="I901" s="4">
        <v>0.05</v>
      </c>
      <c r="J901" s="7">
        <v>3757.25</v>
      </c>
      <c r="K901" s="7">
        <f>Tabela1[[#This Row],[Valor Bruto]]-Tabela1[[#This Row],[Valor Venda]]</f>
        <v>197.75</v>
      </c>
      <c r="L901" s="1">
        <v>44322</v>
      </c>
      <c r="N901">
        <v>898</v>
      </c>
      <c r="O901">
        <v>1</v>
      </c>
      <c r="P901" t="s">
        <v>47</v>
      </c>
      <c r="Q901">
        <v>0.09</v>
      </c>
      <c r="R901" s="7">
        <v>338.15249999999997</v>
      </c>
      <c r="S901">
        <v>2</v>
      </c>
      <c r="T901" t="s">
        <v>111</v>
      </c>
    </row>
    <row r="902" spans="1:20">
      <c r="A902">
        <v>899</v>
      </c>
      <c r="B902" s="1">
        <v>44315</v>
      </c>
      <c r="C902">
        <v>54</v>
      </c>
      <c r="D902" t="s">
        <v>79</v>
      </c>
      <c r="E902" t="s">
        <v>46</v>
      </c>
      <c r="F902" s="8">
        <v>48</v>
      </c>
      <c r="G902" s="7">
        <v>102</v>
      </c>
      <c r="H902" s="7">
        <v>4896</v>
      </c>
      <c r="I902" s="4">
        <v>0.15</v>
      </c>
      <c r="J902" s="7">
        <v>4161.6000000000004</v>
      </c>
      <c r="K902" s="7">
        <f>Tabela1[[#This Row],[Valor Bruto]]-Tabela1[[#This Row],[Valor Venda]]</f>
        <v>734.39999999999964</v>
      </c>
      <c r="L902" s="1">
        <v>44319</v>
      </c>
      <c r="M902" s="1">
        <v>44319</v>
      </c>
      <c r="N902">
        <v>899</v>
      </c>
      <c r="O902">
        <v>1</v>
      </c>
      <c r="P902" t="s">
        <v>34</v>
      </c>
      <c r="Q902">
        <v>0.09</v>
      </c>
      <c r="R902" s="7">
        <v>374.54400000000004</v>
      </c>
      <c r="S902">
        <v>3</v>
      </c>
      <c r="T902" t="s">
        <v>111</v>
      </c>
    </row>
    <row r="903" spans="1:20">
      <c r="A903">
        <v>900</v>
      </c>
      <c r="B903" s="1">
        <v>44315</v>
      </c>
      <c r="C903">
        <v>22</v>
      </c>
      <c r="D903" t="s">
        <v>51</v>
      </c>
      <c r="E903" t="s">
        <v>50</v>
      </c>
      <c r="F903" s="8">
        <v>35</v>
      </c>
      <c r="G903" s="7">
        <v>111</v>
      </c>
      <c r="H903" s="7">
        <v>3885</v>
      </c>
      <c r="I903" s="4">
        <v>0.06</v>
      </c>
      <c r="J903" s="7">
        <v>3651.9</v>
      </c>
      <c r="K903" s="7">
        <f>Tabela1[[#This Row],[Valor Bruto]]-Tabela1[[#This Row],[Valor Venda]]</f>
        <v>233.09999999999991</v>
      </c>
      <c r="L903" s="1">
        <v>44322</v>
      </c>
      <c r="M903" s="1">
        <v>44322</v>
      </c>
      <c r="N903">
        <v>900</v>
      </c>
      <c r="O903">
        <v>5</v>
      </c>
      <c r="P903" t="s">
        <v>32</v>
      </c>
      <c r="Q903">
        <v>0.1</v>
      </c>
      <c r="R903" s="7">
        <v>365.19000000000005</v>
      </c>
      <c r="S903">
        <v>4</v>
      </c>
      <c r="T903" t="s">
        <v>111</v>
      </c>
    </row>
    <row r="904" spans="1:20">
      <c r="A904">
        <v>901</v>
      </c>
      <c r="B904" s="1">
        <v>44315</v>
      </c>
      <c r="C904">
        <v>39</v>
      </c>
      <c r="D904" t="s">
        <v>38</v>
      </c>
      <c r="E904" t="s">
        <v>31</v>
      </c>
      <c r="F904" s="8">
        <v>46</v>
      </c>
      <c r="G904" s="7">
        <v>112</v>
      </c>
      <c r="H904" s="7">
        <v>5152</v>
      </c>
      <c r="I904" s="4">
        <v>0.02</v>
      </c>
      <c r="J904" s="7">
        <v>5048.96</v>
      </c>
      <c r="K904" s="7">
        <f>Tabela1[[#This Row],[Valor Bruto]]-Tabela1[[#This Row],[Valor Venda]]</f>
        <v>103.03999999999996</v>
      </c>
      <c r="L904" s="1">
        <v>44330</v>
      </c>
      <c r="M904" s="1">
        <v>44330</v>
      </c>
      <c r="N904">
        <v>901</v>
      </c>
      <c r="O904">
        <v>4</v>
      </c>
      <c r="P904" t="s">
        <v>43</v>
      </c>
      <c r="Q904">
        <v>0.05</v>
      </c>
      <c r="R904" s="7">
        <v>252.44800000000001</v>
      </c>
      <c r="S904">
        <v>5</v>
      </c>
      <c r="T904" t="s">
        <v>111</v>
      </c>
    </row>
    <row r="905" spans="1:20">
      <c r="A905">
        <v>902</v>
      </c>
      <c r="B905" s="1">
        <v>44316</v>
      </c>
      <c r="C905">
        <v>100</v>
      </c>
      <c r="D905" t="s">
        <v>38</v>
      </c>
      <c r="E905" t="s">
        <v>55</v>
      </c>
      <c r="F905" s="8">
        <v>31</v>
      </c>
      <c r="G905" s="7">
        <v>109</v>
      </c>
      <c r="H905" s="7">
        <v>3379</v>
      </c>
      <c r="I905" s="4">
        <v>0.08</v>
      </c>
      <c r="J905" s="7">
        <v>3108.68</v>
      </c>
      <c r="K905" s="7">
        <f>Tabela1[[#This Row],[Valor Bruto]]-Tabela1[[#This Row],[Valor Venda]]</f>
        <v>270.32000000000016</v>
      </c>
      <c r="L905" s="1">
        <v>44344</v>
      </c>
      <c r="M905" s="1">
        <v>44344</v>
      </c>
      <c r="N905">
        <v>902</v>
      </c>
      <c r="O905">
        <v>6</v>
      </c>
      <c r="P905" t="s">
        <v>52</v>
      </c>
      <c r="Q905">
        <v>7.0000000000000007E-2</v>
      </c>
      <c r="R905" s="7">
        <v>217.60760000000002</v>
      </c>
      <c r="S905">
        <v>6</v>
      </c>
      <c r="T905" t="s">
        <v>111</v>
      </c>
    </row>
    <row r="906" spans="1:20">
      <c r="A906">
        <v>903</v>
      </c>
      <c r="B906" s="1">
        <v>44316</v>
      </c>
      <c r="C906">
        <v>28</v>
      </c>
      <c r="D906" t="s">
        <v>86</v>
      </c>
      <c r="E906" t="s">
        <v>46</v>
      </c>
      <c r="F906" s="8">
        <v>40</v>
      </c>
      <c r="G906" s="7">
        <v>103</v>
      </c>
      <c r="H906" s="7">
        <v>4120</v>
      </c>
      <c r="I906" s="4">
        <v>0.08</v>
      </c>
      <c r="J906" s="7">
        <v>3790.4</v>
      </c>
      <c r="K906" s="7">
        <f>Tabela1[[#This Row],[Valor Bruto]]-Tabela1[[#This Row],[Valor Venda]]</f>
        <v>329.59999999999991</v>
      </c>
      <c r="L906" s="1">
        <v>44328</v>
      </c>
      <c r="M906" s="1">
        <v>44328</v>
      </c>
      <c r="N906">
        <v>903</v>
      </c>
      <c r="O906">
        <v>6</v>
      </c>
      <c r="P906" t="s">
        <v>52</v>
      </c>
      <c r="Q906">
        <v>7.0000000000000007E-2</v>
      </c>
      <c r="R906" s="7">
        <v>265.32800000000003</v>
      </c>
      <c r="S906">
        <v>7</v>
      </c>
      <c r="T906" t="s">
        <v>111</v>
      </c>
    </row>
    <row r="907" spans="1:20">
      <c r="A907">
        <v>904</v>
      </c>
      <c r="B907" s="1">
        <v>44316</v>
      </c>
      <c r="C907">
        <v>65</v>
      </c>
      <c r="D907" t="s">
        <v>64</v>
      </c>
      <c r="E907" t="s">
        <v>28</v>
      </c>
      <c r="F907" s="8">
        <v>20</v>
      </c>
      <c r="G907" s="7">
        <v>90</v>
      </c>
      <c r="H907" s="7">
        <v>1800</v>
      </c>
      <c r="I907" s="4">
        <v>0.01</v>
      </c>
      <c r="J907" s="7">
        <v>1782</v>
      </c>
      <c r="K907" s="7">
        <f>Tabela1[[#This Row],[Valor Bruto]]-Tabela1[[#This Row],[Valor Venda]]</f>
        <v>18</v>
      </c>
      <c r="L907" s="1">
        <v>44337</v>
      </c>
      <c r="M907" s="1">
        <v>44337</v>
      </c>
      <c r="N907">
        <v>904</v>
      </c>
      <c r="O907">
        <v>5</v>
      </c>
      <c r="P907" t="s">
        <v>32</v>
      </c>
      <c r="Q907">
        <v>0.08</v>
      </c>
      <c r="R907" s="7">
        <v>142.56</v>
      </c>
      <c r="S907">
        <v>1</v>
      </c>
      <c r="T907" t="s">
        <v>111</v>
      </c>
    </row>
    <row r="908" spans="1:20">
      <c r="A908">
        <v>905</v>
      </c>
      <c r="B908" s="1">
        <v>44318</v>
      </c>
      <c r="C908">
        <v>20</v>
      </c>
      <c r="D908" t="s">
        <v>39</v>
      </c>
      <c r="E908" t="s">
        <v>50</v>
      </c>
      <c r="F908" s="8">
        <v>11</v>
      </c>
      <c r="G908" s="7">
        <v>105</v>
      </c>
      <c r="H908" s="7">
        <v>1155</v>
      </c>
      <c r="I908" s="4">
        <v>0.04</v>
      </c>
      <c r="J908" s="7">
        <v>1108.8</v>
      </c>
      <c r="K908" s="7">
        <f>Tabela1[[#This Row],[Valor Bruto]]-Tabela1[[#This Row],[Valor Venda]]</f>
        <v>46.200000000000045</v>
      </c>
      <c r="L908" s="1">
        <v>44338</v>
      </c>
      <c r="N908">
        <v>905</v>
      </c>
      <c r="O908">
        <v>6</v>
      </c>
      <c r="P908" t="s">
        <v>25</v>
      </c>
      <c r="Q908">
        <v>0.1</v>
      </c>
      <c r="R908" s="7">
        <v>110.88</v>
      </c>
      <c r="S908">
        <v>2</v>
      </c>
      <c r="T908" t="s">
        <v>112</v>
      </c>
    </row>
    <row r="909" spans="1:20">
      <c r="A909">
        <v>906</v>
      </c>
      <c r="B909" s="1">
        <v>44318</v>
      </c>
      <c r="C909">
        <v>83</v>
      </c>
      <c r="D909" t="s">
        <v>100</v>
      </c>
      <c r="E909" t="s">
        <v>59</v>
      </c>
      <c r="F909" s="8">
        <v>29</v>
      </c>
      <c r="G909" s="7">
        <v>109</v>
      </c>
      <c r="H909" s="7">
        <v>3161</v>
      </c>
      <c r="I909" s="4">
        <v>0.11</v>
      </c>
      <c r="J909" s="7">
        <v>2813.29</v>
      </c>
      <c r="K909" s="7">
        <f>Tabela1[[#This Row],[Valor Bruto]]-Tabela1[[#This Row],[Valor Venda]]</f>
        <v>347.71000000000004</v>
      </c>
      <c r="L909" s="1">
        <v>44341</v>
      </c>
      <c r="M909" s="1">
        <v>44341</v>
      </c>
      <c r="N909">
        <v>906</v>
      </c>
      <c r="O909">
        <v>7</v>
      </c>
      <c r="P909" t="s">
        <v>69</v>
      </c>
      <c r="Q909">
        <v>0.06</v>
      </c>
      <c r="R909" s="7">
        <v>168.79739999999998</v>
      </c>
      <c r="S909">
        <v>3</v>
      </c>
      <c r="T909" t="s">
        <v>112</v>
      </c>
    </row>
    <row r="910" spans="1:20">
      <c r="A910">
        <v>907</v>
      </c>
      <c r="B910" s="1">
        <v>44319</v>
      </c>
      <c r="C910">
        <v>17</v>
      </c>
      <c r="D910" t="s">
        <v>67</v>
      </c>
      <c r="E910" t="s">
        <v>46</v>
      </c>
      <c r="F910" s="8">
        <v>15</v>
      </c>
      <c r="G910" s="7">
        <v>110</v>
      </c>
      <c r="H910" s="7">
        <v>1650</v>
      </c>
      <c r="I910" s="4">
        <v>0.13</v>
      </c>
      <c r="J910" s="7">
        <v>1435.5</v>
      </c>
      <c r="K910" s="7">
        <f>Tabela1[[#This Row],[Valor Bruto]]-Tabela1[[#This Row],[Valor Venda]]</f>
        <v>214.5</v>
      </c>
      <c r="L910" s="1">
        <v>44340</v>
      </c>
      <c r="M910" s="1">
        <v>44340</v>
      </c>
      <c r="N910">
        <v>907</v>
      </c>
      <c r="O910">
        <v>4</v>
      </c>
      <c r="P910" t="s">
        <v>29</v>
      </c>
      <c r="Q910">
        <v>0.06</v>
      </c>
      <c r="R910" s="7">
        <v>86.13</v>
      </c>
      <c r="S910">
        <v>4</v>
      </c>
      <c r="T910" t="s">
        <v>112</v>
      </c>
    </row>
    <row r="911" spans="1:20">
      <c r="A911">
        <v>908</v>
      </c>
      <c r="B911" s="1">
        <v>44319</v>
      </c>
      <c r="C911">
        <v>95</v>
      </c>
      <c r="D911" t="s">
        <v>38</v>
      </c>
      <c r="E911" t="s">
        <v>46</v>
      </c>
      <c r="F911" s="8">
        <v>12</v>
      </c>
      <c r="G911" s="7">
        <v>103</v>
      </c>
      <c r="H911" s="7">
        <v>1236</v>
      </c>
      <c r="I911" s="4">
        <v>0.1</v>
      </c>
      <c r="J911" s="7">
        <v>1112.4000000000001</v>
      </c>
      <c r="K911" s="7">
        <f>Tabela1[[#This Row],[Valor Bruto]]-Tabela1[[#This Row],[Valor Venda]]</f>
        <v>123.59999999999991</v>
      </c>
      <c r="L911" s="1">
        <v>44329</v>
      </c>
      <c r="M911" s="1">
        <v>44329</v>
      </c>
      <c r="N911">
        <v>908</v>
      </c>
      <c r="O911">
        <v>7</v>
      </c>
      <c r="P911" t="s">
        <v>47</v>
      </c>
      <c r="Q911">
        <v>0.09</v>
      </c>
      <c r="R911" s="7">
        <v>100.116</v>
      </c>
      <c r="S911">
        <v>5</v>
      </c>
      <c r="T911" t="s">
        <v>112</v>
      </c>
    </row>
    <row r="912" spans="1:20">
      <c r="A912">
        <v>909</v>
      </c>
      <c r="B912" s="1">
        <v>44319</v>
      </c>
      <c r="C912">
        <v>64</v>
      </c>
      <c r="D912" t="s">
        <v>78</v>
      </c>
      <c r="E912" t="s">
        <v>21</v>
      </c>
      <c r="F912" s="8">
        <v>40</v>
      </c>
      <c r="G912" s="7">
        <v>92</v>
      </c>
      <c r="H912" s="7">
        <v>3680</v>
      </c>
      <c r="I912" s="4">
        <v>0.1</v>
      </c>
      <c r="J912" s="7">
        <v>3312</v>
      </c>
      <c r="K912" s="7">
        <f>Tabela1[[#This Row],[Valor Bruto]]-Tabela1[[#This Row],[Valor Venda]]</f>
        <v>368</v>
      </c>
      <c r="L912" s="1">
        <v>44339</v>
      </c>
      <c r="M912" s="1">
        <v>44339</v>
      </c>
      <c r="N912">
        <v>909</v>
      </c>
      <c r="O912">
        <v>2</v>
      </c>
      <c r="P912" t="s">
        <v>47</v>
      </c>
      <c r="Q912">
        <v>7.0000000000000007E-2</v>
      </c>
      <c r="R912" s="7">
        <v>231.84000000000003</v>
      </c>
      <c r="S912">
        <v>6</v>
      </c>
      <c r="T912" t="s">
        <v>112</v>
      </c>
    </row>
    <row r="913" spans="1:20">
      <c r="A913">
        <v>910</v>
      </c>
      <c r="B913" s="1">
        <v>44321</v>
      </c>
      <c r="C913">
        <v>12</v>
      </c>
      <c r="D913" t="s">
        <v>45</v>
      </c>
      <c r="E913" t="s">
        <v>50</v>
      </c>
      <c r="F913" s="8">
        <v>23</v>
      </c>
      <c r="G913" s="7">
        <v>104</v>
      </c>
      <c r="H913" s="7">
        <v>2392</v>
      </c>
      <c r="I913" s="4">
        <v>0.14000000000000001</v>
      </c>
      <c r="J913" s="7">
        <v>2057.12</v>
      </c>
      <c r="K913" s="7">
        <f>Tabela1[[#This Row],[Valor Bruto]]-Tabela1[[#This Row],[Valor Venda]]</f>
        <v>334.88000000000011</v>
      </c>
      <c r="L913" s="1">
        <v>44332</v>
      </c>
      <c r="M913" s="1">
        <v>44332</v>
      </c>
      <c r="N913">
        <v>910</v>
      </c>
      <c r="O913">
        <v>6</v>
      </c>
      <c r="P913" t="s">
        <v>69</v>
      </c>
      <c r="Q913">
        <v>0.05</v>
      </c>
      <c r="R913" s="7">
        <v>102.85599999999999</v>
      </c>
      <c r="S913">
        <v>7</v>
      </c>
      <c r="T913" t="s">
        <v>112</v>
      </c>
    </row>
    <row r="914" spans="1:20">
      <c r="A914">
        <v>911</v>
      </c>
      <c r="B914" s="1">
        <v>44321</v>
      </c>
      <c r="C914">
        <v>67</v>
      </c>
      <c r="D914" t="s">
        <v>106</v>
      </c>
      <c r="E914" t="s">
        <v>55</v>
      </c>
      <c r="F914" s="8">
        <v>12</v>
      </c>
      <c r="G914" s="7">
        <v>92</v>
      </c>
      <c r="H914" s="7">
        <v>1104</v>
      </c>
      <c r="I914" s="4">
        <v>0.05</v>
      </c>
      <c r="J914" s="7">
        <v>1048.8</v>
      </c>
      <c r="K914" s="7">
        <f>Tabela1[[#This Row],[Valor Bruto]]-Tabela1[[#This Row],[Valor Venda]]</f>
        <v>55.200000000000045</v>
      </c>
      <c r="L914" s="1">
        <v>44346</v>
      </c>
      <c r="M914" s="1">
        <v>44346</v>
      </c>
      <c r="N914">
        <v>911</v>
      </c>
      <c r="O914">
        <v>1</v>
      </c>
      <c r="P914" t="s">
        <v>43</v>
      </c>
      <c r="Q914">
        <v>0.09</v>
      </c>
      <c r="R914" s="7">
        <v>94.391999999999996</v>
      </c>
      <c r="S914">
        <v>1</v>
      </c>
      <c r="T914" t="s">
        <v>112</v>
      </c>
    </row>
    <row r="915" spans="1:20">
      <c r="A915">
        <v>912</v>
      </c>
      <c r="B915" s="1">
        <v>44322</v>
      </c>
      <c r="C915">
        <v>50</v>
      </c>
      <c r="D915" t="s">
        <v>81</v>
      </c>
      <c r="E915" t="s">
        <v>54</v>
      </c>
      <c r="F915" s="8">
        <v>11</v>
      </c>
      <c r="G915" s="7">
        <v>119</v>
      </c>
      <c r="H915" s="7">
        <v>1309</v>
      </c>
      <c r="I915" s="4">
        <v>0.14000000000000001</v>
      </c>
      <c r="J915" s="7">
        <v>1125.74</v>
      </c>
      <c r="K915" s="7">
        <f>Tabela1[[#This Row],[Valor Bruto]]-Tabela1[[#This Row],[Valor Venda]]</f>
        <v>183.26</v>
      </c>
      <c r="L915" s="1">
        <v>44323</v>
      </c>
      <c r="M915" s="1">
        <v>44323</v>
      </c>
      <c r="N915">
        <v>912</v>
      </c>
      <c r="O915">
        <v>4</v>
      </c>
      <c r="P915" t="s">
        <v>43</v>
      </c>
      <c r="Q915">
        <v>0.1</v>
      </c>
      <c r="R915" s="7">
        <v>112.57400000000001</v>
      </c>
      <c r="S915">
        <v>2</v>
      </c>
      <c r="T915" t="s">
        <v>112</v>
      </c>
    </row>
    <row r="916" spans="1:20">
      <c r="A916">
        <v>913</v>
      </c>
      <c r="B916" s="1">
        <v>44322</v>
      </c>
      <c r="C916">
        <v>86</v>
      </c>
      <c r="D916" t="s">
        <v>90</v>
      </c>
      <c r="E916" t="s">
        <v>24</v>
      </c>
      <c r="F916" s="8">
        <v>18</v>
      </c>
      <c r="G916" s="7">
        <v>102</v>
      </c>
      <c r="H916" s="7">
        <v>1836</v>
      </c>
      <c r="I916" s="4">
        <v>0.06</v>
      </c>
      <c r="J916" s="7">
        <v>1725.84</v>
      </c>
      <c r="K916" s="7">
        <f>Tabela1[[#This Row],[Valor Bruto]]-Tabela1[[#This Row],[Valor Venda]]</f>
        <v>110.16000000000008</v>
      </c>
      <c r="L916" s="1">
        <v>44322</v>
      </c>
      <c r="M916" s="1">
        <v>44322</v>
      </c>
      <c r="N916">
        <v>913</v>
      </c>
      <c r="O916">
        <v>1</v>
      </c>
      <c r="P916" t="s">
        <v>25</v>
      </c>
      <c r="Q916">
        <v>0.1</v>
      </c>
      <c r="R916" s="7">
        <v>172.584</v>
      </c>
      <c r="S916">
        <v>3</v>
      </c>
      <c r="T916" t="s">
        <v>112</v>
      </c>
    </row>
    <row r="917" spans="1:20">
      <c r="A917">
        <v>914</v>
      </c>
      <c r="B917" s="1">
        <v>44323</v>
      </c>
      <c r="C917">
        <v>86</v>
      </c>
      <c r="D917" t="s">
        <v>90</v>
      </c>
      <c r="E917" t="s">
        <v>28</v>
      </c>
      <c r="F917" s="8">
        <v>40</v>
      </c>
      <c r="G917" s="7">
        <v>107</v>
      </c>
      <c r="H917" s="7">
        <v>4280</v>
      </c>
      <c r="I917" s="4">
        <v>0.12</v>
      </c>
      <c r="J917" s="7">
        <v>3766.4</v>
      </c>
      <c r="K917" s="7">
        <f>Tabela1[[#This Row],[Valor Bruto]]-Tabela1[[#This Row],[Valor Venda]]</f>
        <v>513.59999999999991</v>
      </c>
      <c r="L917" s="1">
        <v>44342</v>
      </c>
      <c r="M917" s="1">
        <v>44342</v>
      </c>
      <c r="N917">
        <v>914</v>
      </c>
      <c r="O917">
        <v>3</v>
      </c>
      <c r="P917" t="s">
        <v>47</v>
      </c>
      <c r="Q917">
        <v>0.06</v>
      </c>
      <c r="R917" s="7">
        <v>225.98400000000001</v>
      </c>
      <c r="S917">
        <v>4</v>
      </c>
      <c r="T917" t="s">
        <v>112</v>
      </c>
    </row>
    <row r="918" spans="1:20">
      <c r="A918">
        <v>915</v>
      </c>
      <c r="B918" s="1">
        <v>44323</v>
      </c>
      <c r="C918">
        <v>42</v>
      </c>
      <c r="D918" t="s">
        <v>92</v>
      </c>
      <c r="E918" t="s">
        <v>31</v>
      </c>
      <c r="F918" s="8">
        <v>20</v>
      </c>
      <c r="G918" s="7">
        <v>115</v>
      </c>
      <c r="H918" s="7">
        <v>2300</v>
      </c>
      <c r="I918" s="4">
        <v>0.05</v>
      </c>
      <c r="J918" s="7">
        <v>2185</v>
      </c>
      <c r="K918" s="7">
        <f>Tabela1[[#This Row],[Valor Bruto]]-Tabela1[[#This Row],[Valor Venda]]</f>
        <v>115</v>
      </c>
      <c r="L918" s="1">
        <v>44342</v>
      </c>
      <c r="M918" s="1">
        <v>44342</v>
      </c>
      <c r="N918">
        <v>915</v>
      </c>
      <c r="O918">
        <v>5</v>
      </c>
      <c r="P918" t="s">
        <v>37</v>
      </c>
      <c r="Q918">
        <v>0.05</v>
      </c>
      <c r="R918" s="7">
        <v>109.25</v>
      </c>
      <c r="S918">
        <v>5</v>
      </c>
      <c r="T918" t="s">
        <v>112</v>
      </c>
    </row>
    <row r="919" spans="1:20">
      <c r="A919">
        <v>916</v>
      </c>
      <c r="B919" s="1">
        <v>44324</v>
      </c>
      <c r="C919">
        <v>58</v>
      </c>
      <c r="D919" t="s">
        <v>72</v>
      </c>
      <c r="E919" t="s">
        <v>31</v>
      </c>
      <c r="F919" s="8">
        <v>16</v>
      </c>
      <c r="G919" s="7">
        <v>116</v>
      </c>
      <c r="H919" s="7">
        <v>1856</v>
      </c>
      <c r="I919" s="4">
        <v>0.14000000000000001</v>
      </c>
      <c r="J919" s="7">
        <v>1596.1599999999999</v>
      </c>
      <c r="K919" s="7">
        <f>Tabela1[[#This Row],[Valor Bruto]]-Tabela1[[#This Row],[Valor Venda]]</f>
        <v>259.84000000000015</v>
      </c>
      <c r="L919" s="1">
        <v>44354</v>
      </c>
      <c r="M919" s="1">
        <v>44354</v>
      </c>
      <c r="N919">
        <v>916</v>
      </c>
      <c r="O919">
        <v>3</v>
      </c>
      <c r="P919" t="s">
        <v>25</v>
      </c>
      <c r="Q919">
        <v>0.1</v>
      </c>
      <c r="R919" s="7">
        <v>159.61599999999999</v>
      </c>
      <c r="S919">
        <v>6</v>
      </c>
      <c r="T919" t="s">
        <v>112</v>
      </c>
    </row>
    <row r="920" spans="1:20">
      <c r="A920">
        <v>917</v>
      </c>
      <c r="B920" s="1">
        <v>44324</v>
      </c>
      <c r="C920">
        <v>30</v>
      </c>
      <c r="D920" t="s">
        <v>96</v>
      </c>
      <c r="E920" t="s">
        <v>50</v>
      </c>
      <c r="F920" s="8">
        <v>36</v>
      </c>
      <c r="G920" s="7">
        <v>119</v>
      </c>
      <c r="H920" s="7">
        <v>4284</v>
      </c>
      <c r="I920" s="4">
        <v>0.04</v>
      </c>
      <c r="J920" s="7">
        <v>4112.6400000000003</v>
      </c>
      <c r="K920" s="7">
        <f>Tabela1[[#This Row],[Valor Bruto]]-Tabela1[[#This Row],[Valor Venda]]</f>
        <v>171.35999999999967</v>
      </c>
      <c r="L920" s="1">
        <v>44326</v>
      </c>
      <c r="M920" s="1">
        <v>44326</v>
      </c>
      <c r="N920">
        <v>917</v>
      </c>
      <c r="O920">
        <v>2</v>
      </c>
      <c r="P920" t="s">
        <v>34</v>
      </c>
      <c r="Q920">
        <v>0.09</v>
      </c>
      <c r="R920" s="7">
        <v>370.13760000000002</v>
      </c>
      <c r="S920">
        <v>7</v>
      </c>
      <c r="T920" t="s">
        <v>112</v>
      </c>
    </row>
    <row r="921" spans="1:20">
      <c r="A921">
        <v>918</v>
      </c>
      <c r="B921" s="1">
        <v>44326</v>
      </c>
      <c r="C921">
        <v>99</v>
      </c>
      <c r="D921" t="s">
        <v>84</v>
      </c>
      <c r="E921" t="s">
        <v>31</v>
      </c>
      <c r="F921" s="8">
        <v>37</v>
      </c>
      <c r="G921" s="7">
        <v>119</v>
      </c>
      <c r="H921" s="7">
        <v>4403</v>
      </c>
      <c r="I921" s="4">
        <v>0.08</v>
      </c>
      <c r="J921" s="7">
        <v>4050.76</v>
      </c>
      <c r="K921" s="7">
        <f>Tabela1[[#This Row],[Valor Bruto]]-Tabela1[[#This Row],[Valor Venda]]</f>
        <v>352.23999999999978</v>
      </c>
      <c r="L921" s="1">
        <v>44347</v>
      </c>
      <c r="M921" s="1">
        <v>44347</v>
      </c>
      <c r="N921">
        <v>918</v>
      </c>
      <c r="O921">
        <v>3</v>
      </c>
      <c r="P921" t="s">
        <v>29</v>
      </c>
      <c r="Q921">
        <v>0.05</v>
      </c>
      <c r="R921" s="7">
        <v>202.53800000000001</v>
      </c>
      <c r="S921">
        <v>1</v>
      </c>
      <c r="T921" t="s">
        <v>112</v>
      </c>
    </row>
    <row r="922" spans="1:20">
      <c r="A922">
        <v>919</v>
      </c>
      <c r="B922" s="1">
        <v>44327</v>
      </c>
      <c r="C922">
        <v>1</v>
      </c>
      <c r="D922" t="s">
        <v>93</v>
      </c>
      <c r="E922" t="s">
        <v>54</v>
      </c>
      <c r="F922" s="8">
        <v>43</v>
      </c>
      <c r="G922" s="7">
        <v>91</v>
      </c>
      <c r="H922" s="7">
        <v>3913</v>
      </c>
      <c r="I922" s="4">
        <v>0.06</v>
      </c>
      <c r="J922" s="7">
        <v>3678.22</v>
      </c>
      <c r="K922" s="7">
        <f>Tabela1[[#This Row],[Valor Bruto]]-Tabela1[[#This Row],[Valor Venda]]</f>
        <v>234.7800000000002</v>
      </c>
      <c r="L922" s="1">
        <v>44355</v>
      </c>
      <c r="M922" s="1">
        <v>44355</v>
      </c>
      <c r="N922">
        <v>919</v>
      </c>
      <c r="O922">
        <v>3</v>
      </c>
      <c r="P922" t="s">
        <v>34</v>
      </c>
      <c r="Q922">
        <v>7.0000000000000007E-2</v>
      </c>
      <c r="R922" s="7">
        <v>257.47540000000004</v>
      </c>
      <c r="S922">
        <v>2</v>
      </c>
      <c r="T922" t="s">
        <v>112</v>
      </c>
    </row>
    <row r="923" spans="1:20">
      <c r="A923">
        <v>920</v>
      </c>
      <c r="B923" s="1">
        <v>44327</v>
      </c>
      <c r="C923">
        <v>29</v>
      </c>
      <c r="D923" t="s">
        <v>98</v>
      </c>
      <c r="E923" t="s">
        <v>24</v>
      </c>
      <c r="F923" s="8">
        <v>21</v>
      </c>
      <c r="G923" s="7">
        <v>115</v>
      </c>
      <c r="H923" s="7">
        <v>2415</v>
      </c>
      <c r="I923" s="4">
        <v>0.02</v>
      </c>
      <c r="J923" s="7">
        <v>2366.6999999999998</v>
      </c>
      <c r="K923" s="7">
        <f>Tabela1[[#This Row],[Valor Bruto]]-Tabela1[[#This Row],[Valor Venda]]</f>
        <v>48.300000000000182</v>
      </c>
      <c r="L923" s="1">
        <v>44337</v>
      </c>
      <c r="M923" s="1">
        <v>44337</v>
      </c>
      <c r="N923">
        <v>920</v>
      </c>
      <c r="O923">
        <v>2</v>
      </c>
      <c r="P923" t="s">
        <v>34</v>
      </c>
      <c r="Q923">
        <v>0.05</v>
      </c>
      <c r="R923" s="7">
        <v>118.33499999999999</v>
      </c>
      <c r="S923">
        <v>3</v>
      </c>
      <c r="T923" t="s">
        <v>112</v>
      </c>
    </row>
    <row r="924" spans="1:20">
      <c r="A924">
        <v>921</v>
      </c>
      <c r="B924" s="1">
        <v>44327</v>
      </c>
      <c r="C924">
        <v>79</v>
      </c>
      <c r="D924" t="s">
        <v>33</v>
      </c>
      <c r="E924" t="s">
        <v>31</v>
      </c>
      <c r="F924" s="8">
        <v>48</v>
      </c>
      <c r="G924" s="7">
        <v>106</v>
      </c>
      <c r="H924" s="7">
        <v>5088</v>
      </c>
      <c r="I924" s="4">
        <v>0.11</v>
      </c>
      <c r="J924" s="7">
        <v>4528.32</v>
      </c>
      <c r="K924" s="7">
        <f>Tabela1[[#This Row],[Valor Bruto]]-Tabela1[[#This Row],[Valor Venda]]</f>
        <v>559.68000000000029</v>
      </c>
      <c r="L924" s="1">
        <v>44356</v>
      </c>
      <c r="M924" s="1">
        <v>44356</v>
      </c>
      <c r="N924">
        <v>921</v>
      </c>
      <c r="O924">
        <v>3</v>
      </c>
      <c r="P924" t="s">
        <v>43</v>
      </c>
      <c r="Q924">
        <v>0.09</v>
      </c>
      <c r="R924" s="7">
        <v>407.54879999999997</v>
      </c>
      <c r="S924">
        <v>4</v>
      </c>
      <c r="T924" t="s">
        <v>112</v>
      </c>
    </row>
    <row r="925" spans="1:20">
      <c r="A925">
        <v>922</v>
      </c>
      <c r="B925" s="1">
        <v>44327</v>
      </c>
      <c r="C925">
        <v>44</v>
      </c>
      <c r="D925" t="s">
        <v>71</v>
      </c>
      <c r="E925" t="s">
        <v>46</v>
      </c>
      <c r="F925" s="8">
        <v>25</v>
      </c>
      <c r="G925" s="7">
        <v>117</v>
      </c>
      <c r="H925" s="7">
        <v>2925</v>
      </c>
      <c r="I925" s="4">
        <v>7.0000000000000007E-2</v>
      </c>
      <c r="J925" s="7">
        <v>2720.25</v>
      </c>
      <c r="K925" s="7">
        <f>Tabela1[[#This Row],[Valor Bruto]]-Tabela1[[#This Row],[Valor Venda]]</f>
        <v>204.75</v>
      </c>
      <c r="L925" s="1">
        <v>44340</v>
      </c>
      <c r="M925" s="1">
        <v>44340</v>
      </c>
      <c r="N925">
        <v>922</v>
      </c>
      <c r="O925">
        <v>5</v>
      </c>
      <c r="P925" t="s">
        <v>37</v>
      </c>
      <c r="Q925">
        <v>7.0000000000000007E-2</v>
      </c>
      <c r="R925" s="7">
        <v>190.41750000000002</v>
      </c>
      <c r="S925">
        <v>5</v>
      </c>
      <c r="T925" t="s">
        <v>112</v>
      </c>
    </row>
    <row r="926" spans="1:20">
      <c r="A926">
        <v>923</v>
      </c>
      <c r="B926" s="1">
        <v>44328</v>
      </c>
      <c r="C926">
        <v>27</v>
      </c>
      <c r="D926" t="s">
        <v>101</v>
      </c>
      <c r="E926" t="s">
        <v>59</v>
      </c>
      <c r="F926" s="8">
        <v>45</v>
      </c>
      <c r="G926" s="7">
        <v>100</v>
      </c>
      <c r="H926" s="7">
        <v>4500</v>
      </c>
      <c r="I926" s="4">
        <v>0.08</v>
      </c>
      <c r="J926" s="7">
        <v>4140</v>
      </c>
      <c r="K926" s="7">
        <f>Tabela1[[#This Row],[Valor Bruto]]-Tabela1[[#This Row],[Valor Venda]]</f>
        <v>360</v>
      </c>
      <c r="L926" s="1">
        <v>44346</v>
      </c>
      <c r="M926" s="1">
        <v>44346</v>
      </c>
      <c r="N926">
        <v>923</v>
      </c>
      <c r="O926">
        <v>1</v>
      </c>
      <c r="P926" t="s">
        <v>69</v>
      </c>
      <c r="Q926">
        <v>0.06</v>
      </c>
      <c r="R926" s="7">
        <v>248.39999999999998</v>
      </c>
      <c r="S926">
        <v>6</v>
      </c>
      <c r="T926" t="s">
        <v>112</v>
      </c>
    </row>
    <row r="927" spans="1:20">
      <c r="A927">
        <v>924</v>
      </c>
      <c r="B927" s="1">
        <v>44328</v>
      </c>
      <c r="C927">
        <v>9</v>
      </c>
      <c r="D927" t="s">
        <v>36</v>
      </c>
      <c r="E927" t="s">
        <v>24</v>
      </c>
      <c r="F927" s="8">
        <v>24</v>
      </c>
      <c r="G927" s="7">
        <v>106</v>
      </c>
      <c r="H927" s="7">
        <v>2544</v>
      </c>
      <c r="I927" s="4">
        <v>0.01</v>
      </c>
      <c r="J927" s="7">
        <v>2518.56</v>
      </c>
      <c r="K927" s="7">
        <f>Tabela1[[#This Row],[Valor Bruto]]-Tabela1[[#This Row],[Valor Venda]]</f>
        <v>25.440000000000055</v>
      </c>
      <c r="L927" s="1">
        <v>44354</v>
      </c>
      <c r="M927" s="1">
        <v>44354</v>
      </c>
      <c r="N927">
        <v>924</v>
      </c>
      <c r="O927">
        <v>6</v>
      </c>
      <c r="P927" t="s">
        <v>69</v>
      </c>
      <c r="Q927">
        <v>0.09</v>
      </c>
      <c r="R927" s="7">
        <v>226.6704</v>
      </c>
      <c r="S927">
        <v>7</v>
      </c>
      <c r="T927" t="s">
        <v>112</v>
      </c>
    </row>
    <row r="928" spans="1:20">
      <c r="A928">
        <v>925</v>
      </c>
      <c r="B928" s="1">
        <v>44329</v>
      </c>
      <c r="C928">
        <v>32</v>
      </c>
      <c r="D928" t="s">
        <v>77</v>
      </c>
      <c r="E928" t="s">
        <v>24</v>
      </c>
      <c r="F928" s="8">
        <v>48</v>
      </c>
      <c r="G928" s="7">
        <v>113</v>
      </c>
      <c r="H928" s="7">
        <v>5424</v>
      </c>
      <c r="I928" s="4">
        <v>0.01</v>
      </c>
      <c r="J928" s="7">
        <v>5369.76</v>
      </c>
      <c r="K928" s="7">
        <f>Tabela1[[#This Row],[Valor Bruto]]-Tabela1[[#This Row],[Valor Venda]]</f>
        <v>54.239999999999782</v>
      </c>
      <c r="L928" s="1">
        <v>44357</v>
      </c>
      <c r="M928" s="1">
        <v>44357</v>
      </c>
      <c r="N928">
        <v>925</v>
      </c>
      <c r="O928">
        <v>6</v>
      </c>
      <c r="P928" t="s">
        <v>25</v>
      </c>
      <c r="Q928">
        <v>0.09</v>
      </c>
      <c r="R928" s="7">
        <v>483.27839999999998</v>
      </c>
      <c r="S928">
        <v>1</v>
      </c>
      <c r="T928" t="s">
        <v>112</v>
      </c>
    </row>
    <row r="929" spans="1:20">
      <c r="A929">
        <v>926</v>
      </c>
      <c r="B929" s="1">
        <v>44330</v>
      </c>
      <c r="C929">
        <v>97</v>
      </c>
      <c r="D929" t="s">
        <v>66</v>
      </c>
      <c r="E929" t="s">
        <v>59</v>
      </c>
      <c r="F929" s="8">
        <v>30</v>
      </c>
      <c r="G929" s="7">
        <v>99</v>
      </c>
      <c r="H929" s="7">
        <v>2970</v>
      </c>
      <c r="I929" s="4">
        <v>0</v>
      </c>
      <c r="J929" s="7">
        <v>2970</v>
      </c>
      <c r="K929" s="7">
        <f>Tabela1[[#This Row],[Valor Bruto]]-Tabela1[[#This Row],[Valor Venda]]</f>
        <v>0</v>
      </c>
      <c r="L929" s="1">
        <v>44336</v>
      </c>
      <c r="M929" s="1">
        <v>44336</v>
      </c>
      <c r="N929">
        <v>926</v>
      </c>
      <c r="O929">
        <v>4</v>
      </c>
      <c r="P929" t="s">
        <v>22</v>
      </c>
      <c r="Q929">
        <v>0.1</v>
      </c>
      <c r="R929" s="7">
        <v>297</v>
      </c>
      <c r="S929">
        <v>2</v>
      </c>
      <c r="T929" t="s">
        <v>112</v>
      </c>
    </row>
    <row r="930" spans="1:20">
      <c r="A930">
        <v>927</v>
      </c>
      <c r="B930" s="1">
        <v>44331</v>
      </c>
      <c r="C930">
        <v>42</v>
      </c>
      <c r="D930" t="s">
        <v>92</v>
      </c>
      <c r="E930" t="s">
        <v>24</v>
      </c>
      <c r="F930" s="8">
        <v>48</v>
      </c>
      <c r="G930" s="7">
        <v>108</v>
      </c>
      <c r="H930" s="7">
        <v>5184</v>
      </c>
      <c r="I930" s="4">
        <v>0.09</v>
      </c>
      <c r="J930" s="7">
        <v>4717.4399999999996</v>
      </c>
      <c r="K930" s="7">
        <f>Tabela1[[#This Row],[Valor Bruto]]-Tabela1[[#This Row],[Valor Venda]]</f>
        <v>466.5600000000004</v>
      </c>
      <c r="L930" s="1">
        <v>44359</v>
      </c>
      <c r="M930" s="1">
        <v>44359</v>
      </c>
      <c r="N930">
        <v>927</v>
      </c>
      <c r="O930">
        <v>5</v>
      </c>
      <c r="P930" t="s">
        <v>69</v>
      </c>
      <c r="Q930">
        <v>7.0000000000000007E-2</v>
      </c>
      <c r="R930" s="7">
        <v>330.2208</v>
      </c>
      <c r="S930">
        <v>3</v>
      </c>
      <c r="T930" t="s">
        <v>112</v>
      </c>
    </row>
    <row r="931" spans="1:20">
      <c r="A931">
        <v>928</v>
      </c>
      <c r="B931" s="1">
        <v>44331</v>
      </c>
      <c r="C931">
        <v>44</v>
      </c>
      <c r="D931" t="s">
        <v>71</v>
      </c>
      <c r="E931" t="s">
        <v>31</v>
      </c>
      <c r="F931" s="8">
        <v>19</v>
      </c>
      <c r="G931" s="7">
        <v>91</v>
      </c>
      <c r="H931" s="7">
        <v>1729</v>
      </c>
      <c r="I931" s="4">
        <v>0.04</v>
      </c>
      <c r="J931" s="7">
        <v>1659.84</v>
      </c>
      <c r="K931" s="7">
        <f>Tabela1[[#This Row],[Valor Bruto]]-Tabela1[[#This Row],[Valor Venda]]</f>
        <v>69.160000000000082</v>
      </c>
      <c r="L931" s="1">
        <v>44352</v>
      </c>
      <c r="M931" s="1">
        <v>44352</v>
      </c>
      <c r="N931">
        <v>928</v>
      </c>
      <c r="O931">
        <v>4</v>
      </c>
      <c r="P931" t="s">
        <v>29</v>
      </c>
      <c r="Q931">
        <v>0.1</v>
      </c>
      <c r="R931" s="7">
        <v>165.98400000000001</v>
      </c>
      <c r="S931">
        <v>4</v>
      </c>
      <c r="T931" t="s">
        <v>112</v>
      </c>
    </row>
    <row r="932" spans="1:20">
      <c r="A932">
        <v>929</v>
      </c>
      <c r="B932" s="1">
        <v>44332</v>
      </c>
      <c r="C932">
        <v>85</v>
      </c>
      <c r="D932" t="s">
        <v>57</v>
      </c>
      <c r="E932" t="s">
        <v>31</v>
      </c>
      <c r="F932" s="8">
        <v>18</v>
      </c>
      <c r="G932" s="7">
        <v>94</v>
      </c>
      <c r="H932" s="7">
        <v>1692</v>
      </c>
      <c r="I932" s="4">
        <v>0.01</v>
      </c>
      <c r="J932" s="7">
        <v>1675.08</v>
      </c>
      <c r="K932" s="7">
        <f>Tabela1[[#This Row],[Valor Bruto]]-Tabela1[[#This Row],[Valor Venda]]</f>
        <v>16.920000000000073</v>
      </c>
      <c r="L932" s="1">
        <v>44360</v>
      </c>
      <c r="M932" s="1">
        <v>44360</v>
      </c>
      <c r="N932">
        <v>929</v>
      </c>
      <c r="O932">
        <v>7</v>
      </c>
      <c r="P932" t="s">
        <v>37</v>
      </c>
      <c r="Q932">
        <v>0.08</v>
      </c>
      <c r="R932" s="7">
        <v>134.00639999999999</v>
      </c>
      <c r="S932">
        <v>5</v>
      </c>
      <c r="T932" t="s">
        <v>112</v>
      </c>
    </row>
    <row r="933" spans="1:20">
      <c r="A933">
        <v>930</v>
      </c>
      <c r="B933" s="1">
        <v>44332</v>
      </c>
      <c r="C933">
        <v>62</v>
      </c>
      <c r="D933" t="s">
        <v>38</v>
      </c>
      <c r="E933" t="s">
        <v>41</v>
      </c>
      <c r="F933" s="8">
        <v>43</v>
      </c>
      <c r="G933" s="7">
        <v>95</v>
      </c>
      <c r="H933" s="7">
        <v>4085</v>
      </c>
      <c r="I933" s="4">
        <v>0.02</v>
      </c>
      <c r="J933" s="7">
        <v>4003.3</v>
      </c>
      <c r="K933" s="7">
        <f>Tabela1[[#This Row],[Valor Bruto]]-Tabela1[[#This Row],[Valor Venda]]</f>
        <v>81.699999999999818</v>
      </c>
      <c r="L933" s="1">
        <v>44340</v>
      </c>
      <c r="M933" s="1">
        <v>44340</v>
      </c>
      <c r="N933">
        <v>930</v>
      </c>
      <c r="O933">
        <v>2</v>
      </c>
      <c r="P933" t="s">
        <v>25</v>
      </c>
      <c r="Q933">
        <v>0.06</v>
      </c>
      <c r="R933" s="7">
        <v>240.19800000000001</v>
      </c>
      <c r="S933">
        <v>6</v>
      </c>
      <c r="T933" t="s">
        <v>112</v>
      </c>
    </row>
    <row r="934" spans="1:20">
      <c r="A934">
        <v>931</v>
      </c>
      <c r="B934" s="1">
        <v>44332</v>
      </c>
      <c r="C934">
        <v>75</v>
      </c>
      <c r="D934" t="s">
        <v>38</v>
      </c>
      <c r="E934" t="s">
        <v>31</v>
      </c>
      <c r="F934" s="8">
        <v>38</v>
      </c>
      <c r="G934" s="7">
        <v>104</v>
      </c>
      <c r="H934" s="7">
        <v>3952</v>
      </c>
      <c r="I934" s="4">
        <v>0.14000000000000001</v>
      </c>
      <c r="J934" s="7">
        <v>3398.72</v>
      </c>
      <c r="K934" s="7">
        <f>Tabela1[[#This Row],[Valor Bruto]]-Tabela1[[#This Row],[Valor Venda]]</f>
        <v>553.2800000000002</v>
      </c>
      <c r="L934" s="1">
        <v>44341</v>
      </c>
      <c r="M934" s="1">
        <v>44341</v>
      </c>
      <c r="N934">
        <v>931</v>
      </c>
      <c r="O934">
        <v>1</v>
      </c>
      <c r="P934" t="s">
        <v>29</v>
      </c>
      <c r="Q934">
        <v>0.06</v>
      </c>
      <c r="R934" s="7">
        <v>203.92319999999998</v>
      </c>
      <c r="S934">
        <v>7</v>
      </c>
      <c r="T934" t="s">
        <v>112</v>
      </c>
    </row>
    <row r="935" spans="1:20">
      <c r="A935">
        <v>932</v>
      </c>
      <c r="B935" s="1">
        <v>44334</v>
      </c>
      <c r="C935">
        <v>47</v>
      </c>
      <c r="D935" t="s">
        <v>40</v>
      </c>
      <c r="E935" t="s">
        <v>24</v>
      </c>
      <c r="F935" s="8">
        <v>10</v>
      </c>
      <c r="G935" s="7">
        <v>104</v>
      </c>
      <c r="H935" s="7">
        <v>1040</v>
      </c>
      <c r="I935" s="4">
        <v>0.14000000000000001</v>
      </c>
      <c r="J935" s="7">
        <v>894.4</v>
      </c>
      <c r="K935" s="7">
        <f>Tabela1[[#This Row],[Valor Bruto]]-Tabela1[[#This Row],[Valor Venda]]</f>
        <v>145.60000000000002</v>
      </c>
      <c r="L935" s="1">
        <v>44350</v>
      </c>
      <c r="M935" s="1">
        <v>44350</v>
      </c>
      <c r="N935">
        <v>932</v>
      </c>
      <c r="O935">
        <v>2</v>
      </c>
      <c r="P935" t="s">
        <v>34</v>
      </c>
      <c r="Q935">
        <v>0.06</v>
      </c>
      <c r="R935" s="7">
        <v>53.663999999999994</v>
      </c>
      <c r="S935">
        <v>1</v>
      </c>
      <c r="T935" t="s">
        <v>112</v>
      </c>
    </row>
    <row r="936" spans="1:20">
      <c r="A936">
        <v>933</v>
      </c>
      <c r="B936" s="1">
        <v>44335</v>
      </c>
      <c r="C936">
        <v>24</v>
      </c>
      <c r="D936" t="s">
        <v>74</v>
      </c>
      <c r="E936" t="s">
        <v>41</v>
      </c>
      <c r="F936" s="8">
        <v>23</v>
      </c>
      <c r="G936" s="7">
        <v>90</v>
      </c>
      <c r="H936" s="7">
        <v>2070</v>
      </c>
      <c r="I936" s="4">
        <v>0.15</v>
      </c>
      <c r="J936" s="7">
        <v>1759.5</v>
      </c>
      <c r="K936" s="7">
        <f>Tabela1[[#This Row],[Valor Bruto]]-Tabela1[[#This Row],[Valor Venda]]</f>
        <v>310.5</v>
      </c>
      <c r="L936" s="1">
        <v>44345</v>
      </c>
      <c r="M936" s="1">
        <v>44345</v>
      </c>
      <c r="N936">
        <v>933</v>
      </c>
      <c r="O936">
        <v>2</v>
      </c>
      <c r="P936" t="s">
        <v>52</v>
      </c>
      <c r="Q936">
        <v>0.08</v>
      </c>
      <c r="R936" s="7">
        <v>140.76</v>
      </c>
      <c r="S936">
        <v>2</v>
      </c>
      <c r="T936" t="s">
        <v>112</v>
      </c>
    </row>
    <row r="937" spans="1:20">
      <c r="A937">
        <v>934</v>
      </c>
      <c r="B937" s="1">
        <v>44335</v>
      </c>
      <c r="C937">
        <v>38</v>
      </c>
      <c r="D937" t="s">
        <v>73</v>
      </c>
      <c r="E937" t="s">
        <v>24</v>
      </c>
      <c r="F937" s="8">
        <v>37</v>
      </c>
      <c r="G937" s="7">
        <v>91</v>
      </c>
      <c r="H937" s="7">
        <v>3367</v>
      </c>
      <c r="I937" s="4">
        <v>7.0000000000000007E-2</v>
      </c>
      <c r="J937" s="7">
        <v>3131.31</v>
      </c>
      <c r="K937" s="7">
        <f>Tabela1[[#This Row],[Valor Bruto]]-Tabela1[[#This Row],[Valor Venda]]</f>
        <v>235.69000000000005</v>
      </c>
      <c r="L937" s="1">
        <v>44337</v>
      </c>
      <c r="M937" s="1">
        <v>44337</v>
      </c>
      <c r="N937">
        <v>934</v>
      </c>
      <c r="O937">
        <v>7</v>
      </c>
      <c r="P937" t="s">
        <v>69</v>
      </c>
      <c r="Q937">
        <v>7.0000000000000007E-2</v>
      </c>
      <c r="R937" s="7">
        <v>219.19170000000003</v>
      </c>
      <c r="S937">
        <v>3</v>
      </c>
      <c r="T937" t="s">
        <v>112</v>
      </c>
    </row>
    <row r="938" spans="1:20">
      <c r="A938">
        <v>935</v>
      </c>
      <c r="B938" s="1">
        <v>44336</v>
      </c>
      <c r="C938">
        <v>91</v>
      </c>
      <c r="D938" t="s">
        <v>62</v>
      </c>
      <c r="E938" t="s">
        <v>50</v>
      </c>
      <c r="F938" s="8">
        <v>15</v>
      </c>
      <c r="G938" s="7">
        <v>91</v>
      </c>
      <c r="H938" s="7">
        <v>1365</v>
      </c>
      <c r="I938" s="4">
        <v>0</v>
      </c>
      <c r="J938" s="7">
        <v>1365</v>
      </c>
      <c r="K938" s="7">
        <f>Tabela1[[#This Row],[Valor Bruto]]-Tabela1[[#This Row],[Valor Venda]]</f>
        <v>0</v>
      </c>
      <c r="L938" s="1">
        <v>44346</v>
      </c>
      <c r="M938" s="1">
        <v>44346</v>
      </c>
      <c r="N938">
        <v>935</v>
      </c>
      <c r="O938">
        <v>1</v>
      </c>
      <c r="P938" t="s">
        <v>43</v>
      </c>
      <c r="Q938">
        <v>0.06</v>
      </c>
      <c r="R938" s="7">
        <v>81.899999999999991</v>
      </c>
      <c r="S938">
        <v>4</v>
      </c>
      <c r="T938" t="s">
        <v>112</v>
      </c>
    </row>
    <row r="939" spans="1:20">
      <c r="A939">
        <v>936</v>
      </c>
      <c r="B939" s="1">
        <v>44337</v>
      </c>
      <c r="C939">
        <v>77</v>
      </c>
      <c r="D939" t="s">
        <v>65</v>
      </c>
      <c r="E939" t="s">
        <v>46</v>
      </c>
      <c r="F939" s="8">
        <v>19</v>
      </c>
      <c r="G939" s="7">
        <v>119</v>
      </c>
      <c r="H939" s="7">
        <v>2261</v>
      </c>
      <c r="I939" s="4">
        <v>0.14000000000000001</v>
      </c>
      <c r="J939" s="7">
        <v>1944.46</v>
      </c>
      <c r="K939" s="7">
        <f>Tabela1[[#This Row],[Valor Bruto]]-Tabela1[[#This Row],[Valor Venda]]</f>
        <v>316.53999999999996</v>
      </c>
      <c r="L939" s="1">
        <v>44350</v>
      </c>
      <c r="M939" s="1">
        <v>44350</v>
      </c>
      <c r="N939">
        <v>936</v>
      </c>
      <c r="O939">
        <v>2</v>
      </c>
      <c r="P939" t="s">
        <v>43</v>
      </c>
      <c r="Q939">
        <v>0.08</v>
      </c>
      <c r="R939" s="7">
        <v>155.55680000000001</v>
      </c>
      <c r="S939">
        <v>5</v>
      </c>
      <c r="T939" t="s">
        <v>112</v>
      </c>
    </row>
    <row r="940" spans="1:20">
      <c r="A940">
        <v>937</v>
      </c>
      <c r="B940" s="1">
        <v>44337</v>
      </c>
      <c r="C940">
        <v>18</v>
      </c>
      <c r="D940" t="s">
        <v>83</v>
      </c>
      <c r="E940" t="s">
        <v>46</v>
      </c>
      <c r="F940" s="8">
        <v>23</v>
      </c>
      <c r="G940" s="7">
        <v>102</v>
      </c>
      <c r="H940" s="7">
        <v>2346</v>
      </c>
      <c r="I940" s="4">
        <v>0.08</v>
      </c>
      <c r="J940" s="7">
        <v>2158.3200000000002</v>
      </c>
      <c r="K940" s="7">
        <f>Tabela1[[#This Row],[Valor Bruto]]-Tabela1[[#This Row],[Valor Venda]]</f>
        <v>187.67999999999984</v>
      </c>
      <c r="L940" s="1">
        <v>44355</v>
      </c>
      <c r="M940" s="1">
        <v>44355</v>
      </c>
      <c r="N940">
        <v>937</v>
      </c>
      <c r="O940">
        <v>5</v>
      </c>
      <c r="P940" t="s">
        <v>69</v>
      </c>
      <c r="Q940">
        <v>0.1</v>
      </c>
      <c r="R940" s="7">
        <v>215.83200000000002</v>
      </c>
      <c r="S940">
        <v>6</v>
      </c>
      <c r="T940" t="s">
        <v>112</v>
      </c>
    </row>
    <row r="941" spans="1:20">
      <c r="A941">
        <v>938</v>
      </c>
      <c r="B941" s="1">
        <v>44337</v>
      </c>
      <c r="C941">
        <v>81</v>
      </c>
      <c r="D941" t="s">
        <v>103</v>
      </c>
      <c r="E941" t="s">
        <v>31</v>
      </c>
      <c r="F941" s="8">
        <v>48</v>
      </c>
      <c r="G941" s="7">
        <v>113</v>
      </c>
      <c r="H941" s="7">
        <v>5424</v>
      </c>
      <c r="I941" s="4">
        <v>7.0000000000000007E-2</v>
      </c>
      <c r="J941" s="7">
        <v>5044.32</v>
      </c>
      <c r="K941" s="7">
        <f>Tabela1[[#This Row],[Valor Bruto]]-Tabela1[[#This Row],[Valor Venda]]</f>
        <v>379.68000000000029</v>
      </c>
      <c r="L941" s="1">
        <v>44337</v>
      </c>
      <c r="M941" s="1">
        <v>44337</v>
      </c>
      <c r="N941">
        <v>938</v>
      </c>
      <c r="O941">
        <v>6</v>
      </c>
      <c r="P941" t="s">
        <v>43</v>
      </c>
      <c r="Q941">
        <v>0.06</v>
      </c>
      <c r="R941" s="7">
        <v>302.6592</v>
      </c>
      <c r="S941">
        <v>7</v>
      </c>
      <c r="T941" t="s">
        <v>112</v>
      </c>
    </row>
    <row r="942" spans="1:20">
      <c r="A942">
        <v>939</v>
      </c>
      <c r="B942" s="1">
        <v>44338</v>
      </c>
      <c r="C942">
        <v>27</v>
      </c>
      <c r="D942" t="s">
        <v>101</v>
      </c>
      <c r="E942" t="s">
        <v>28</v>
      </c>
      <c r="F942" s="8">
        <v>36</v>
      </c>
      <c r="G942" s="7">
        <v>102</v>
      </c>
      <c r="H942" s="7">
        <v>3672</v>
      </c>
      <c r="I942" s="4">
        <v>0.11</v>
      </c>
      <c r="J942" s="7">
        <v>3268.08</v>
      </c>
      <c r="K942" s="7">
        <f>Tabela1[[#This Row],[Valor Bruto]]-Tabela1[[#This Row],[Valor Venda]]</f>
        <v>403.92000000000007</v>
      </c>
      <c r="L942" s="1">
        <v>44351</v>
      </c>
      <c r="M942" s="1">
        <v>44351</v>
      </c>
      <c r="N942">
        <v>939</v>
      </c>
      <c r="O942">
        <v>7</v>
      </c>
      <c r="P942" t="s">
        <v>47</v>
      </c>
      <c r="Q942">
        <v>0.08</v>
      </c>
      <c r="R942" s="7">
        <v>261.44639999999998</v>
      </c>
      <c r="S942">
        <v>1</v>
      </c>
      <c r="T942" t="s">
        <v>112</v>
      </c>
    </row>
    <row r="943" spans="1:20">
      <c r="A943">
        <v>940</v>
      </c>
      <c r="B943" s="1">
        <v>44338</v>
      </c>
      <c r="C943">
        <v>3</v>
      </c>
      <c r="D943" t="s">
        <v>91</v>
      </c>
      <c r="E943" t="s">
        <v>55</v>
      </c>
      <c r="F943" s="8">
        <v>49</v>
      </c>
      <c r="G943" s="7">
        <v>111</v>
      </c>
      <c r="H943" s="7">
        <v>5439</v>
      </c>
      <c r="I943" s="4">
        <v>0.09</v>
      </c>
      <c r="J943" s="7">
        <v>4949.49</v>
      </c>
      <c r="K943" s="7">
        <f>Tabela1[[#This Row],[Valor Bruto]]-Tabela1[[#This Row],[Valor Venda]]</f>
        <v>489.51000000000022</v>
      </c>
      <c r="L943" s="1">
        <v>44348</v>
      </c>
      <c r="M943" s="1">
        <v>44348</v>
      </c>
      <c r="N943">
        <v>940</v>
      </c>
      <c r="O943">
        <v>5</v>
      </c>
      <c r="P943" t="s">
        <v>22</v>
      </c>
      <c r="Q943">
        <v>0.08</v>
      </c>
      <c r="R943" s="7">
        <v>395.95920000000001</v>
      </c>
      <c r="S943">
        <v>2</v>
      </c>
      <c r="T943" t="s">
        <v>112</v>
      </c>
    </row>
    <row r="944" spans="1:20">
      <c r="A944">
        <v>941</v>
      </c>
      <c r="B944" s="1">
        <v>44338</v>
      </c>
      <c r="C944">
        <v>22</v>
      </c>
      <c r="D944" t="s">
        <v>51</v>
      </c>
      <c r="E944" t="s">
        <v>50</v>
      </c>
      <c r="F944" s="8">
        <v>33</v>
      </c>
      <c r="G944" s="7">
        <v>91</v>
      </c>
      <c r="H944" s="7">
        <v>3003</v>
      </c>
      <c r="I944" s="4">
        <v>7.0000000000000007E-2</v>
      </c>
      <c r="J944" s="7">
        <v>2792.79</v>
      </c>
      <c r="K944" s="7">
        <f>Tabela1[[#This Row],[Valor Bruto]]-Tabela1[[#This Row],[Valor Venda]]</f>
        <v>210.21000000000004</v>
      </c>
      <c r="L944" s="1">
        <v>44366</v>
      </c>
      <c r="M944" s="1">
        <v>44366</v>
      </c>
      <c r="N944">
        <v>941</v>
      </c>
      <c r="O944">
        <v>3</v>
      </c>
      <c r="P944" t="s">
        <v>34</v>
      </c>
      <c r="Q944">
        <v>0.1</v>
      </c>
      <c r="R944" s="7">
        <v>279.279</v>
      </c>
      <c r="S944">
        <v>3</v>
      </c>
      <c r="T944" t="s">
        <v>112</v>
      </c>
    </row>
    <row r="945" spans="1:20">
      <c r="A945">
        <v>942</v>
      </c>
      <c r="B945" s="1">
        <v>44339</v>
      </c>
      <c r="C945">
        <v>55</v>
      </c>
      <c r="D945" t="s">
        <v>44</v>
      </c>
      <c r="E945" t="s">
        <v>50</v>
      </c>
      <c r="F945" s="8">
        <v>11</v>
      </c>
      <c r="G945" s="7">
        <v>111</v>
      </c>
      <c r="H945" s="7">
        <v>1221</v>
      </c>
      <c r="I945" s="4">
        <v>0.1</v>
      </c>
      <c r="J945" s="7">
        <v>1098.9000000000001</v>
      </c>
      <c r="K945" s="7">
        <f>Tabela1[[#This Row],[Valor Bruto]]-Tabela1[[#This Row],[Valor Venda]]</f>
        <v>122.09999999999991</v>
      </c>
      <c r="L945" s="1">
        <v>44356</v>
      </c>
      <c r="M945" s="1">
        <v>44356</v>
      </c>
      <c r="N945">
        <v>942</v>
      </c>
      <c r="O945">
        <v>6</v>
      </c>
      <c r="P945" t="s">
        <v>34</v>
      </c>
      <c r="Q945">
        <v>0.05</v>
      </c>
      <c r="R945" s="7">
        <v>54.945000000000007</v>
      </c>
      <c r="S945">
        <v>4</v>
      </c>
      <c r="T945" t="s">
        <v>112</v>
      </c>
    </row>
    <row r="946" spans="1:20">
      <c r="A946">
        <v>943</v>
      </c>
      <c r="B946" s="1">
        <v>44339</v>
      </c>
      <c r="C946">
        <v>59</v>
      </c>
      <c r="D946" t="s">
        <v>97</v>
      </c>
      <c r="E946" t="s">
        <v>59</v>
      </c>
      <c r="F946" s="8">
        <v>45</v>
      </c>
      <c r="G946" s="7">
        <v>117</v>
      </c>
      <c r="H946" s="7">
        <v>5265</v>
      </c>
      <c r="I946" s="4">
        <v>0.02</v>
      </c>
      <c r="J946" s="7">
        <v>5159.7</v>
      </c>
      <c r="K946" s="7">
        <f>Tabela1[[#This Row],[Valor Bruto]]-Tabela1[[#This Row],[Valor Venda]]</f>
        <v>105.30000000000018</v>
      </c>
      <c r="L946" s="1">
        <v>44343</v>
      </c>
      <c r="M946" s="1">
        <v>44343</v>
      </c>
      <c r="N946">
        <v>943</v>
      </c>
      <c r="O946">
        <v>5</v>
      </c>
      <c r="P946" t="s">
        <v>34</v>
      </c>
      <c r="Q946">
        <v>0.09</v>
      </c>
      <c r="R946" s="7">
        <v>464.37299999999999</v>
      </c>
      <c r="S946">
        <v>5</v>
      </c>
      <c r="T946" t="s">
        <v>112</v>
      </c>
    </row>
    <row r="947" spans="1:20">
      <c r="A947">
        <v>944</v>
      </c>
      <c r="B947" s="1">
        <v>44339</v>
      </c>
      <c r="C947">
        <v>10</v>
      </c>
      <c r="D947" t="s">
        <v>89</v>
      </c>
      <c r="E947" t="s">
        <v>50</v>
      </c>
      <c r="F947" s="8">
        <v>35</v>
      </c>
      <c r="G947" s="7">
        <v>117</v>
      </c>
      <c r="H947" s="7">
        <v>4095</v>
      </c>
      <c r="I947" s="4">
        <v>0.09</v>
      </c>
      <c r="J947" s="7">
        <v>3726.45</v>
      </c>
      <c r="K947" s="7">
        <f>Tabela1[[#This Row],[Valor Bruto]]-Tabela1[[#This Row],[Valor Venda]]</f>
        <v>368.55000000000018</v>
      </c>
      <c r="L947" s="1">
        <v>44353</v>
      </c>
      <c r="M947" s="1">
        <v>44353</v>
      </c>
      <c r="N947">
        <v>944</v>
      </c>
      <c r="O947">
        <v>4</v>
      </c>
      <c r="P947" t="s">
        <v>69</v>
      </c>
      <c r="Q947">
        <v>0.05</v>
      </c>
      <c r="R947" s="7">
        <v>186.32249999999999</v>
      </c>
      <c r="S947">
        <v>6</v>
      </c>
      <c r="T947" t="s">
        <v>112</v>
      </c>
    </row>
    <row r="948" spans="1:20">
      <c r="A948">
        <v>945</v>
      </c>
      <c r="B948" s="1">
        <v>44339</v>
      </c>
      <c r="C948">
        <v>98</v>
      </c>
      <c r="D948" t="s">
        <v>26</v>
      </c>
      <c r="E948" t="s">
        <v>55</v>
      </c>
      <c r="F948" s="8">
        <v>14</v>
      </c>
      <c r="G948" s="7">
        <v>120</v>
      </c>
      <c r="H948" s="7">
        <v>1680</v>
      </c>
      <c r="I948" s="4">
        <v>0.1</v>
      </c>
      <c r="J948" s="7">
        <v>1512</v>
      </c>
      <c r="K948" s="7">
        <f>Tabela1[[#This Row],[Valor Bruto]]-Tabela1[[#This Row],[Valor Venda]]</f>
        <v>168</v>
      </c>
      <c r="L948" s="1">
        <v>44352</v>
      </c>
      <c r="M948" s="1">
        <v>44352</v>
      </c>
      <c r="N948">
        <v>945</v>
      </c>
      <c r="O948">
        <v>7</v>
      </c>
      <c r="P948" t="s">
        <v>52</v>
      </c>
      <c r="Q948">
        <v>0.09</v>
      </c>
      <c r="R948" s="7">
        <v>136.07999999999998</v>
      </c>
      <c r="S948">
        <v>7</v>
      </c>
      <c r="T948" t="s">
        <v>112</v>
      </c>
    </row>
    <row r="949" spans="1:20">
      <c r="A949">
        <v>946</v>
      </c>
      <c r="B949" s="1">
        <v>44339</v>
      </c>
      <c r="C949">
        <v>60</v>
      </c>
      <c r="D949" t="s">
        <v>82</v>
      </c>
      <c r="E949" t="s">
        <v>46</v>
      </c>
      <c r="F949" s="8">
        <v>26</v>
      </c>
      <c r="G949" s="7">
        <v>112</v>
      </c>
      <c r="H949" s="7">
        <v>2912</v>
      </c>
      <c r="I949" s="4">
        <v>0</v>
      </c>
      <c r="J949" s="7">
        <v>2912</v>
      </c>
      <c r="K949" s="7">
        <f>Tabela1[[#This Row],[Valor Bruto]]-Tabela1[[#This Row],[Valor Venda]]</f>
        <v>0</v>
      </c>
      <c r="L949" s="1">
        <v>44349</v>
      </c>
      <c r="M949" s="1">
        <v>44349</v>
      </c>
      <c r="N949">
        <v>946</v>
      </c>
      <c r="O949">
        <v>6</v>
      </c>
      <c r="P949" t="s">
        <v>22</v>
      </c>
      <c r="Q949">
        <v>0.09</v>
      </c>
      <c r="R949" s="7">
        <v>262.08</v>
      </c>
      <c r="S949">
        <v>1</v>
      </c>
      <c r="T949" t="s">
        <v>112</v>
      </c>
    </row>
    <row r="950" spans="1:20">
      <c r="A950">
        <v>947</v>
      </c>
      <c r="B950" s="1">
        <v>44340</v>
      </c>
      <c r="C950">
        <v>48</v>
      </c>
      <c r="D950" t="s">
        <v>61</v>
      </c>
      <c r="E950" t="s">
        <v>55</v>
      </c>
      <c r="F950" s="8">
        <v>20</v>
      </c>
      <c r="G950" s="7">
        <v>116</v>
      </c>
      <c r="H950" s="7">
        <v>2320</v>
      </c>
      <c r="I950" s="4">
        <v>0.04</v>
      </c>
      <c r="J950" s="7">
        <v>2227.1999999999998</v>
      </c>
      <c r="K950" s="7">
        <f>Tabela1[[#This Row],[Valor Bruto]]-Tabela1[[#This Row],[Valor Venda]]</f>
        <v>92.800000000000182</v>
      </c>
      <c r="L950" s="1">
        <v>44359</v>
      </c>
      <c r="M950" s="1">
        <v>44359</v>
      </c>
      <c r="N950">
        <v>947</v>
      </c>
      <c r="O950">
        <v>1</v>
      </c>
      <c r="P950" t="s">
        <v>22</v>
      </c>
      <c r="Q950">
        <v>0.1</v>
      </c>
      <c r="R950" s="7">
        <v>222.72</v>
      </c>
      <c r="S950">
        <v>2</v>
      </c>
      <c r="T950" t="s">
        <v>112</v>
      </c>
    </row>
    <row r="951" spans="1:20">
      <c r="A951">
        <v>948</v>
      </c>
      <c r="B951" s="1">
        <v>44340</v>
      </c>
      <c r="C951">
        <v>62</v>
      </c>
      <c r="D951" t="s">
        <v>38</v>
      </c>
      <c r="E951" t="s">
        <v>21</v>
      </c>
      <c r="F951" s="8">
        <v>37</v>
      </c>
      <c r="G951" s="7">
        <v>102</v>
      </c>
      <c r="H951" s="7">
        <v>3774</v>
      </c>
      <c r="I951" s="4">
        <v>0.13</v>
      </c>
      <c r="J951" s="7">
        <v>3283.38</v>
      </c>
      <c r="K951" s="7">
        <f>Tabela1[[#This Row],[Valor Bruto]]-Tabela1[[#This Row],[Valor Venda]]</f>
        <v>490.61999999999989</v>
      </c>
      <c r="L951" s="1">
        <v>44362</v>
      </c>
      <c r="M951" s="1">
        <v>44362</v>
      </c>
      <c r="N951">
        <v>948</v>
      </c>
      <c r="O951">
        <v>3</v>
      </c>
      <c r="P951" t="s">
        <v>34</v>
      </c>
      <c r="Q951">
        <v>0.06</v>
      </c>
      <c r="R951" s="7">
        <v>197.00280000000001</v>
      </c>
      <c r="S951">
        <v>3</v>
      </c>
      <c r="T951" t="s">
        <v>112</v>
      </c>
    </row>
    <row r="952" spans="1:20">
      <c r="A952">
        <v>949</v>
      </c>
      <c r="B952" s="1">
        <v>44341</v>
      </c>
      <c r="C952">
        <v>84</v>
      </c>
      <c r="D952" t="s">
        <v>44</v>
      </c>
      <c r="E952" t="s">
        <v>28</v>
      </c>
      <c r="F952" s="8">
        <v>39</v>
      </c>
      <c r="G952" s="7">
        <v>95</v>
      </c>
      <c r="H952" s="7">
        <v>3705</v>
      </c>
      <c r="I952" s="4">
        <v>7.0000000000000007E-2</v>
      </c>
      <c r="J952" s="7">
        <v>3445.65</v>
      </c>
      <c r="K952" s="7">
        <f>Tabela1[[#This Row],[Valor Bruto]]-Tabela1[[#This Row],[Valor Venda]]</f>
        <v>259.34999999999991</v>
      </c>
      <c r="L952" s="1">
        <v>44370</v>
      </c>
      <c r="M952" s="1">
        <v>44370</v>
      </c>
      <c r="N952">
        <v>949</v>
      </c>
      <c r="O952">
        <v>2</v>
      </c>
      <c r="P952" t="s">
        <v>37</v>
      </c>
      <c r="Q952">
        <v>0.1</v>
      </c>
      <c r="R952" s="7">
        <v>344.56500000000005</v>
      </c>
      <c r="S952">
        <v>4</v>
      </c>
      <c r="T952" t="s">
        <v>112</v>
      </c>
    </row>
    <row r="953" spans="1:20">
      <c r="A953">
        <v>950</v>
      </c>
      <c r="B953" s="1">
        <v>44341</v>
      </c>
      <c r="C953">
        <v>13</v>
      </c>
      <c r="D953" t="s">
        <v>75</v>
      </c>
      <c r="E953" t="s">
        <v>59</v>
      </c>
      <c r="F953" s="8">
        <v>26</v>
      </c>
      <c r="G953" s="7">
        <v>116</v>
      </c>
      <c r="H953" s="7">
        <v>3016</v>
      </c>
      <c r="I953" s="4">
        <v>0.14000000000000001</v>
      </c>
      <c r="J953" s="7">
        <v>2593.7599999999998</v>
      </c>
      <c r="K953" s="7">
        <f>Tabela1[[#This Row],[Valor Bruto]]-Tabela1[[#This Row],[Valor Venda]]</f>
        <v>422.24000000000024</v>
      </c>
      <c r="L953" s="1">
        <v>44365</v>
      </c>
      <c r="M953" s="1">
        <v>44365</v>
      </c>
      <c r="N953">
        <v>950</v>
      </c>
      <c r="O953">
        <v>1</v>
      </c>
      <c r="P953" t="s">
        <v>32</v>
      </c>
      <c r="Q953">
        <v>0.09</v>
      </c>
      <c r="R953" s="7">
        <v>233.43839999999997</v>
      </c>
      <c r="S953">
        <v>5</v>
      </c>
      <c r="T953" t="s">
        <v>112</v>
      </c>
    </row>
    <row r="954" spans="1:20">
      <c r="A954">
        <v>951</v>
      </c>
      <c r="B954" s="1">
        <v>44342</v>
      </c>
      <c r="C954">
        <v>42</v>
      </c>
      <c r="D954" t="s">
        <v>92</v>
      </c>
      <c r="E954" t="s">
        <v>31</v>
      </c>
      <c r="F954" s="8">
        <v>12</v>
      </c>
      <c r="G954" s="7">
        <v>94</v>
      </c>
      <c r="H954" s="7">
        <v>1128</v>
      </c>
      <c r="I954" s="4">
        <v>0.06</v>
      </c>
      <c r="J954" s="7">
        <v>1060.32</v>
      </c>
      <c r="K954" s="7">
        <f>Tabela1[[#This Row],[Valor Bruto]]-Tabela1[[#This Row],[Valor Venda]]</f>
        <v>67.680000000000064</v>
      </c>
      <c r="L954" s="1">
        <v>44370</v>
      </c>
      <c r="M954" s="1">
        <v>44370</v>
      </c>
      <c r="N954">
        <v>951</v>
      </c>
      <c r="O954">
        <v>7</v>
      </c>
      <c r="P954" t="s">
        <v>32</v>
      </c>
      <c r="Q954">
        <v>0.06</v>
      </c>
      <c r="R954" s="7">
        <v>63.619199999999992</v>
      </c>
      <c r="S954">
        <v>6</v>
      </c>
      <c r="T954" t="s">
        <v>112</v>
      </c>
    </row>
    <row r="955" spans="1:20">
      <c r="A955">
        <v>952</v>
      </c>
      <c r="B955" s="1">
        <v>44342</v>
      </c>
      <c r="C955">
        <v>60</v>
      </c>
      <c r="D955" t="s">
        <v>82</v>
      </c>
      <c r="E955" t="s">
        <v>59</v>
      </c>
      <c r="F955" s="8">
        <v>42</v>
      </c>
      <c r="G955" s="7">
        <v>99</v>
      </c>
      <c r="H955" s="7">
        <v>4158</v>
      </c>
      <c r="I955" s="4">
        <v>0.01</v>
      </c>
      <c r="J955" s="7">
        <v>4116.42</v>
      </c>
      <c r="K955" s="7">
        <f>Tabela1[[#This Row],[Valor Bruto]]-Tabela1[[#This Row],[Valor Venda]]</f>
        <v>41.579999999999927</v>
      </c>
      <c r="L955" s="1">
        <v>44369</v>
      </c>
      <c r="M955" s="1">
        <v>44369</v>
      </c>
      <c r="N955">
        <v>952</v>
      </c>
      <c r="O955">
        <v>1</v>
      </c>
      <c r="P955" t="s">
        <v>22</v>
      </c>
      <c r="Q955">
        <v>7.0000000000000007E-2</v>
      </c>
      <c r="R955" s="7">
        <v>288.14940000000001</v>
      </c>
      <c r="S955">
        <v>7</v>
      </c>
      <c r="T955" t="s">
        <v>112</v>
      </c>
    </row>
    <row r="956" spans="1:20">
      <c r="A956">
        <v>953</v>
      </c>
      <c r="B956" s="1">
        <v>44343</v>
      </c>
      <c r="C956">
        <v>98</v>
      </c>
      <c r="D956" t="s">
        <v>26</v>
      </c>
      <c r="E956" t="s">
        <v>50</v>
      </c>
      <c r="F956" s="8">
        <v>42</v>
      </c>
      <c r="G956" s="7">
        <v>98</v>
      </c>
      <c r="H956" s="7">
        <v>4116</v>
      </c>
      <c r="I956" s="4">
        <v>0.02</v>
      </c>
      <c r="J956" s="7">
        <v>4033.68</v>
      </c>
      <c r="K956" s="7">
        <f>Tabela1[[#This Row],[Valor Bruto]]-Tabela1[[#This Row],[Valor Venda]]</f>
        <v>82.320000000000164</v>
      </c>
      <c r="L956" s="1">
        <v>44364</v>
      </c>
      <c r="M956" s="1">
        <v>44364</v>
      </c>
      <c r="N956">
        <v>953</v>
      </c>
      <c r="O956">
        <v>4</v>
      </c>
      <c r="P956" t="s">
        <v>34</v>
      </c>
      <c r="Q956">
        <v>0.1</v>
      </c>
      <c r="R956" s="7">
        <v>403.36799999999999</v>
      </c>
      <c r="S956">
        <v>1</v>
      </c>
      <c r="T956" t="s">
        <v>112</v>
      </c>
    </row>
    <row r="957" spans="1:20">
      <c r="A957">
        <v>954</v>
      </c>
      <c r="B957" s="1">
        <v>44343</v>
      </c>
      <c r="C957">
        <v>74</v>
      </c>
      <c r="D957" t="s">
        <v>38</v>
      </c>
      <c r="E957" t="s">
        <v>54</v>
      </c>
      <c r="F957" s="8">
        <v>25</v>
      </c>
      <c r="G957" s="7">
        <v>96</v>
      </c>
      <c r="H957" s="7">
        <v>2400</v>
      </c>
      <c r="I957" s="4">
        <v>0.15</v>
      </c>
      <c r="J957" s="7">
        <v>2040</v>
      </c>
      <c r="K957" s="7">
        <f>Tabela1[[#This Row],[Valor Bruto]]-Tabela1[[#This Row],[Valor Venda]]</f>
        <v>360</v>
      </c>
      <c r="L957" s="1">
        <v>44366</v>
      </c>
      <c r="M957" s="1">
        <v>44366</v>
      </c>
      <c r="N957">
        <v>954</v>
      </c>
      <c r="O957">
        <v>2</v>
      </c>
      <c r="P957" t="s">
        <v>29</v>
      </c>
      <c r="Q957">
        <v>0.05</v>
      </c>
      <c r="R957" s="7">
        <v>102</v>
      </c>
      <c r="S957">
        <v>2</v>
      </c>
      <c r="T957" t="s">
        <v>112</v>
      </c>
    </row>
    <row r="958" spans="1:20">
      <c r="A958">
        <v>955</v>
      </c>
      <c r="B958" s="1">
        <v>44343</v>
      </c>
      <c r="C958">
        <v>90</v>
      </c>
      <c r="D958" t="s">
        <v>60</v>
      </c>
      <c r="E958" t="s">
        <v>46</v>
      </c>
      <c r="F958" s="8">
        <v>50</v>
      </c>
      <c r="G958" s="7">
        <v>109</v>
      </c>
      <c r="H958" s="7">
        <v>5450</v>
      </c>
      <c r="I958" s="4">
        <v>0.04</v>
      </c>
      <c r="J958" s="7">
        <v>5232</v>
      </c>
      <c r="K958" s="7">
        <f>Tabela1[[#This Row],[Valor Bruto]]-Tabela1[[#This Row],[Valor Venda]]</f>
        <v>218</v>
      </c>
      <c r="L958" s="1">
        <v>44373</v>
      </c>
      <c r="M958" s="1">
        <v>44373</v>
      </c>
      <c r="N958">
        <v>955</v>
      </c>
      <c r="O958">
        <v>1</v>
      </c>
      <c r="P958" t="s">
        <v>32</v>
      </c>
      <c r="Q958">
        <v>0.08</v>
      </c>
      <c r="R958" s="7">
        <v>418.56</v>
      </c>
      <c r="S958">
        <v>3</v>
      </c>
      <c r="T958" t="s">
        <v>112</v>
      </c>
    </row>
    <row r="959" spans="1:20">
      <c r="A959">
        <v>956</v>
      </c>
      <c r="B959" s="1">
        <v>44343</v>
      </c>
      <c r="C959">
        <v>91</v>
      </c>
      <c r="D959" t="s">
        <v>62</v>
      </c>
      <c r="E959" t="s">
        <v>24</v>
      </c>
      <c r="F959" s="8">
        <v>43</v>
      </c>
      <c r="G959" s="7">
        <v>111</v>
      </c>
      <c r="H959" s="7">
        <v>4773</v>
      </c>
      <c r="I959" s="4">
        <v>0.14000000000000001</v>
      </c>
      <c r="J959" s="7">
        <v>4104.78</v>
      </c>
      <c r="K959" s="7">
        <f>Tabela1[[#This Row],[Valor Bruto]]-Tabela1[[#This Row],[Valor Venda]]</f>
        <v>668.22000000000025</v>
      </c>
      <c r="L959" s="1">
        <v>44358</v>
      </c>
      <c r="M959" s="1">
        <v>44358</v>
      </c>
      <c r="N959">
        <v>956</v>
      </c>
      <c r="O959">
        <v>2</v>
      </c>
      <c r="P959" t="s">
        <v>52</v>
      </c>
      <c r="Q959">
        <v>0.1</v>
      </c>
      <c r="R959" s="7">
        <v>410.47800000000001</v>
      </c>
      <c r="S959">
        <v>4</v>
      </c>
      <c r="T959" t="s">
        <v>112</v>
      </c>
    </row>
    <row r="960" spans="1:20">
      <c r="A960">
        <v>957</v>
      </c>
      <c r="B960" s="1">
        <v>44343</v>
      </c>
      <c r="C960">
        <v>49</v>
      </c>
      <c r="D960" t="s">
        <v>38</v>
      </c>
      <c r="E960" t="s">
        <v>46</v>
      </c>
      <c r="F960" s="8">
        <v>46</v>
      </c>
      <c r="G960" s="7">
        <v>112</v>
      </c>
      <c r="H960" s="7">
        <v>5152</v>
      </c>
      <c r="I960" s="4">
        <v>0.14000000000000001</v>
      </c>
      <c r="J960" s="7">
        <v>4430.72</v>
      </c>
      <c r="K960" s="7">
        <f>Tabela1[[#This Row],[Valor Bruto]]-Tabela1[[#This Row],[Valor Venda]]</f>
        <v>721.27999999999975</v>
      </c>
      <c r="L960" s="1">
        <v>44343</v>
      </c>
      <c r="M960" s="1">
        <v>44343</v>
      </c>
      <c r="N960">
        <v>957</v>
      </c>
      <c r="O960">
        <v>1</v>
      </c>
      <c r="P960" t="s">
        <v>43</v>
      </c>
      <c r="Q960">
        <v>0.06</v>
      </c>
      <c r="R960" s="7">
        <v>265.84320000000002</v>
      </c>
      <c r="S960">
        <v>5</v>
      </c>
      <c r="T960" t="s">
        <v>112</v>
      </c>
    </row>
    <row r="961" spans="1:20">
      <c r="A961">
        <v>958</v>
      </c>
      <c r="B961" s="1">
        <v>44343</v>
      </c>
      <c r="C961">
        <v>87</v>
      </c>
      <c r="D961" t="s">
        <v>40</v>
      </c>
      <c r="E961" t="s">
        <v>28</v>
      </c>
      <c r="F961" s="8">
        <v>36</v>
      </c>
      <c r="G961" s="7">
        <v>104</v>
      </c>
      <c r="H961" s="7">
        <v>3744</v>
      </c>
      <c r="I961" s="4">
        <v>0.1</v>
      </c>
      <c r="J961" s="7">
        <v>3369.6</v>
      </c>
      <c r="K961" s="7">
        <f>Tabela1[[#This Row],[Valor Bruto]]-Tabela1[[#This Row],[Valor Venda]]</f>
        <v>374.40000000000009</v>
      </c>
      <c r="L961" s="1">
        <v>44364</v>
      </c>
      <c r="M961" s="1">
        <v>44364</v>
      </c>
      <c r="N961">
        <v>958</v>
      </c>
      <c r="O961">
        <v>4</v>
      </c>
      <c r="P961" t="s">
        <v>37</v>
      </c>
      <c r="Q961">
        <v>0.08</v>
      </c>
      <c r="R961" s="7">
        <v>269.56799999999998</v>
      </c>
      <c r="S961">
        <v>6</v>
      </c>
      <c r="T961" t="s">
        <v>112</v>
      </c>
    </row>
    <row r="962" spans="1:20">
      <c r="A962">
        <v>959</v>
      </c>
      <c r="B962" s="1">
        <v>44345</v>
      </c>
      <c r="C962">
        <v>23</v>
      </c>
      <c r="D962" t="s">
        <v>105</v>
      </c>
      <c r="E962" t="s">
        <v>46</v>
      </c>
      <c r="F962" s="8">
        <v>50</v>
      </c>
      <c r="G962" s="7">
        <v>97</v>
      </c>
      <c r="H962" s="7">
        <v>4850</v>
      </c>
      <c r="I962" s="4">
        <v>0.03</v>
      </c>
      <c r="J962" s="7">
        <v>4704.5</v>
      </c>
      <c r="K962" s="7">
        <f>Tabela1[[#This Row],[Valor Bruto]]-Tabela1[[#This Row],[Valor Venda]]</f>
        <v>145.5</v>
      </c>
      <c r="L962" s="1">
        <v>44351</v>
      </c>
      <c r="M962" s="1">
        <v>44351</v>
      </c>
      <c r="N962">
        <v>959</v>
      </c>
      <c r="O962">
        <v>6</v>
      </c>
      <c r="P962" t="s">
        <v>43</v>
      </c>
      <c r="Q962">
        <v>0.05</v>
      </c>
      <c r="R962" s="7">
        <v>235.22500000000002</v>
      </c>
      <c r="S962">
        <v>7</v>
      </c>
      <c r="T962" t="s">
        <v>112</v>
      </c>
    </row>
    <row r="963" spans="1:20">
      <c r="A963">
        <v>960</v>
      </c>
      <c r="B963" s="1">
        <v>44347</v>
      </c>
      <c r="C963">
        <v>8</v>
      </c>
      <c r="D963" t="s">
        <v>38</v>
      </c>
      <c r="E963" t="s">
        <v>21</v>
      </c>
      <c r="F963" s="8">
        <v>23</v>
      </c>
      <c r="G963" s="7">
        <v>111</v>
      </c>
      <c r="H963" s="7">
        <v>2553</v>
      </c>
      <c r="I963" s="4">
        <v>0.1</v>
      </c>
      <c r="J963" s="7">
        <v>2297.6999999999998</v>
      </c>
      <c r="K963" s="7">
        <f>Tabela1[[#This Row],[Valor Bruto]]-Tabela1[[#This Row],[Valor Venda]]</f>
        <v>255.30000000000018</v>
      </c>
      <c r="L963" s="1">
        <v>44372</v>
      </c>
      <c r="M963" s="1">
        <v>44372</v>
      </c>
      <c r="N963">
        <v>960</v>
      </c>
      <c r="O963">
        <v>2</v>
      </c>
      <c r="P963" t="s">
        <v>29</v>
      </c>
      <c r="Q963">
        <v>0.06</v>
      </c>
      <c r="R963" s="7">
        <v>137.86199999999999</v>
      </c>
      <c r="S963">
        <v>1</v>
      </c>
      <c r="T963" t="s">
        <v>112</v>
      </c>
    </row>
    <row r="964" spans="1:20">
      <c r="A964">
        <v>961</v>
      </c>
      <c r="B964" s="1">
        <v>44349</v>
      </c>
      <c r="C964">
        <v>26</v>
      </c>
      <c r="D964" t="s">
        <v>95</v>
      </c>
      <c r="E964" t="s">
        <v>59</v>
      </c>
      <c r="F964" s="8">
        <v>32</v>
      </c>
      <c r="G964" s="7">
        <v>100</v>
      </c>
      <c r="H964" s="7">
        <v>3200</v>
      </c>
      <c r="I964" s="4">
        <v>0</v>
      </c>
      <c r="J964" s="7">
        <v>3200</v>
      </c>
      <c r="K964" s="7">
        <f>Tabela1[[#This Row],[Valor Bruto]]-Tabela1[[#This Row],[Valor Venda]]</f>
        <v>0</v>
      </c>
      <c r="L964" s="1">
        <v>44364</v>
      </c>
      <c r="M964" s="1">
        <v>44364</v>
      </c>
      <c r="N964">
        <v>961</v>
      </c>
      <c r="O964">
        <v>3</v>
      </c>
      <c r="P964" t="s">
        <v>52</v>
      </c>
      <c r="Q964">
        <v>0.06</v>
      </c>
      <c r="R964" s="7">
        <v>192</v>
      </c>
      <c r="S964">
        <v>2</v>
      </c>
      <c r="T964" t="s">
        <v>113</v>
      </c>
    </row>
    <row r="965" spans="1:20">
      <c r="A965">
        <v>962</v>
      </c>
      <c r="B965" s="1">
        <v>44349</v>
      </c>
      <c r="C965">
        <v>41</v>
      </c>
      <c r="D965" t="s">
        <v>68</v>
      </c>
      <c r="E965" t="s">
        <v>55</v>
      </c>
      <c r="F965" s="8">
        <v>31</v>
      </c>
      <c r="G965" s="7">
        <v>111</v>
      </c>
      <c r="H965" s="7">
        <v>3441</v>
      </c>
      <c r="I965" s="4">
        <v>0.09</v>
      </c>
      <c r="J965" s="7">
        <v>3131.31</v>
      </c>
      <c r="K965" s="7">
        <f>Tabela1[[#This Row],[Valor Bruto]]-Tabela1[[#This Row],[Valor Venda]]</f>
        <v>309.69000000000005</v>
      </c>
      <c r="L965" s="1">
        <v>44378</v>
      </c>
      <c r="M965" s="1">
        <v>44378</v>
      </c>
      <c r="N965">
        <v>962</v>
      </c>
      <c r="O965">
        <v>2</v>
      </c>
      <c r="P965" t="s">
        <v>43</v>
      </c>
      <c r="Q965">
        <v>0.05</v>
      </c>
      <c r="R965" s="7">
        <v>156.56550000000001</v>
      </c>
      <c r="S965">
        <v>3</v>
      </c>
      <c r="T965" t="s">
        <v>113</v>
      </c>
    </row>
    <row r="966" spans="1:20">
      <c r="A966">
        <v>963</v>
      </c>
      <c r="B966" s="1">
        <v>44350</v>
      </c>
      <c r="C966">
        <v>43</v>
      </c>
      <c r="D966" t="s">
        <v>99</v>
      </c>
      <c r="E966" t="s">
        <v>41</v>
      </c>
      <c r="F966" s="8">
        <v>42</v>
      </c>
      <c r="G966" s="7">
        <v>91</v>
      </c>
      <c r="H966" s="7">
        <v>3822</v>
      </c>
      <c r="I966" s="4">
        <v>7.0000000000000007E-2</v>
      </c>
      <c r="J966" s="7">
        <v>3554.46</v>
      </c>
      <c r="K966" s="7">
        <f>Tabela1[[#This Row],[Valor Bruto]]-Tabela1[[#This Row],[Valor Venda]]</f>
        <v>267.53999999999996</v>
      </c>
      <c r="L966" s="1">
        <v>44376</v>
      </c>
      <c r="M966" s="1">
        <v>44376</v>
      </c>
      <c r="N966">
        <v>963</v>
      </c>
      <c r="O966">
        <v>1</v>
      </c>
      <c r="P966" t="s">
        <v>43</v>
      </c>
      <c r="Q966">
        <v>0.1</v>
      </c>
      <c r="R966" s="7">
        <v>355.44600000000003</v>
      </c>
      <c r="S966">
        <v>4</v>
      </c>
      <c r="T966" t="s">
        <v>113</v>
      </c>
    </row>
    <row r="967" spans="1:20">
      <c r="A967">
        <v>964</v>
      </c>
      <c r="B967" s="1">
        <v>44350</v>
      </c>
      <c r="C967">
        <v>25</v>
      </c>
      <c r="D967" t="s">
        <v>63</v>
      </c>
      <c r="E967" t="s">
        <v>41</v>
      </c>
      <c r="F967" s="8">
        <v>20</v>
      </c>
      <c r="G967" s="7">
        <v>94</v>
      </c>
      <c r="H967" s="7">
        <v>1880</v>
      </c>
      <c r="I967" s="4">
        <v>0.08</v>
      </c>
      <c r="J967" s="7">
        <v>1729.6</v>
      </c>
      <c r="K967" s="7">
        <f>Tabela1[[#This Row],[Valor Bruto]]-Tabela1[[#This Row],[Valor Venda]]</f>
        <v>150.40000000000009</v>
      </c>
      <c r="L967" s="1">
        <v>44368</v>
      </c>
      <c r="M967" s="1">
        <v>44368</v>
      </c>
      <c r="N967">
        <v>964</v>
      </c>
      <c r="O967">
        <v>1</v>
      </c>
      <c r="P967" t="s">
        <v>34</v>
      </c>
      <c r="Q967">
        <v>0.08</v>
      </c>
      <c r="R967" s="7">
        <v>138.36799999999999</v>
      </c>
      <c r="S967">
        <v>5</v>
      </c>
      <c r="T967" t="s">
        <v>113</v>
      </c>
    </row>
    <row r="968" spans="1:20">
      <c r="A968">
        <v>965</v>
      </c>
      <c r="B968" s="1">
        <v>44351</v>
      </c>
      <c r="C968">
        <v>67</v>
      </c>
      <c r="D968" t="s">
        <v>106</v>
      </c>
      <c r="E968" t="s">
        <v>31</v>
      </c>
      <c r="F968" s="8">
        <v>21</v>
      </c>
      <c r="G968" s="7">
        <v>114</v>
      </c>
      <c r="H968" s="7">
        <v>2394</v>
      </c>
      <c r="I968" s="4">
        <v>0.09</v>
      </c>
      <c r="J968" s="7">
        <v>2178.54</v>
      </c>
      <c r="K968" s="7">
        <f>Tabela1[[#This Row],[Valor Bruto]]-Tabela1[[#This Row],[Valor Venda]]</f>
        <v>215.46000000000004</v>
      </c>
      <c r="L968" s="1">
        <v>44362</v>
      </c>
      <c r="M968" s="1">
        <v>44362</v>
      </c>
      <c r="N968">
        <v>965</v>
      </c>
      <c r="O968">
        <v>6</v>
      </c>
      <c r="P968" t="s">
        <v>22</v>
      </c>
      <c r="Q968">
        <v>0.1</v>
      </c>
      <c r="R968" s="7">
        <v>217.85400000000001</v>
      </c>
      <c r="S968">
        <v>6</v>
      </c>
      <c r="T968" t="s">
        <v>113</v>
      </c>
    </row>
    <row r="969" spans="1:20">
      <c r="A969">
        <v>966</v>
      </c>
      <c r="B969" s="1">
        <v>44352</v>
      </c>
      <c r="C969">
        <v>3</v>
      </c>
      <c r="D969" t="s">
        <v>91</v>
      </c>
      <c r="E969" t="s">
        <v>59</v>
      </c>
      <c r="F969" s="8">
        <v>35</v>
      </c>
      <c r="G969" s="7">
        <v>114</v>
      </c>
      <c r="H969" s="7">
        <v>3990</v>
      </c>
      <c r="I969" s="4">
        <v>0.02</v>
      </c>
      <c r="J969" s="7">
        <v>3910.2</v>
      </c>
      <c r="K969" s="7">
        <f>Tabela1[[#This Row],[Valor Bruto]]-Tabela1[[#This Row],[Valor Venda]]</f>
        <v>79.800000000000182</v>
      </c>
      <c r="L969" s="1">
        <v>44364</v>
      </c>
      <c r="M969" s="1">
        <v>44364</v>
      </c>
      <c r="N969">
        <v>966</v>
      </c>
      <c r="O969">
        <v>6</v>
      </c>
      <c r="P969" t="s">
        <v>22</v>
      </c>
      <c r="Q969">
        <v>0.05</v>
      </c>
      <c r="R969" s="7">
        <v>195.51</v>
      </c>
      <c r="S969">
        <v>7</v>
      </c>
      <c r="T969" t="s">
        <v>113</v>
      </c>
    </row>
    <row r="970" spans="1:20">
      <c r="A970">
        <v>967</v>
      </c>
      <c r="B970" s="1">
        <v>44352</v>
      </c>
      <c r="C970">
        <v>57</v>
      </c>
      <c r="D970" t="s">
        <v>89</v>
      </c>
      <c r="E970" t="s">
        <v>55</v>
      </c>
      <c r="F970" s="8">
        <v>14</v>
      </c>
      <c r="G970" s="7">
        <v>91</v>
      </c>
      <c r="H970" s="7">
        <v>1274</v>
      </c>
      <c r="I970" s="4">
        <v>0.15</v>
      </c>
      <c r="J970" s="7">
        <v>1082.9000000000001</v>
      </c>
      <c r="K970" s="7">
        <f>Tabela1[[#This Row],[Valor Bruto]]-Tabela1[[#This Row],[Valor Venda]]</f>
        <v>191.09999999999991</v>
      </c>
      <c r="L970" s="1">
        <v>44378</v>
      </c>
      <c r="M970" s="1">
        <v>44378</v>
      </c>
      <c r="N970">
        <v>967</v>
      </c>
      <c r="O970">
        <v>1</v>
      </c>
      <c r="P970" t="s">
        <v>29</v>
      </c>
      <c r="Q970">
        <v>0.08</v>
      </c>
      <c r="R970" s="7">
        <v>86.632000000000005</v>
      </c>
      <c r="S970">
        <v>1</v>
      </c>
      <c r="T970" t="s">
        <v>113</v>
      </c>
    </row>
    <row r="971" spans="1:20">
      <c r="A971">
        <v>968</v>
      </c>
      <c r="B971" s="1">
        <v>44352</v>
      </c>
      <c r="C971">
        <v>19</v>
      </c>
      <c r="D971" t="s">
        <v>38</v>
      </c>
      <c r="E971" t="s">
        <v>28</v>
      </c>
      <c r="F971" s="8">
        <v>40</v>
      </c>
      <c r="G971" s="7">
        <v>105</v>
      </c>
      <c r="H971" s="7">
        <v>4200</v>
      </c>
      <c r="I971" s="4">
        <v>7.0000000000000007E-2</v>
      </c>
      <c r="J971" s="7">
        <v>3906</v>
      </c>
      <c r="K971" s="7">
        <f>Tabela1[[#This Row],[Valor Bruto]]-Tabela1[[#This Row],[Valor Venda]]</f>
        <v>294</v>
      </c>
      <c r="L971" s="1">
        <v>44370</v>
      </c>
      <c r="M971" s="1">
        <v>44370</v>
      </c>
      <c r="N971">
        <v>968</v>
      </c>
      <c r="O971">
        <v>4</v>
      </c>
      <c r="P971" t="s">
        <v>32</v>
      </c>
      <c r="Q971">
        <v>0.05</v>
      </c>
      <c r="R971" s="7">
        <v>195.3</v>
      </c>
      <c r="S971">
        <v>2</v>
      </c>
      <c r="T971" t="s">
        <v>113</v>
      </c>
    </row>
    <row r="972" spans="1:20">
      <c r="A972">
        <v>969</v>
      </c>
      <c r="B972" s="1">
        <v>44352</v>
      </c>
      <c r="C972">
        <v>51</v>
      </c>
      <c r="D972" t="s">
        <v>53</v>
      </c>
      <c r="E972" t="s">
        <v>54</v>
      </c>
      <c r="F972" s="8">
        <v>50</v>
      </c>
      <c r="G972" s="7">
        <v>102</v>
      </c>
      <c r="H972" s="7">
        <v>5100</v>
      </c>
      <c r="I972" s="4">
        <v>0.14000000000000001</v>
      </c>
      <c r="J972" s="7">
        <v>4386</v>
      </c>
      <c r="K972" s="7">
        <f>Tabela1[[#This Row],[Valor Bruto]]-Tabela1[[#This Row],[Valor Venda]]</f>
        <v>714</v>
      </c>
      <c r="L972" s="1">
        <v>44365</v>
      </c>
      <c r="M972" s="1">
        <v>44365</v>
      </c>
      <c r="N972">
        <v>969</v>
      </c>
      <c r="O972">
        <v>7</v>
      </c>
      <c r="P972" t="s">
        <v>37</v>
      </c>
      <c r="Q972">
        <v>0.06</v>
      </c>
      <c r="R972" s="7">
        <v>263.15999999999997</v>
      </c>
      <c r="S972">
        <v>3</v>
      </c>
      <c r="T972" t="s">
        <v>113</v>
      </c>
    </row>
    <row r="973" spans="1:20">
      <c r="A973">
        <v>970</v>
      </c>
      <c r="B973" s="1">
        <v>44353</v>
      </c>
      <c r="C973">
        <v>1</v>
      </c>
      <c r="D973" t="s">
        <v>93</v>
      </c>
      <c r="E973" t="s">
        <v>31</v>
      </c>
      <c r="F973" s="8">
        <v>32</v>
      </c>
      <c r="G973" s="7">
        <v>114</v>
      </c>
      <c r="H973" s="7">
        <v>3648</v>
      </c>
      <c r="I973" s="4">
        <v>0.06</v>
      </c>
      <c r="J973" s="7">
        <v>3429.12</v>
      </c>
      <c r="K973" s="7">
        <f>Tabela1[[#This Row],[Valor Bruto]]-Tabela1[[#This Row],[Valor Venda]]</f>
        <v>218.88000000000011</v>
      </c>
      <c r="L973" s="1">
        <v>44354</v>
      </c>
      <c r="M973" s="1">
        <v>44354</v>
      </c>
      <c r="N973">
        <v>970</v>
      </c>
      <c r="O973">
        <v>4</v>
      </c>
      <c r="P973" t="s">
        <v>47</v>
      </c>
      <c r="Q973">
        <v>0.05</v>
      </c>
      <c r="R973" s="7">
        <v>171.45600000000002</v>
      </c>
      <c r="S973">
        <v>4</v>
      </c>
      <c r="T973" t="s">
        <v>113</v>
      </c>
    </row>
    <row r="974" spans="1:20">
      <c r="A974">
        <v>971</v>
      </c>
      <c r="B974" s="1">
        <v>44354</v>
      </c>
      <c r="C974">
        <v>19</v>
      </c>
      <c r="D974" t="s">
        <v>38</v>
      </c>
      <c r="E974" t="s">
        <v>31</v>
      </c>
      <c r="F974" s="8">
        <v>48</v>
      </c>
      <c r="G974" s="7">
        <v>107</v>
      </c>
      <c r="H974" s="7">
        <v>5136</v>
      </c>
      <c r="I974" s="4">
        <v>0.04</v>
      </c>
      <c r="J974" s="7">
        <v>4930.5600000000004</v>
      </c>
      <c r="K974" s="7">
        <f>Tabela1[[#This Row],[Valor Bruto]]-Tabela1[[#This Row],[Valor Venda]]</f>
        <v>205.4399999999996</v>
      </c>
      <c r="L974" s="1">
        <v>44377</v>
      </c>
      <c r="M974" s="1">
        <v>44377</v>
      </c>
      <c r="N974">
        <v>971</v>
      </c>
      <c r="O974">
        <v>7</v>
      </c>
      <c r="P974" t="s">
        <v>32</v>
      </c>
      <c r="Q974">
        <v>0.08</v>
      </c>
      <c r="R974" s="7">
        <v>394.44480000000004</v>
      </c>
      <c r="S974">
        <v>5</v>
      </c>
      <c r="T974" t="s">
        <v>113</v>
      </c>
    </row>
    <row r="975" spans="1:20">
      <c r="A975">
        <v>972</v>
      </c>
      <c r="B975" s="1">
        <v>44354</v>
      </c>
      <c r="C975">
        <v>33</v>
      </c>
      <c r="D975" t="s">
        <v>76</v>
      </c>
      <c r="E975" t="s">
        <v>46</v>
      </c>
      <c r="F975" s="8">
        <v>23</v>
      </c>
      <c r="G975" s="7">
        <v>116</v>
      </c>
      <c r="H975" s="7">
        <v>2668</v>
      </c>
      <c r="I975" s="4">
        <v>0.08</v>
      </c>
      <c r="J975" s="7">
        <v>2454.56</v>
      </c>
      <c r="K975" s="7">
        <f>Tabela1[[#This Row],[Valor Bruto]]-Tabela1[[#This Row],[Valor Venda]]</f>
        <v>213.44000000000005</v>
      </c>
      <c r="L975" s="1">
        <v>44379</v>
      </c>
      <c r="M975" s="1">
        <v>44379</v>
      </c>
      <c r="N975">
        <v>972</v>
      </c>
      <c r="O975">
        <v>6</v>
      </c>
      <c r="P975" t="s">
        <v>25</v>
      </c>
      <c r="Q975">
        <v>0.08</v>
      </c>
      <c r="R975" s="7">
        <v>196.3648</v>
      </c>
      <c r="S975">
        <v>6</v>
      </c>
      <c r="T975" t="s">
        <v>113</v>
      </c>
    </row>
    <row r="976" spans="1:20">
      <c r="A976">
        <v>973</v>
      </c>
      <c r="B976" s="1">
        <v>44354</v>
      </c>
      <c r="C976">
        <v>22</v>
      </c>
      <c r="D976" t="s">
        <v>51</v>
      </c>
      <c r="E976" t="s">
        <v>31</v>
      </c>
      <c r="F976" s="8">
        <v>33</v>
      </c>
      <c r="G976" s="7">
        <v>103</v>
      </c>
      <c r="H976" s="7">
        <v>3399</v>
      </c>
      <c r="I976" s="4">
        <v>0.08</v>
      </c>
      <c r="J976" s="7">
        <v>3127.08</v>
      </c>
      <c r="K976" s="7">
        <f>Tabela1[[#This Row],[Valor Bruto]]-Tabela1[[#This Row],[Valor Venda]]</f>
        <v>271.92000000000007</v>
      </c>
      <c r="L976" s="1">
        <v>44373</v>
      </c>
      <c r="M976" s="1">
        <v>44373</v>
      </c>
      <c r="N976">
        <v>973</v>
      </c>
      <c r="O976">
        <v>7</v>
      </c>
      <c r="P976" t="s">
        <v>34</v>
      </c>
      <c r="Q976">
        <v>0.1</v>
      </c>
      <c r="R976" s="7">
        <v>312.70800000000003</v>
      </c>
      <c r="S976">
        <v>7</v>
      </c>
      <c r="T976" t="s">
        <v>113</v>
      </c>
    </row>
    <row r="977" spans="1:20">
      <c r="A977">
        <v>974</v>
      </c>
      <c r="B977" s="1">
        <v>44354</v>
      </c>
      <c r="C977">
        <v>84</v>
      </c>
      <c r="D977" t="s">
        <v>44</v>
      </c>
      <c r="E977" t="s">
        <v>46</v>
      </c>
      <c r="F977" s="8">
        <v>15</v>
      </c>
      <c r="G977" s="7">
        <v>120</v>
      </c>
      <c r="H977" s="7">
        <v>1800</v>
      </c>
      <c r="I977" s="4">
        <v>0.08</v>
      </c>
      <c r="J977" s="7">
        <v>1656</v>
      </c>
      <c r="K977" s="7">
        <f>Tabela1[[#This Row],[Valor Bruto]]-Tabela1[[#This Row],[Valor Venda]]</f>
        <v>144</v>
      </c>
      <c r="L977" s="1">
        <v>44365</v>
      </c>
      <c r="M977" s="1">
        <v>44365</v>
      </c>
      <c r="N977">
        <v>974</v>
      </c>
      <c r="O977">
        <v>3</v>
      </c>
      <c r="P977" t="s">
        <v>22</v>
      </c>
      <c r="Q977">
        <v>0.08</v>
      </c>
      <c r="R977" s="7">
        <v>132.47999999999999</v>
      </c>
      <c r="S977">
        <v>1</v>
      </c>
      <c r="T977" t="s">
        <v>113</v>
      </c>
    </row>
    <row r="978" spans="1:20">
      <c r="A978">
        <v>975</v>
      </c>
      <c r="B978" s="1">
        <v>44354</v>
      </c>
      <c r="C978">
        <v>89</v>
      </c>
      <c r="D978" t="s">
        <v>49</v>
      </c>
      <c r="E978" t="s">
        <v>28</v>
      </c>
      <c r="F978" s="8">
        <v>34</v>
      </c>
      <c r="G978" s="7">
        <v>101</v>
      </c>
      <c r="H978" s="7">
        <v>3434</v>
      </c>
      <c r="I978" s="4">
        <v>0.11</v>
      </c>
      <c r="J978" s="7">
        <v>3056.26</v>
      </c>
      <c r="K978" s="7">
        <f>Tabela1[[#This Row],[Valor Bruto]]-Tabela1[[#This Row],[Valor Venda]]</f>
        <v>377.73999999999978</v>
      </c>
      <c r="L978" s="1">
        <v>44372</v>
      </c>
      <c r="M978" s="1">
        <v>44372</v>
      </c>
      <c r="N978">
        <v>975</v>
      </c>
      <c r="O978">
        <v>1</v>
      </c>
      <c r="P978" t="s">
        <v>69</v>
      </c>
      <c r="Q978">
        <v>0.09</v>
      </c>
      <c r="R978" s="7">
        <v>275.0634</v>
      </c>
      <c r="S978">
        <v>2</v>
      </c>
      <c r="T978" t="s">
        <v>113</v>
      </c>
    </row>
    <row r="979" spans="1:20">
      <c r="A979">
        <v>976</v>
      </c>
      <c r="B979" s="1">
        <v>44354</v>
      </c>
      <c r="C979">
        <v>43</v>
      </c>
      <c r="D979" t="s">
        <v>99</v>
      </c>
      <c r="E979" t="s">
        <v>55</v>
      </c>
      <c r="F979" s="8">
        <v>35</v>
      </c>
      <c r="G979" s="7">
        <v>91</v>
      </c>
      <c r="H979" s="7">
        <v>3185</v>
      </c>
      <c r="I979" s="4">
        <v>0.02</v>
      </c>
      <c r="J979" s="7">
        <v>3121.3</v>
      </c>
      <c r="K979" s="7">
        <f>Tabela1[[#This Row],[Valor Bruto]]-Tabela1[[#This Row],[Valor Venda]]</f>
        <v>63.699999999999818</v>
      </c>
      <c r="L979" s="1">
        <v>44380</v>
      </c>
      <c r="M979" s="1">
        <v>44380</v>
      </c>
      <c r="N979">
        <v>976</v>
      </c>
      <c r="O979">
        <v>3</v>
      </c>
      <c r="P979" t="s">
        <v>32</v>
      </c>
      <c r="Q979">
        <v>7.0000000000000007E-2</v>
      </c>
      <c r="R979" s="7">
        <v>218.49100000000004</v>
      </c>
      <c r="S979">
        <v>3</v>
      </c>
      <c r="T979" t="s">
        <v>113</v>
      </c>
    </row>
    <row r="980" spans="1:20">
      <c r="A980">
        <v>977</v>
      </c>
      <c r="B980" s="1">
        <v>44355</v>
      </c>
      <c r="C980">
        <v>26</v>
      </c>
      <c r="D980" t="s">
        <v>95</v>
      </c>
      <c r="E980" t="s">
        <v>28</v>
      </c>
      <c r="F980" s="8">
        <v>23</v>
      </c>
      <c r="G980" s="7">
        <v>114</v>
      </c>
      <c r="H980" s="7">
        <v>2622</v>
      </c>
      <c r="I980" s="4">
        <v>0.11</v>
      </c>
      <c r="J980" s="7">
        <v>2333.58</v>
      </c>
      <c r="K980" s="7">
        <f>Tabela1[[#This Row],[Valor Bruto]]-Tabela1[[#This Row],[Valor Venda]]</f>
        <v>288.42000000000007</v>
      </c>
      <c r="L980" s="1">
        <v>44357</v>
      </c>
      <c r="M980" s="1">
        <v>44357</v>
      </c>
      <c r="N980">
        <v>977</v>
      </c>
      <c r="O980">
        <v>2</v>
      </c>
      <c r="P980" t="s">
        <v>69</v>
      </c>
      <c r="Q980">
        <v>0.06</v>
      </c>
      <c r="R980" s="7">
        <v>140.01479999999998</v>
      </c>
      <c r="S980">
        <v>4</v>
      </c>
      <c r="T980" t="s">
        <v>113</v>
      </c>
    </row>
    <row r="981" spans="1:20">
      <c r="A981">
        <v>978</v>
      </c>
      <c r="B981" s="1">
        <v>44355</v>
      </c>
      <c r="C981">
        <v>71</v>
      </c>
      <c r="D981" t="s">
        <v>20</v>
      </c>
      <c r="E981" t="s">
        <v>46</v>
      </c>
      <c r="F981" s="8">
        <v>29</v>
      </c>
      <c r="G981" s="7">
        <v>106</v>
      </c>
      <c r="H981" s="7">
        <v>3074</v>
      </c>
      <c r="I981" s="4">
        <v>0.11</v>
      </c>
      <c r="J981" s="7">
        <v>2735.86</v>
      </c>
      <c r="K981" s="7">
        <f>Tabela1[[#This Row],[Valor Bruto]]-Tabela1[[#This Row],[Valor Venda]]</f>
        <v>338.13999999999987</v>
      </c>
      <c r="L981" s="1">
        <v>44355</v>
      </c>
      <c r="M981" s="1">
        <v>44355</v>
      </c>
      <c r="N981">
        <v>978</v>
      </c>
      <c r="O981">
        <v>5</v>
      </c>
      <c r="P981" t="s">
        <v>25</v>
      </c>
      <c r="Q981">
        <v>7.0000000000000007E-2</v>
      </c>
      <c r="R981" s="7">
        <v>191.51020000000003</v>
      </c>
      <c r="S981">
        <v>5</v>
      </c>
      <c r="T981" t="s">
        <v>113</v>
      </c>
    </row>
    <row r="982" spans="1:20">
      <c r="A982">
        <v>979</v>
      </c>
      <c r="B982" s="1">
        <v>44355</v>
      </c>
      <c r="C982">
        <v>76</v>
      </c>
      <c r="D982" t="s">
        <v>104</v>
      </c>
      <c r="E982" t="s">
        <v>50</v>
      </c>
      <c r="F982" s="8">
        <v>29</v>
      </c>
      <c r="G982" s="7">
        <v>117</v>
      </c>
      <c r="H982" s="7">
        <v>3393</v>
      </c>
      <c r="I982" s="4">
        <v>0.03</v>
      </c>
      <c r="J982" s="7">
        <v>3291.21</v>
      </c>
      <c r="K982" s="7">
        <f>Tabela1[[#This Row],[Valor Bruto]]-Tabela1[[#This Row],[Valor Venda]]</f>
        <v>101.78999999999996</v>
      </c>
      <c r="L982" s="1">
        <v>44355</v>
      </c>
      <c r="M982" s="1">
        <v>44355</v>
      </c>
      <c r="N982">
        <v>979</v>
      </c>
      <c r="O982">
        <v>4</v>
      </c>
      <c r="P982" t="s">
        <v>37</v>
      </c>
      <c r="Q982">
        <v>0.05</v>
      </c>
      <c r="R982" s="7">
        <v>164.56050000000002</v>
      </c>
      <c r="S982">
        <v>6</v>
      </c>
      <c r="T982" t="s">
        <v>113</v>
      </c>
    </row>
    <row r="983" spans="1:20">
      <c r="A983">
        <v>980</v>
      </c>
      <c r="B983" s="1">
        <v>44356</v>
      </c>
      <c r="C983">
        <v>58</v>
      </c>
      <c r="D983" t="s">
        <v>72</v>
      </c>
      <c r="E983" t="s">
        <v>46</v>
      </c>
      <c r="F983" s="8">
        <v>20</v>
      </c>
      <c r="G983" s="7">
        <v>96</v>
      </c>
      <c r="H983" s="7">
        <v>1920</v>
      </c>
      <c r="I983" s="4">
        <v>0.08</v>
      </c>
      <c r="J983" s="7">
        <v>1766.4</v>
      </c>
      <c r="K983" s="7">
        <f>Tabela1[[#This Row],[Valor Bruto]]-Tabela1[[#This Row],[Valor Venda]]</f>
        <v>153.59999999999991</v>
      </c>
      <c r="L983" s="1">
        <v>44375</v>
      </c>
      <c r="M983" s="1">
        <v>44375</v>
      </c>
      <c r="N983">
        <v>980</v>
      </c>
      <c r="O983">
        <v>7</v>
      </c>
      <c r="P983" t="s">
        <v>34</v>
      </c>
      <c r="Q983">
        <v>0.08</v>
      </c>
      <c r="R983" s="7">
        <v>141.31200000000001</v>
      </c>
      <c r="S983">
        <v>7</v>
      </c>
      <c r="T983" t="s">
        <v>113</v>
      </c>
    </row>
    <row r="984" spans="1:20">
      <c r="A984">
        <v>981</v>
      </c>
      <c r="B984" s="1">
        <v>44358</v>
      </c>
      <c r="C984">
        <v>70</v>
      </c>
      <c r="D984" t="s">
        <v>67</v>
      </c>
      <c r="E984" t="s">
        <v>21</v>
      </c>
      <c r="F984" s="8">
        <v>41</v>
      </c>
      <c r="G984" s="7">
        <v>102</v>
      </c>
      <c r="H984" s="7">
        <v>4182</v>
      </c>
      <c r="I984" s="4">
        <v>0.15</v>
      </c>
      <c r="J984" s="7">
        <v>3554.7</v>
      </c>
      <c r="K984" s="7">
        <f>Tabela1[[#This Row],[Valor Bruto]]-Tabela1[[#This Row],[Valor Venda]]</f>
        <v>627.30000000000018</v>
      </c>
      <c r="L984" s="1">
        <v>44366</v>
      </c>
      <c r="M984" s="1">
        <v>44366</v>
      </c>
      <c r="N984">
        <v>981</v>
      </c>
      <c r="O984">
        <v>6</v>
      </c>
      <c r="P984" t="s">
        <v>47</v>
      </c>
      <c r="Q984">
        <v>0.05</v>
      </c>
      <c r="R984" s="7">
        <v>177.73500000000001</v>
      </c>
      <c r="S984">
        <v>1</v>
      </c>
      <c r="T984" t="s">
        <v>113</v>
      </c>
    </row>
    <row r="985" spans="1:20">
      <c r="A985">
        <v>982</v>
      </c>
      <c r="B985" s="1">
        <v>44358</v>
      </c>
      <c r="C985">
        <v>34</v>
      </c>
      <c r="D985" t="s">
        <v>58</v>
      </c>
      <c r="E985" t="s">
        <v>59</v>
      </c>
      <c r="F985" s="8">
        <v>38</v>
      </c>
      <c r="G985" s="7">
        <v>97</v>
      </c>
      <c r="H985" s="7">
        <v>3686</v>
      </c>
      <c r="I985" s="4">
        <v>7.0000000000000007E-2</v>
      </c>
      <c r="J985" s="7">
        <v>3427.98</v>
      </c>
      <c r="K985" s="7">
        <f>Tabela1[[#This Row],[Valor Bruto]]-Tabela1[[#This Row],[Valor Venda]]</f>
        <v>258.02</v>
      </c>
      <c r="L985" s="1">
        <v>44364</v>
      </c>
      <c r="M985" s="1">
        <v>44364</v>
      </c>
      <c r="N985">
        <v>982</v>
      </c>
      <c r="O985">
        <v>1</v>
      </c>
      <c r="P985" t="s">
        <v>37</v>
      </c>
      <c r="Q985">
        <v>7.0000000000000007E-2</v>
      </c>
      <c r="R985" s="7">
        <v>239.95860000000002</v>
      </c>
      <c r="S985">
        <v>2</v>
      </c>
      <c r="T985" t="s">
        <v>113</v>
      </c>
    </row>
    <row r="986" spans="1:20">
      <c r="A986">
        <v>983</v>
      </c>
      <c r="B986" s="1">
        <v>44358</v>
      </c>
      <c r="C986">
        <v>72</v>
      </c>
      <c r="D986" t="s">
        <v>38</v>
      </c>
      <c r="E986" t="s">
        <v>55</v>
      </c>
      <c r="F986" s="8">
        <v>25</v>
      </c>
      <c r="G986" s="7">
        <v>91</v>
      </c>
      <c r="H986" s="7">
        <v>2275</v>
      </c>
      <c r="I986" s="4">
        <v>7.0000000000000007E-2</v>
      </c>
      <c r="J986" s="7">
        <v>2115.75</v>
      </c>
      <c r="K986" s="7">
        <f>Tabela1[[#This Row],[Valor Bruto]]-Tabela1[[#This Row],[Valor Venda]]</f>
        <v>159.25</v>
      </c>
      <c r="L986" s="1">
        <v>44373</v>
      </c>
      <c r="M986" s="1">
        <v>44373</v>
      </c>
      <c r="N986">
        <v>983</v>
      </c>
      <c r="O986">
        <v>1</v>
      </c>
      <c r="P986" t="s">
        <v>25</v>
      </c>
      <c r="Q986">
        <v>0.05</v>
      </c>
      <c r="R986" s="7">
        <v>105.78750000000001</v>
      </c>
      <c r="S986">
        <v>3</v>
      </c>
      <c r="T986" t="s">
        <v>113</v>
      </c>
    </row>
    <row r="987" spans="1:20">
      <c r="A987">
        <v>984</v>
      </c>
      <c r="B987" s="1">
        <v>44358</v>
      </c>
      <c r="C987">
        <v>74</v>
      </c>
      <c r="D987" t="s">
        <v>38</v>
      </c>
      <c r="E987" t="s">
        <v>31</v>
      </c>
      <c r="F987" s="8">
        <v>13</v>
      </c>
      <c r="G987" s="7">
        <v>115</v>
      </c>
      <c r="H987" s="7">
        <v>1495</v>
      </c>
      <c r="I987" s="4">
        <v>0.04</v>
      </c>
      <c r="J987" s="7">
        <v>1435.2</v>
      </c>
      <c r="K987" s="7">
        <f>Tabela1[[#This Row],[Valor Bruto]]-Tabela1[[#This Row],[Valor Venda]]</f>
        <v>59.799999999999955</v>
      </c>
      <c r="L987" s="1">
        <v>44373</v>
      </c>
      <c r="M987" s="1">
        <v>44373</v>
      </c>
      <c r="N987">
        <v>984</v>
      </c>
      <c r="O987">
        <v>4</v>
      </c>
      <c r="P987" t="s">
        <v>52</v>
      </c>
      <c r="Q987">
        <v>0.05</v>
      </c>
      <c r="R987" s="7">
        <v>71.760000000000005</v>
      </c>
      <c r="S987">
        <v>4</v>
      </c>
      <c r="T987" t="s">
        <v>113</v>
      </c>
    </row>
    <row r="988" spans="1:20">
      <c r="A988">
        <v>985</v>
      </c>
      <c r="B988" s="1">
        <v>44358</v>
      </c>
      <c r="C988">
        <v>44</v>
      </c>
      <c r="D988" t="s">
        <v>71</v>
      </c>
      <c r="E988" t="s">
        <v>54</v>
      </c>
      <c r="F988" s="8">
        <v>26</v>
      </c>
      <c r="G988" s="7">
        <v>114</v>
      </c>
      <c r="H988" s="7">
        <v>2964</v>
      </c>
      <c r="I988" s="4">
        <v>0.09</v>
      </c>
      <c r="J988" s="7">
        <v>2697.24</v>
      </c>
      <c r="K988" s="7">
        <f>Tabela1[[#This Row],[Valor Bruto]]-Tabela1[[#This Row],[Valor Venda]]</f>
        <v>266.76000000000022</v>
      </c>
      <c r="L988" s="1">
        <v>44366</v>
      </c>
      <c r="M988" s="1">
        <v>44366</v>
      </c>
      <c r="N988">
        <v>985</v>
      </c>
      <c r="O988">
        <v>6</v>
      </c>
      <c r="P988" t="s">
        <v>52</v>
      </c>
      <c r="Q988">
        <v>0.06</v>
      </c>
      <c r="R988" s="7">
        <v>161.83439999999999</v>
      </c>
      <c r="S988">
        <v>5</v>
      </c>
      <c r="T988" t="s">
        <v>113</v>
      </c>
    </row>
    <row r="989" spans="1:20">
      <c r="A989">
        <v>986</v>
      </c>
      <c r="B989" s="1">
        <v>44358</v>
      </c>
      <c r="C989">
        <v>47</v>
      </c>
      <c r="D989" t="s">
        <v>40</v>
      </c>
      <c r="E989" t="s">
        <v>24</v>
      </c>
      <c r="F989" s="8">
        <v>32</v>
      </c>
      <c r="G989" s="7">
        <v>98</v>
      </c>
      <c r="H989" s="7">
        <v>3136</v>
      </c>
      <c r="I989" s="4">
        <v>0.08</v>
      </c>
      <c r="J989" s="7">
        <v>2885.12</v>
      </c>
      <c r="K989" s="7">
        <f>Tabela1[[#This Row],[Valor Bruto]]-Tabela1[[#This Row],[Valor Venda]]</f>
        <v>250.88000000000011</v>
      </c>
      <c r="L989" s="1">
        <v>44379</v>
      </c>
      <c r="M989" s="1">
        <v>44379</v>
      </c>
      <c r="N989">
        <v>986</v>
      </c>
      <c r="O989">
        <v>3</v>
      </c>
      <c r="P989" t="s">
        <v>29</v>
      </c>
      <c r="Q989">
        <v>7.0000000000000007E-2</v>
      </c>
      <c r="R989" s="7">
        <v>201.95840000000001</v>
      </c>
      <c r="S989">
        <v>6</v>
      </c>
      <c r="T989" t="s">
        <v>113</v>
      </c>
    </row>
    <row r="990" spans="1:20">
      <c r="A990">
        <v>987</v>
      </c>
      <c r="B990" s="1">
        <v>44360</v>
      </c>
      <c r="C990">
        <v>43</v>
      </c>
      <c r="D990" t="s">
        <v>99</v>
      </c>
      <c r="E990" t="s">
        <v>46</v>
      </c>
      <c r="F990" s="8">
        <v>15</v>
      </c>
      <c r="G990" s="7">
        <v>95</v>
      </c>
      <c r="H990" s="7">
        <v>1425</v>
      </c>
      <c r="I990" s="4">
        <v>0.11</v>
      </c>
      <c r="J990" s="7">
        <v>1268.25</v>
      </c>
      <c r="K990" s="7">
        <f>Tabela1[[#This Row],[Valor Bruto]]-Tabela1[[#This Row],[Valor Venda]]</f>
        <v>156.75</v>
      </c>
      <c r="L990" s="1">
        <v>44387</v>
      </c>
      <c r="M990" s="1">
        <v>44387</v>
      </c>
      <c r="N990">
        <v>987</v>
      </c>
      <c r="O990">
        <v>2</v>
      </c>
      <c r="P990" t="s">
        <v>25</v>
      </c>
      <c r="Q990">
        <v>0.09</v>
      </c>
      <c r="R990" s="7">
        <v>114.1425</v>
      </c>
      <c r="S990">
        <v>7</v>
      </c>
      <c r="T990" t="s">
        <v>113</v>
      </c>
    </row>
    <row r="991" spans="1:20">
      <c r="A991">
        <v>988</v>
      </c>
      <c r="B991" s="1">
        <v>44360</v>
      </c>
      <c r="C991">
        <v>73</v>
      </c>
      <c r="D991" t="s">
        <v>38</v>
      </c>
      <c r="E991" t="s">
        <v>50</v>
      </c>
      <c r="F991" s="8">
        <v>30</v>
      </c>
      <c r="G991" s="7">
        <v>97</v>
      </c>
      <c r="H991" s="7">
        <v>2910</v>
      </c>
      <c r="I991" s="4">
        <v>0.09</v>
      </c>
      <c r="J991" s="7">
        <v>2648.1</v>
      </c>
      <c r="K991" s="7">
        <f>Tabela1[[#This Row],[Valor Bruto]]-Tabela1[[#This Row],[Valor Venda]]</f>
        <v>261.90000000000009</v>
      </c>
      <c r="L991" s="1">
        <v>44385</v>
      </c>
      <c r="M991" s="1">
        <v>44385</v>
      </c>
      <c r="N991">
        <v>988</v>
      </c>
      <c r="O991">
        <v>3</v>
      </c>
      <c r="P991" t="s">
        <v>22</v>
      </c>
      <c r="Q991">
        <v>0.1</v>
      </c>
      <c r="R991" s="7">
        <v>264.81</v>
      </c>
      <c r="S991">
        <v>1</v>
      </c>
      <c r="T991" t="s">
        <v>113</v>
      </c>
    </row>
    <row r="992" spans="1:20">
      <c r="A992">
        <v>989</v>
      </c>
      <c r="B992" s="1">
        <v>44361</v>
      </c>
      <c r="C992">
        <v>93</v>
      </c>
      <c r="D992" t="s">
        <v>33</v>
      </c>
      <c r="E992" t="s">
        <v>24</v>
      </c>
      <c r="F992" s="8">
        <v>12</v>
      </c>
      <c r="G992" s="7">
        <v>96</v>
      </c>
      <c r="H992" s="7">
        <v>1152</v>
      </c>
      <c r="I992" s="4">
        <v>0.03</v>
      </c>
      <c r="J992" s="7">
        <v>1117.44</v>
      </c>
      <c r="K992" s="7">
        <f>Tabela1[[#This Row],[Valor Bruto]]-Tabela1[[#This Row],[Valor Venda]]</f>
        <v>34.559999999999945</v>
      </c>
      <c r="L992" s="1">
        <v>44376</v>
      </c>
      <c r="M992" s="1">
        <v>44376</v>
      </c>
      <c r="N992">
        <v>989</v>
      </c>
      <c r="O992">
        <v>2</v>
      </c>
      <c r="P992" t="s">
        <v>37</v>
      </c>
      <c r="Q992">
        <v>0.06</v>
      </c>
      <c r="R992" s="7">
        <v>67.046400000000006</v>
      </c>
      <c r="S992">
        <v>2</v>
      </c>
      <c r="T992" t="s">
        <v>113</v>
      </c>
    </row>
    <row r="993" spans="1:20">
      <c r="A993">
        <v>990</v>
      </c>
      <c r="B993" s="1">
        <v>44361</v>
      </c>
      <c r="C993">
        <v>6</v>
      </c>
      <c r="D993" t="s">
        <v>88</v>
      </c>
      <c r="E993" t="s">
        <v>46</v>
      </c>
      <c r="F993" s="8">
        <v>36</v>
      </c>
      <c r="G993" s="7">
        <v>92</v>
      </c>
      <c r="H993" s="7">
        <v>3312</v>
      </c>
      <c r="I993" s="4">
        <v>0.15</v>
      </c>
      <c r="J993" s="7">
        <v>2815.2</v>
      </c>
      <c r="K993" s="7">
        <f>Tabela1[[#This Row],[Valor Bruto]]-Tabela1[[#This Row],[Valor Venda]]</f>
        <v>496.80000000000018</v>
      </c>
      <c r="L993" s="1">
        <v>44390</v>
      </c>
      <c r="M993" s="1">
        <v>44390</v>
      </c>
      <c r="N993">
        <v>990</v>
      </c>
      <c r="O993">
        <v>7</v>
      </c>
      <c r="P993" t="s">
        <v>37</v>
      </c>
      <c r="Q993">
        <v>0.09</v>
      </c>
      <c r="R993" s="7">
        <v>253.36799999999997</v>
      </c>
      <c r="S993">
        <v>3</v>
      </c>
      <c r="T993" t="s">
        <v>113</v>
      </c>
    </row>
    <row r="994" spans="1:20">
      <c r="A994">
        <v>991</v>
      </c>
      <c r="B994" s="1">
        <v>44362</v>
      </c>
      <c r="C994">
        <v>11</v>
      </c>
      <c r="D994" t="s">
        <v>60</v>
      </c>
      <c r="E994" t="s">
        <v>31</v>
      </c>
      <c r="F994" s="8">
        <v>50</v>
      </c>
      <c r="G994" s="7">
        <v>118</v>
      </c>
      <c r="H994" s="7">
        <v>5900</v>
      </c>
      <c r="I994" s="4">
        <v>0.13</v>
      </c>
      <c r="J994" s="7">
        <v>5133</v>
      </c>
      <c r="K994" s="7">
        <f>Tabela1[[#This Row],[Valor Bruto]]-Tabela1[[#This Row],[Valor Venda]]</f>
        <v>767</v>
      </c>
      <c r="L994" s="1">
        <v>44366</v>
      </c>
      <c r="M994" s="1">
        <v>44366</v>
      </c>
      <c r="N994">
        <v>991</v>
      </c>
      <c r="O994">
        <v>1</v>
      </c>
      <c r="P994" t="s">
        <v>37</v>
      </c>
      <c r="Q994">
        <v>0.09</v>
      </c>
      <c r="R994" s="7">
        <v>461.96999999999997</v>
      </c>
      <c r="S994">
        <v>4</v>
      </c>
      <c r="T994" t="s">
        <v>113</v>
      </c>
    </row>
    <row r="995" spans="1:20">
      <c r="A995">
        <v>992</v>
      </c>
      <c r="B995" s="1">
        <v>44363</v>
      </c>
      <c r="C995">
        <v>42</v>
      </c>
      <c r="D995" t="s">
        <v>92</v>
      </c>
      <c r="E995" t="s">
        <v>24</v>
      </c>
      <c r="F995" s="8">
        <v>12</v>
      </c>
      <c r="G995" s="7">
        <v>111</v>
      </c>
      <c r="H995" s="7">
        <v>1332</v>
      </c>
      <c r="I995" s="4">
        <v>0.11</v>
      </c>
      <c r="J995" s="7">
        <v>1185.48</v>
      </c>
      <c r="K995" s="7">
        <f>Tabela1[[#This Row],[Valor Bruto]]-Tabela1[[#This Row],[Valor Venda]]</f>
        <v>146.51999999999998</v>
      </c>
      <c r="L995" s="1">
        <v>44366</v>
      </c>
      <c r="M995" s="1">
        <v>44366</v>
      </c>
      <c r="N995">
        <v>992</v>
      </c>
      <c r="O995">
        <v>7</v>
      </c>
      <c r="P995" t="s">
        <v>34</v>
      </c>
      <c r="Q995">
        <v>0.09</v>
      </c>
      <c r="R995" s="7">
        <v>106.6932</v>
      </c>
      <c r="S995">
        <v>5</v>
      </c>
      <c r="T995" t="s">
        <v>113</v>
      </c>
    </row>
    <row r="996" spans="1:20">
      <c r="A996">
        <v>993</v>
      </c>
      <c r="B996" s="1">
        <v>44364</v>
      </c>
      <c r="C996">
        <v>60</v>
      </c>
      <c r="D996" t="s">
        <v>82</v>
      </c>
      <c r="E996" t="s">
        <v>50</v>
      </c>
      <c r="F996" s="8">
        <v>24</v>
      </c>
      <c r="G996" s="7">
        <v>107</v>
      </c>
      <c r="H996" s="7">
        <v>2568</v>
      </c>
      <c r="I996" s="4">
        <v>0.05</v>
      </c>
      <c r="J996" s="7">
        <v>2439.6</v>
      </c>
      <c r="K996" s="7">
        <f>Tabela1[[#This Row],[Valor Bruto]]-Tabela1[[#This Row],[Valor Venda]]</f>
        <v>128.40000000000009</v>
      </c>
      <c r="L996" s="1">
        <v>44365</v>
      </c>
      <c r="M996" s="1">
        <v>44365</v>
      </c>
      <c r="N996">
        <v>993</v>
      </c>
      <c r="O996">
        <v>7</v>
      </c>
      <c r="P996" t="s">
        <v>69</v>
      </c>
      <c r="Q996">
        <v>0.06</v>
      </c>
      <c r="R996" s="7">
        <v>146.37599999999998</v>
      </c>
      <c r="S996">
        <v>6</v>
      </c>
      <c r="T996" t="s">
        <v>113</v>
      </c>
    </row>
    <row r="997" spans="1:20">
      <c r="A997">
        <v>994</v>
      </c>
      <c r="B997" s="1">
        <v>44364</v>
      </c>
      <c r="C997">
        <v>79</v>
      </c>
      <c r="D997" t="s">
        <v>33</v>
      </c>
      <c r="E997" t="s">
        <v>24</v>
      </c>
      <c r="F997" s="8">
        <v>13</v>
      </c>
      <c r="G997" s="7">
        <v>117</v>
      </c>
      <c r="H997" s="7">
        <v>1521</v>
      </c>
      <c r="I997" s="4">
        <v>7.0000000000000007E-2</v>
      </c>
      <c r="J997" s="7">
        <v>1414.53</v>
      </c>
      <c r="K997" s="7">
        <f>Tabela1[[#This Row],[Valor Bruto]]-Tabela1[[#This Row],[Valor Venda]]</f>
        <v>106.47000000000003</v>
      </c>
      <c r="L997" s="1">
        <v>44382</v>
      </c>
      <c r="M997" s="1">
        <v>44382</v>
      </c>
      <c r="N997">
        <v>994</v>
      </c>
      <c r="O997">
        <v>5</v>
      </c>
      <c r="P997" t="s">
        <v>47</v>
      </c>
      <c r="Q997">
        <v>0.08</v>
      </c>
      <c r="R997" s="7">
        <v>113.16240000000001</v>
      </c>
      <c r="S997">
        <v>7</v>
      </c>
      <c r="T997" t="s">
        <v>113</v>
      </c>
    </row>
    <row r="998" spans="1:20">
      <c r="A998">
        <v>995</v>
      </c>
      <c r="B998" s="1">
        <v>44364</v>
      </c>
      <c r="C998">
        <v>21</v>
      </c>
      <c r="D998" t="s">
        <v>87</v>
      </c>
      <c r="E998" t="s">
        <v>31</v>
      </c>
      <c r="F998" s="8">
        <v>14</v>
      </c>
      <c r="G998" s="7">
        <v>119</v>
      </c>
      <c r="H998" s="7">
        <v>1666</v>
      </c>
      <c r="I998" s="4">
        <v>0.13</v>
      </c>
      <c r="J998" s="7">
        <v>1449.42</v>
      </c>
      <c r="K998" s="7">
        <f>Tabela1[[#This Row],[Valor Bruto]]-Tabela1[[#This Row],[Valor Venda]]</f>
        <v>216.57999999999993</v>
      </c>
      <c r="L998" s="1">
        <v>44374</v>
      </c>
      <c r="M998" s="1">
        <v>44374</v>
      </c>
      <c r="N998">
        <v>995</v>
      </c>
      <c r="O998">
        <v>5</v>
      </c>
      <c r="P998" t="s">
        <v>37</v>
      </c>
      <c r="Q998">
        <v>0.06</v>
      </c>
      <c r="R998" s="7">
        <v>86.965199999999996</v>
      </c>
      <c r="S998">
        <v>1</v>
      </c>
      <c r="T998" t="s">
        <v>113</v>
      </c>
    </row>
    <row r="999" spans="1:20">
      <c r="A999">
        <v>996</v>
      </c>
      <c r="B999" s="1">
        <v>44364</v>
      </c>
      <c r="C999">
        <v>77</v>
      </c>
      <c r="D999" t="s">
        <v>65</v>
      </c>
      <c r="E999" t="s">
        <v>50</v>
      </c>
      <c r="F999" s="8">
        <v>16</v>
      </c>
      <c r="G999" s="7">
        <v>113</v>
      </c>
      <c r="H999" s="7">
        <v>1808</v>
      </c>
      <c r="I999" s="4">
        <v>0.03</v>
      </c>
      <c r="J999" s="7">
        <v>1753.76</v>
      </c>
      <c r="K999" s="7">
        <f>Tabela1[[#This Row],[Valor Bruto]]-Tabela1[[#This Row],[Valor Venda]]</f>
        <v>54.240000000000009</v>
      </c>
      <c r="L999" s="1">
        <v>44364</v>
      </c>
      <c r="M999" s="1">
        <v>44364</v>
      </c>
      <c r="N999">
        <v>996</v>
      </c>
      <c r="O999">
        <v>5</v>
      </c>
      <c r="P999" t="s">
        <v>25</v>
      </c>
      <c r="Q999">
        <v>0.09</v>
      </c>
      <c r="R999" s="7">
        <v>157.83840000000001</v>
      </c>
      <c r="S999">
        <v>2</v>
      </c>
      <c r="T999" t="s">
        <v>113</v>
      </c>
    </row>
    <row r="1000" spans="1:20">
      <c r="A1000">
        <v>997</v>
      </c>
      <c r="B1000" s="1">
        <v>44365</v>
      </c>
      <c r="C1000">
        <v>28</v>
      </c>
      <c r="D1000" t="s">
        <v>86</v>
      </c>
      <c r="E1000" t="s">
        <v>24</v>
      </c>
      <c r="F1000" s="8">
        <v>33</v>
      </c>
      <c r="G1000" s="7">
        <v>97</v>
      </c>
      <c r="H1000" s="7">
        <v>3201</v>
      </c>
      <c r="I1000" s="4">
        <v>0.11</v>
      </c>
      <c r="J1000" s="7">
        <v>2848.89</v>
      </c>
      <c r="K1000" s="7">
        <f>Tabela1[[#This Row],[Valor Bruto]]-Tabela1[[#This Row],[Valor Venda]]</f>
        <v>352.11000000000013</v>
      </c>
      <c r="L1000" s="1">
        <v>44373</v>
      </c>
      <c r="M1000" s="1">
        <v>44373</v>
      </c>
      <c r="N1000">
        <v>997</v>
      </c>
      <c r="O1000">
        <v>3</v>
      </c>
      <c r="P1000" t="s">
        <v>47</v>
      </c>
      <c r="Q1000">
        <v>7.0000000000000007E-2</v>
      </c>
      <c r="R1000" s="7">
        <v>199.42230000000001</v>
      </c>
      <c r="S1000">
        <v>3</v>
      </c>
      <c r="T1000" t="s">
        <v>113</v>
      </c>
    </row>
    <row r="1001" spans="1:20">
      <c r="A1001">
        <v>998</v>
      </c>
      <c r="B1001" s="1">
        <v>44365</v>
      </c>
      <c r="C1001">
        <v>97</v>
      </c>
      <c r="D1001" t="s">
        <v>66</v>
      </c>
      <c r="E1001" t="s">
        <v>54</v>
      </c>
      <c r="F1001" s="8">
        <v>13</v>
      </c>
      <c r="G1001" s="7">
        <v>99</v>
      </c>
      <c r="H1001" s="7">
        <v>1287</v>
      </c>
      <c r="I1001" s="4">
        <v>0.06</v>
      </c>
      <c r="J1001" s="7">
        <v>1209.78</v>
      </c>
      <c r="K1001" s="7">
        <f>Tabela1[[#This Row],[Valor Bruto]]-Tabela1[[#This Row],[Valor Venda]]</f>
        <v>77.220000000000027</v>
      </c>
      <c r="L1001" s="1">
        <v>44382</v>
      </c>
      <c r="M1001" s="1">
        <v>44382</v>
      </c>
      <c r="N1001">
        <v>998</v>
      </c>
      <c r="O1001">
        <v>3</v>
      </c>
      <c r="P1001" t="s">
        <v>29</v>
      </c>
      <c r="Q1001">
        <v>7.0000000000000007E-2</v>
      </c>
      <c r="R1001" s="7">
        <v>84.684600000000003</v>
      </c>
      <c r="S1001">
        <v>4</v>
      </c>
      <c r="T1001" t="s">
        <v>113</v>
      </c>
    </row>
    <row r="1002" spans="1:20">
      <c r="A1002">
        <v>999</v>
      </c>
      <c r="B1002" s="1">
        <v>44365</v>
      </c>
      <c r="C1002">
        <v>8</v>
      </c>
      <c r="D1002" t="s">
        <v>38</v>
      </c>
      <c r="E1002" t="s">
        <v>46</v>
      </c>
      <c r="F1002" s="8">
        <v>21</v>
      </c>
      <c r="G1002" s="7">
        <v>93</v>
      </c>
      <c r="H1002" s="7">
        <v>1953</v>
      </c>
      <c r="I1002" s="4">
        <v>0.03</v>
      </c>
      <c r="J1002" s="7">
        <v>1894.41</v>
      </c>
      <c r="K1002" s="7">
        <f>Tabela1[[#This Row],[Valor Bruto]]-Tabela1[[#This Row],[Valor Venda]]</f>
        <v>58.589999999999918</v>
      </c>
      <c r="L1002" s="1">
        <v>44392</v>
      </c>
      <c r="M1002" s="1">
        <v>44392</v>
      </c>
      <c r="N1002">
        <v>999</v>
      </c>
      <c r="O1002">
        <v>5</v>
      </c>
      <c r="P1002" t="s">
        <v>69</v>
      </c>
      <c r="Q1002">
        <v>7.0000000000000007E-2</v>
      </c>
      <c r="R1002" s="7">
        <v>132.60870000000003</v>
      </c>
      <c r="S1002">
        <v>5</v>
      </c>
      <c r="T1002" t="s">
        <v>113</v>
      </c>
    </row>
    <row r="1003" spans="1:20">
      <c r="A1003">
        <v>1000</v>
      </c>
      <c r="B1003" s="1">
        <v>44366</v>
      </c>
      <c r="C1003">
        <v>1</v>
      </c>
      <c r="D1003" t="s">
        <v>93</v>
      </c>
      <c r="E1003" t="s">
        <v>24</v>
      </c>
      <c r="F1003" s="8">
        <v>41</v>
      </c>
      <c r="G1003" s="7">
        <v>92</v>
      </c>
      <c r="H1003" s="7">
        <v>3772</v>
      </c>
      <c r="I1003" s="4">
        <v>0.1</v>
      </c>
      <c r="J1003" s="7">
        <v>3394.8</v>
      </c>
      <c r="K1003" s="7">
        <f>Tabela1[[#This Row],[Valor Bruto]]-Tabela1[[#This Row],[Valor Venda]]</f>
        <v>377.19999999999982</v>
      </c>
      <c r="L1003" s="1">
        <v>44393</v>
      </c>
      <c r="M1003" s="1">
        <v>44393</v>
      </c>
      <c r="N1003">
        <v>1000</v>
      </c>
      <c r="O1003">
        <v>7</v>
      </c>
      <c r="P1003" t="s">
        <v>34</v>
      </c>
      <c r="Q1003">
        <v>0.08</v>
      </c>
      <c r="R1003" s="7">
        <v>271.584</v>
      </c>
      <c r="S1003">
        <v>6</v>
      </c>
      <c r="T1003" t="s">
        <v>113</v>
      </c>
    </row>
    <row r="1004" spans="1:20">
      <c r="A1004">
        <v>1001</v>
      </c>
      <c r="B1004" s="1">
        <v>44367</v>
      </c>
      <c r="C1004">
        <v>98</v>
      </c>
      <c r="D1004" t="s">
        <v>26</v>
      </c>
      <c r="E1004" t="s">
        <v>28</v>
      </c>
      <c r="F1004" s="8">
        <v>47</v>
      </c>
      <c r="G1004" s="7">
        <v>108</v>
      </c>
      <c r="H1004" s="7">
        <v>5076</v>
      </c>
      <c r="I1004" s="4">
        <v>0</v>
      </c>
      <c r="J1004" s="7">
        <v>5076</v>
      </c>
      <c r="K1004" s="7">
        <f>Tabela1[[#This Row],[Valor Bruto]]-Tabela1[[#This Row],[Valor Venda]]</f>
        <v>0</v>
      </c>
      <c r="L1004" s="1">
        <v>44397</v>
      </c>
      <c r="M1004" s="1">
        <v>44397</v>
      </c>
      <c r="N1004">
        <v>1001</v>
      </c>
      <c r="O1004">
        <v>2</v>
      </c>
      <c r="P1004" t="s">
        <v>32</v>
      </c>
      <c r="Q1004">
        <v>0.05</v>
      </c>
      <c r="R1004" s="7">
        <v>253.8</v>
      </c>
      <c r="S1004">
        <v>7</v>
      </c>
      <c r="T1004" t="s">
        <v>113</v>
      </c>
    </row>
    <row r="1005" spans="1:20">
      <c r="A1005">
        <v>1002</v>
      </c>
      <c r="B1005" s="1">
        <v>44369</v>
      </c>
      <c r="C1005">
        <v>28</v>
      </c>
      <c r="D1005" t="s">
        <v>86</v>
      </c>
      <c r="E1005" t="s">
        <v>46</v>
      </c>
      <c r="F1005" s="8">
        <v>27</v>
      </c>
      <c r="G1005" s="7">
        <v>105</v>
      </c>
      <c r="H1005" s="7">
        <v>2835</v>
      </c>
      <c r="I1005" s="4">
        <v>0.01</v>
      </c>
      <c r="J1005" s="7">
        <v>2806.65</v>
      </c>
      <c r="K1005" s="7">
        <f>Tabela1[[#This Row],[Valor Bruto]]-Tabela1[[#This Row],[Valor Venda]]</f>
        <v>28.349999999999909</v>
      </c>
      <c r="L1005" s="1">
        <v>44385</v>
      </c>
      <c r="M1005" s="1">
        <v>44385</v>
      </c>
      <c r="N1005">
        <v>1002</v>
      </c>
      <c r="O1005">
        <v>7</v>
      </c>
      <c r="P1005" t="s">
        <v>22</v>
      </c>
      <c r="Q1005">
        <v>0.06</v>
      </c>
      <c r="R1005" s="7">
        <v>168.399</v>
      </c>
      <c r="S1005">
        <v>1</v>
      </c>
      <c r="T1005" t="s">
        <v>113</v>
      </c>
    </row>
    <row r="1006" spans="1:20">
      <c r="A1006">
        <v>1003</v>
      </c>
      <c r="B1006" s="1">
        <v>44369</v>
      </c>
      <c r="C1006">
        <v>11</v>
      </c>
      <c r="D1006" t="s">
        <v>60</v>
      </c>
      <c r="E1006" t="s">
        <v>46</v>
      </c>
      <c r="F1006" s="8">
        <v>41</v>
      </c>
      <c r="G1006" s="7">
        <v>107</v>
      </c>
      <c r="H1006" s="7">
        <v>4387</v>
      </c>
      <c r="I1006" s="4">
        <v>0</v>
      </c>
      <c r="J1006" s="7">
        <v>4387</v>
      </c>
      <c r="K1006" s="7">
        <f>Tabela1[[#This Row],[Valor Bruto]]-Tabela1[[#This Row],[Valor Venda]]</f>
        <v>0</v>
      </c>
      <c r="L1006" s="1">
        <v>44383</v>
      </c>
      <c r="M1006" s="1">
        <v>44383</v>
      </c>
      <c r="N1006">
        <v>1003</v>
      </c>
      <c r="O1006">
        <v>4</v>
      </c>
      <c r="P1006" t="s">
        <v>22</v>
      </c>
      <c r="Q1006">
        <v>0.09</v>
      </c>
      <c r="R1006" s="7">
        <v>394.83</v>
      </c>
      <c r="S1006">
        <v>2</v>
      </c>
      <c r="T1006" t="s">
        <v>113</v>
      </c>
    </row>
    <row r="1007" spans="1:20">
      <c r="A1007">
        <v>1004</v>
      </c>
      <c r="B1007" s="1">
        <v>44370</v>
      </c>
      <c r="C1007">
        <v>62</v>
      </c>
      <c r="D1007" t="s">
        <v>38</v>
      </c>
      <c r="E1007" t="s">
        <v>21</v>
      </c>
      <c r="F1007" s="8">
        <v>20</v>
      </c>
      <c r="G1007" s="7">
        <v>113</v>
      </c>
      <c r="H1007" s="7">
        <v>2260</v>
      </c>
      <c r="I1007" s="4">
        <v>0.05</v>
      </c>
      <c r="J1007" s="7">
        <v>2147</v>
      </c>
      <c r="K1007" s="7">
        <f>Tabela1[[#This Row],[Valor Bruto]]-Tabela1[[#This Row],[Valor Venda]]</f>
        <v>113</v>
      </c>
      <c r="L1007" s="1">
        <v>44394</v>
      </c>
      <c r="M1007" s="1">
        <v>44394</v>
      </c>
      <c r="N1007">
        <v>1004</v>
      </c>
      <c r="O1007">
        <v>2</v>
      </c>
      <c r="P1007" t="s">
        <v>29</v>
      </c>
      <c r="Q1007">
        <v>0.06</v>
      </c>
      <c r="R1007" s="7">
        <v>128.82</v>
      </c>
      <c r="S1007">
        <v>3</v>
      </c>
      <c r="T1007" t="s">
        <v>113</v>
      </c>
    </row>
    <row r="1008" spans="1:20">
      <c r="A1008">
        <v>1005</v>
      </c>
      <c r="B1008" s="1">
        <v>44371</v>
      </c>
      <c r="C1008">
        <v>48</v>
      </c>
      <c r="D1008" t="s">
        <v>61</v>
      </c>
      <c r="E1008" t="s">
        <v>24</v>
      </c>
      <c r="F1008" s="8">
        <v>39</v>
      </c>
      <c r="G1008" s="7">
        <v>105</v>
      </c>
      <c r="H1008" s="7">
        <v>4095</v>
      </c>
      <c r="I1008" s="4">
        <v>0.03</v>
      </c>
      <c r="J1008" s="7">
        <v>3972.15</v>
      </c>
      <c r="K1008" s="7">
        <f>Tabela1[[#This Row],[Valor Bruto]]-Tabela1[[#This Row],[Valor Venda]]</f>
        <v>122.84999999999991</v>
      </c>
      <c r="L1008" s="1">
        <v>44371</v>
      </c>
      <c r="M1008" s="1">
        <v>44371</v>
      </c>
      <c r="N1008">
        <v>1005</v>
      </c>
      <c r="O1008">
        <v>6</v>
      </c>
      <c r="P1008" t="s">
        <v>32</v>
      </c>
      <c r="Q1008">
        <v>0.1</v>
      </c>
      <c r="R1008" s="7">
        <v>397.21500000000003</v>
      </c>
      <c r="S1008">
        <v>4</v>
      </c>
      <c r="T1008" t="s">
        <v>113</v>
      </c>
    </row>
    <row r="1009" spans="1:20">
      <c r="A1009">
        <v>1006</v>
      </c>
      <c r="B1009" s="1">
        <v>44371</v>
      </c>
      <c r="C1009">
        <v>62</v>
      </c>
      <c r="D1009" t="s">
        <v>38</v>
      </c>
      <c r="E1009" t="s">
        <v>55</v>
      </c>
      <c r="F1009" s="8">
        <v>13</v>
      </c>
      <c r="G1009" s="7">
        <v>103</v>
      </c>
      <c r="H1009" s="7">
        <v>1339</v>
      </c>
      <c r="I1009" s="4">
        <v>0.14000000000000001</v>
      </c>
      <c r="J1009" s="7">
        <v>1151.54</v>
      </c>
      <c r="K1009" s="7">
        <f>Tabela1[[#This Row],[Valor Bruto]]-Tabela1[[#This Row],[Valor Venda]]</f>
        <v>187.46000000000004</v>
      </c>
      <c r="L1009" s="1">
        <v>44397</v>
      </c>
      <c r="M1009" s="1">
        <v>44397</v>
      </c>
      <c r="N1009">
        <v>1006</v>
      </c>
      <c r="O1009">
        <v>6</v>
      </c>
      <c r="P1009" t="s">
        <v>34</v>
      </c>
      <c r="Q1009">
        <v>0.08</v>
      </c>
      <c r="R1009" s="7">
        <v>92.123199999999997</v>
      </c>
      <c r="S1009">
        <v>5</v>
      </c>
      <c r="T1009" t="s">
        <v>113</v>
      </c>
    </row>
    <row r="1010" spans="1:20">
      <c r="A1010">
        <v>1007</v>
      </c>
      <c r="B1010" s="1">
        <v>44373</v>
      </c>
      <c r="C1010">
        <v>70</v>
      </c>
      <c r="D1010" t="s">
        <v>67</v>
      </c>
      <c r="E1010" t="s">
        <v>31</v>
      </c>
      <c r="F1010" s="8">
        <v>38</v>
      </c>
      <c r="G1010" s="7">
        <v>117</v>
      </c>
      <c r="H1010" s="7">
        <v>4446</v>
      </c>
      <c r="I1010" s="4">
        <v>0.02</v>
      </c>
      <c r="J1010" s="7">
        <v>4357.08</v>
      </c>
      <c r="K1010" s="7">
        <f>Tabela1[[#This Row],[Valor Bruto]]-Tabela1[[#This Row],[Valor Venda]]</f>
        <v>88.920000000000073</v>
      </c>
      <c r="L1010" s="1">
        <v>44390</v>
      </c>
      <c r="M1010" s="1">
        <v>44390</v>
      </c>
      <c r="N1010">
        <v>1007</v>
      </c>
      <c r="O1010">
        <v>4</v>
      </c>
      <c r="P1010" t="s">
        <v>37</v>
      </c>
      <c r="Q1010">
        <v>0.05</v>
      </c>
      <c r="R1010" s="7">
        <v>217.85400000000001</v>
      </c>
      <c r="S1010">
        <v>6</v>
      </c>
      <c r="T1010" t="s">
        <v>113</v>
      </c>
    </row>
    <row r="1011" spans="1:20">
      <c r="A1011">
        <v>1008</v>
      </c>
      <c r="B1011" s="1">
        <v>44374</v>
      </c>
      <c r="C1011">
        <v>81</v>
      </c>
      <c r="D1011" t="s">
        <v>103</v>
      </c>
      <c r="E1011" t="s">
        <v>54</v>
      </c>
      <c r="F1011" s="8">
        <v>20</v>
      </c>
      <c r="G1011" s="7">
        <v>111</v>
      </c>
      <c r="H1011" s="7">
        <v>2220</v>
      </c>
      <c r="I1011" s="4">
        <v>0.05</v>
      </c>
      <c r="J1011" s="7">
        <v>2109</v>
      </c>
      <c r="K1011" s="7">
        <f>Tabela1[[#This Row],[Valor Bruto]]-Tabela1[[#This Row],[Valor Venda]]</f>
        <v>111</v>
      </c>
      <c r="L1011" s="1">
        <v>44383</v>
      </c>
      <c r="M1011" s="1">
        <v>44383</v>
      </c>
      <c r="N1011">
        <v>1008</v>
      </c>
      <c r="O1011">
        <v>5</v>
      </c>
      <c r="P1011" t="s">
        <v>69</v>
      </c>
      <c r="Q1011">
        <v>0.05</v>
      </c>
      <c r="R1011" s="7">
        <v>105.45</v>
      </c>
      <c r="S1011">
        <v>7</v>
      </c>
      <c r="T1011" t="s">
        <v>113</v>
      </c>
    </row>
    <row r="1012" spans="1:20">
      <c r="A1012">
        <v>1009</v>
      </c>
      <c r="B1012" s="1">
        <v>44375</v>
      </c>
      <c r="C1012">
        <v>42</v>
      </c>
      <c r="D1012" t="s">
        <v>92</v>
      </c>
      <c r="E1012" t="s">
        <v>21</v>
      </c>
      <c r="F1012" s="8">
        <v>48</v>
      </c>
      <c r="G1012" s="7">
        <v>98</v>
      </c>
      <c r="H1012" s="7">
        <v>4704</v>
      </c>
      <c r="I1012" s="4">
        <v>7.0000000000000007E-2</v>
      </c>
      <c r="J1012" s="7">
        <v>4374.72</v>
      </c>
      <c r="K1012" s="7">
        <f>Tabela1[[#This Row],[Valor Bruto]]-Tabela1[[#This Row],[Valor Venda]]</f>
        <v>329.27999999999975</v>
      </c>
      <c r="L1012" s="1">
        <v>44384</v>
      </c>
      <c r="M1012" s="1">
        <v>44384</v>
      </c>
      <c r="N1012">
        <v>1009</v>
      </c>
      <c r="O1012">
        <v>4</v>
      </c>
      <c r="P1012" t="s">
        <v>37</v>
      </c>
      <c r="Q1012">
        <v>0.1</v>
      </c>
      <c r="R1012" s="7">
        <v>437.47200000000004</v>
      </c>
      <c r="S1012">
        <v>1</v>
      </c>
      <c r="T1012" t="s">
        <v>113</v>
      </c>
    </row>
    <row r="1013" spans="1:20">
      <c r="A1013">
        <v>1010</v>
      </c>
      <c r="B1013" s="1">
        <v>44375</v>
      </c>
      <c r="C1013">
        <v>17</v>
      </c>
      <c r="D1013" t="s">
        <v>67</v>
      </c>
      <c r="E1013" t="s">
        <v>41</v>
      </c>
      <c r="F1013" s="8">
        <v>35</v>
      </c>
      <c r="G1013" s="7">
        <v>114</v>
      </c>
      <c r="H1013" s="7">
        <v>3990</v>
      </c>
      <c r="I1013" s="4">
        <v>0.03</v>
      </c>
      <c r="J1013" s="7">
        <v>3870.3</v>
      </c>
      <c r="K1013" s="7">
        <f>Tabela1[[#This Row],[Valor Bruto]]-Tabela1[[#This Row],[Valor Venda]]</f>
        <v>119.69999999999982</v>
      </c>
      <c r="L1013" s="1">
        <v>44382</v>
      </c>
      <c r="M1013" s="1">
        <v>44382</v>
      </c>
      <c r="N1013">
        <v>1010</v>
      </c>
      <c r="O1013">
        <v>1</v>
      </c>
      <c r="P1013" t="s">
        <v>37</v>
      </c>
      <c r="Q1013">
        <v>0.06</v>
      </c>
      <c r="R1013" s="7">
        <v>232.21799999999999</v>
      </c>
      <c r="S1013">
        <v>2</v>
      </c>
      <c r="T1013" t="s">
        <v>113</v>
      </c>
    </row>
    <row r="1014" spans="1:20">
      <c r="A1014">
        <v>1011</v>
      </c>
      <c r="B1014" s="1">
        <v>44375</v>
      </c>
      <c r="C1014">
        <v>60</v>
      </c>
      <c r="D1014" t="s">
        <v>82</v>
      </c>
      <c r="E1014" t="s">
        <v>46</v>
      </c>
      <c r="F1014" s="8">
        <v>45</v>
      </c>
      <c r="G1014" s="7">
        <v>116</v>
      </c>
      <c r="H1014" s="7">
        <v>5220</v>
      </c>
      <c r="I1014" s="4">
        <v>7.0000000000000007E-2</v>
      </c>
      <c r="J1014" s="7">
        <v>4854.6000000000004</v>
      </c>
      <c r="K1014" s="7">
        <f>Tabela1[[#This Row],[Valor Bruto]]-Tabela1[[#This Row],[Valor Venda]]</f>
        <v>365.39999999999964</v>
      </c>
      <c r="L1014" s="1">
        <v>44400</v>
      </c>
      <c r="M1014" s="1">
        <v>44400</v>
      </c>
      <c r="N1014">
        <v>1011</v>
      </c>
      <c r="O1014">
        <v>6</v>
      </c>
      <c r="P1014" t="s">
        <v>69</v>
      </c>
      <c r="Q1014">
        <v>0.08</v>
      </c>
      <c r="R1014" s="7">
        <v>388.36800000000005</v>
      </c>
      <c r="S1014">
        <v>3</v>
      </c>
      <c r="T1014" t="s">
        <v>113</v>
      </c>
    </row>
    <row r="1015" spans="1:20">
      <c r="A1015">
        <v>1012</v>
      </c>
      <c r="B1015" s="1">
        <v>44376</v>
      </c>
      <c r="C1015">
        <v>35</v>
      </c>
      <c r="D1015" t="s">
        <v>38</v>
      </c>
      <c r="E1015" t="s">
        <v>50</v>
      </c>
      <c r="F1015" s="8">
        <v>30</v>
      </c>
      <c r="G1015" s="7">
        <v>114</v>
      </c>
      <c r="H1015" s="7">
        <v>3420</v>
      </c>
      <c r="I1015" s="4">
        <v>0.15</v>
      </c>
      <c r="J1015" s="7">
        <v>2907</v>
      </c>
      <c r="K1015" s="7">
        <f>Tabela1[[#This Row],[Valor Bruto]]-Tabela1[[#This Row],[Valor Venda]]</f>
        <v>513</v>
      </c>
      <c r="L1015" s="1">
        <v>44400</v>
      </c>
      <c r="M1015" s="1">
        <v>44400</v>
      </c>
      <c r="N1015">
        <v>1012</v>
      </c>
      <c r="O1015">
        <v>4</v>
      </c>
      <c r="P1015" t="s">
        <v>29</v>
      </c>
      <c r="Q1015">
        <v>0.05</v>
      </c>
      <c r="R1015" s="7">
        <v>145.35</v>
      </c>
      <c r="S1015">
        <v>4</v>
      </c>
      <c r="T1015" t="s">
        <v>113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EE8-A1D8-425D-AE36-0B000AC0EC1D}">
  <dimension ref="A1:U23"/>
  <sheetViews>
    <sheetView workbookViewId="0"/>
  </sheetViews>
  <sheetFormatPr defaultRowHeight="15"/>
  <cols>
    <col min="2" max="2" width="11.140625" bestFit="1" customWidth="1"/>
    <col min="3" max="3" width="9.7109375" bestFit="1" customWidth="1"/>
    <col min="4" max="4" width="13.85546875" bestFit="1" customWidth="1"/>
    <col min="5" max="5" width="9.28515625" bestFit="1" customWidth="1"/>
    <col min="6" max="6" width="12.42578125" bestFit="1" customWidth="1"/>
    <col min="8" max="8" width="15.85546875" bestFit="1" customWidth="1"/>
    <col min="9" max="9" width="13.42578125" bestFit="1" customWidth="1"/>
    <col min="10" max="10" width="13.5703125" bestFit="1" customWidth="1"/>
    <col min="11" max="11" width="14.140625" bestFit="1" customWidth="1"/>
    <col min="12" max="12" width="16.7109375" bestFit="1" customWidth="1"/>
    <col min="13" max="13" width="13.85546875" bestFit="1" customWidth="1"/>
    <col min="14" max="14" width="18" bestFit="1" customWidth="1"/>
    <col min="15" max="15" width="13.5703125" bestFit="1" customWidth="1"/>
    <col min="16" max="16" width="17" bestFit="1" customWidth="1"/>
    <col min="17" max="17" width="17.42578125" bestFit="1" customWidth="1"/>
    <col min="18" max="18" width="11.140625" bestFit="1" customWidth="1"/>
    <col min="19" max="19" width="11.5703125" bestFit="1" customWidth="1"/>
    <col min="20" max="20" width="20.42578125" bestFit="1" customWidth="1"/>
    <col min="21" max="21" width="9.85546875" bestFit="1" customWidth="1"/>
  </cols>
  <sheetData>
    <row r="1" spans="1:21">
      <c r="A1" s="6" t="s">
        <v>120</v>
      </c>
    </row>
    <row r="3" spans="1:21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121</v>
      </c>
    </row>
    <row r="4" spans="1:21">
      <c r="A4">
        <v>937</v>
      </c>
      <c r="B4" s="1">
        <v>44337</v>
      </c>
      <c r="C4" t="s">
        <v>122</v>
      </c>
      <c r="D4">
        <v>18</v>
      </c>
      <c r="E4" t="s">
        <v>83</v>
      </c>
      <c r="F4" t="s">
        <v>46</v>
      </c>
      <c r="G4">
        <v>23</v>
      </c>
      <c r="H4">
        <v>102</v>
      </c>
      <c r="I4">
        <v>2346</v>
      </c>
      <c r="J4">
        <v>0.08</v>
      </c>
      <c r="K4">
        <v>2158.3200000000002</v>
      </c>
      <c r="L4">
        <v>187.67999999999984</v>
      </c>
      <c r="M4" s="1">
        <v>44355</v>
      </c>
      <c r="N4" s="1">
        <v>44355</v>
      </c>
      <c r="O4">
        <v>937</v>
      </c>
      <c r="P4">
        <v>5</v>
      </c>
      <c r="Q4" t="s">
        <v>69</v>
      </c>
      <c r="R4">
        <v>0.1</v>
      </c>
      <c r="S4">
        <v>215.83200000000002</v>
      </c>
      <c r="T4">
        <v>6</v>
      </c>
      <c r="U4" t="s">
        <v>112</v>
      </c>
    </row>
    <row r="5" spans="1:21">
      <c r="A5">
        <v>888</v>
      </c>
      <c r="B5" s="1">
        <v>44311</v>
      </c>
      <c r="C5" t="s">
        <v>123</v>
      </c>
      <c r="D5">
        <v>18</v>
      </c>
      <c r="E5" t="s">
        <v>83</v>
      </c>
      <c r="F5" t="s">
        <v>46</v>
      </c>
      <c r="G5">
        <v>25</v>
      </c>
      <c r="H5">
        <v>107</v>
      </c>
      <c r="I5">
        <v>2675</v>
      </c>
      <c r="J5">
        <v>0.06</v>
      </c>
      <c r="K5">
        <v>2514.5</v>
      </c>
      <c r="L5">
        <v>160.5</v>
      </c>
      <c r="M5" s="1">
        <v>44312</v>
      </c>
      <c r="N5" s="1">
        <v>44312</v>
      </c>
      <c r="O5">
        <v>888</v>
      </c>
      <c r="P5">
        <v>7</v>
      </c>
      <c r="Q5" t="s">
        <v>32</v>
      </c>
      <c r="R5">
        <v>0.05</v>
      </c>
      <c r="S5">
        <v>125.72500000000001</v>
      </c>
      <c r="T5">
        <v>6</v>
      </c>
      <c r="U5" t="s">
        <v>111</v>
      </c>
    </row>
    <row r="6" spans="1:21">
      <c r="A6">
        <v>867</v>
      </c>
      <c r="B6" s="1">
        <v>44294</v>
      </c>
      <c r="C6" t="s">
        <v>123</v>
      </c>
      <c r="D6">
        <v>18</v>
      </c>
      <c r="E6" t="s">
        <v>83</v>
      </c>
      <c r="F6" t="s">
        <v>55</v>
      </c>
      <c r="G6">
        <v>14</v>
      </c>
      <c r="H6">
        <v>97</v>
      </c>
      <c r="I6">
        <v>1358</v>
      </c>
      <c r="J6">
        <v>0.03</v>
      </c>
      <c r="K6">
        <v>1317.26</v>
      </c>
      <c r="L6">
        <v>40.740000000000009</v>
      </c>
      <c r="M6" s="1">
        <v>44297</v>
      </c>
      <c r="N6" s="1">
        <v>44297</v>
      </c>
      <c r="O6">
        <v>867</v>
      </c>
      <c r="P6">
        <v>2</v>
      </c>
      <c r="Q6" t="s">
        <v>69</v>
      </c>
      <c r="R6">
        <v>0.09</v>
      </c>
      <c r="S6">
        <v>118.5534</v>
      </c>
      <c r="T6">
        <v>6</v>
      </c>
      <c r="U6" t="s">
        <v>111</v>
      </c>
    </row>
    <row r="7" spans="1:21">
      <c r="A7">
        <v>765</v>
      </c>
      <c r="B7" s="1">
        <v>44248</v>
      </c>
      <c r="C7" t="s">
        <v>124</v>
      </c>
      <c r="D7">
        <v>18</v>
      </c>
      <c r="E7" t="s">
        <v>83</v>
      </c>
      <c r="F7" t="s">
        <v>31</v>
      </c>
      <c r="G7">
        <v>20</v>
      </c>
      <c r="H7">
        <v>92</v>
      </c>
      <c r="I7">
        <v>1840</v>
      </c>
      <c r="J7">
        <v>0.15</v>
      </c>
      <c r="K7">
        <v>1564</v>
      </c>
      <c r="L7">
        <v>276</v>
      </c>
      <c r="M7" s="1">
        <v>44270</v>
      </c>
      <c r="N7" s="1">
        <v>44270</v>
      </c>
      <c r="O7">
        <v>765</v>
      </c>
      <c r="P7">
        <v>3</v>
      </c>
      <c r="Q7" t="s">
        <v>34</v>
      </c>
      <c r="R7">
        <v>0.05</v>
      </c>
      <c r="S7">
        <v>78.2</v>
      </c>
      <c r="T7">
        <v>2</v>
      </c>
      <c r="U7" t="s">
        <v>109</v>
      </c>
    </row>
    <row r="8" spans="1:21">
      <c r="A8">
        <v>726</v>
      </c>
      <c r="B8" s="1">
        <v>44228</v>
      </c>
      <c r="C8" t="s">
        <v>124</v>
      </c>
      <c r="D8">
        <v>18</v>
      </c>
      <c r="E8" t="s">
        <v>83</v>
      </c>
      <c r="F8" t="s">
        <v>21</v>
      </c>
      <c r="G8">
        <v>43</v>
      </c>
      <c r="H8">
        <v>90</v>
      </c>
      <c r="I8">
        <v>3870</v>
      </c>
      <c r="J8">
        <v>0.06</v>
      </c>
      <c r="K8">
        <v>3637.8</v>
      </c>
      <c r="L8">
        <v>232.19999999999982</v>
      </c>
      <c r="M8" s="1">
        <v>44253</v>
      </c>
      <c r="N8" s="1">
        <v>44253</v>
      </c>
      <c r="O8">
        <v>726</v>
      </c>
      <c r="P8">
        <v>3</v>
      </c>
      <c r="Q8" t="s">
        <v>47</v>
      </c>
      <c r="R8">
        <v>0.08</v>
      </c>
      <c r="S8">
        <v>291.024</v>
      </c>
      <c r="T8">
        <v>5</v>
      </c>
      <c r="U8" t="s">
        <v>109</v>
      </c>
    </row>
    <row r="9" spans="1:21">
      <c r="A9">
        <v>668</v>
      </c>
      <c r="B9" s="1">
        <v>44194</v>
      </c>
      <c r="C9" t="s">
        <v>125</v>
      </c>
      <c r="D9">
        <v>18</v>
      </c>
      <c r="E9" t="s">
        <v>83</v>
      </c>
      <c r="F9" t="s">
        <v>28</v>
      </c>
      <c r="G9">
        <v>10</v>
      </c>
      <c r="H9">
        <v>112</v>
      </c>
      <c r="I9">
        <v>1120</v>
      </c>
      <c r="J9">
        <v>0.06</v>
      </c>
      <c r="K9">
        <v>1052.8</v>
      </c>
      <c r="L9">
        <v>67.200000000000045</v>
      </c>
      <c r="M9" s="1">
        <v>44194</v>
      </c>
      <c r="N9" s="1">
        <v>44194</v>
      </c>
      <c r="O9">
        <v>668</v>
      </c>
      <c r="P9">
        <v>7</v>
      </c>
      <c r="Q9" t="s">
        <v>22</v>
      </c>
      <c r="R9">
        <v>0.08</v>
      </c>
      <c r="S9">
        <v>84.224000000000004</v>
      </c>
      <c r="T9">
        <v>3</v>
      </c>
      <c r="U9" t="s">
        <v>119</v>
      </c>
    </row>
    <row r="10" spans="1:21">
      <c r="A10">
        <v>648</v>
      </c>
      <c r="B10" s="1">
        <v>44182</v>
      </c>
      <c r="C10" t="s">
        <v>125</v>
      </c>
      <c r="D10">
        <v>18</v>
      </c>
      <c r="E10" t="s">
        <v>83</v>
      </c>
      <c r="F10" t="s">
        <v>28</v>
      </c>
      <c r="G10">
        <v>42</v>
      </c>
      <c r="H10">
        <v>100</v>
      </c>
      <c r="I10">
        <v>4200</v>
      </c>
      <c r="J10">
        <v>0.14000000000000001</v>
      </c>
      <c r="K10">
        <v>3612</v>
      </c>
      <c r="L10">
        <v>588</v>
      </c>
      <c r="M10" s="1">
        <v>44183</v>
      </c>
      <c r="N10" s="1">
        <v>44183</v>
      </c>
      <c r="O10">
        <v>648</v>
      </c>
      <c r="P10">
        <v>6</v>
      </c>
      <c r="Q10" t="s">
        <v>47</v>
      </c>
      <c r="R10">
        <v>0.05</v>
      </c>
      <c r="S10">
        <v>180.60000000000002</v>
      </c>
      <c r="T10">
        <v>4</v>
      </c>
      <c r="U10" t="s">
        <v>119</v>
      </c>
    </row>
    <row r="11" spans="1:21">
      <c r="A11">
        <v>645</v>
      </c>
      <c r="B11" s="1">
        <v>44180</v>
      </c>
      <c r="C11" t="s">
        <v>125</v>
      </c>
      <c r="D11">
        <v>18</v>
      </c>
      <c r="E11" t="s">
        <v>83</v>
      </c>
      <c r="F11" t="s">
        <v>21</v>
      </c>
      <c r="G11">
        <v>48</v>
      </c>
      <c r="H11">
        <v>96</v>
      </c>
      <c r="I11">
        <v>4608</v>
      </c>
      <c r="J11">
        <v>0.06</v>
      </c>
      <c r="K11">
        <v>4331.5200000000004</v>
      </c>
      <c r="L11">
        <v>276.47999999999956</v>
      </c>
      <c r="M11" s="1">
        <v>44182</v>
      </c>
      <c r="N11" s="1">
        <v>44182</v>
      </c>
      <c r="O11">
        <v>645</v>
      </c>
      <c r="P11">
        <v>1</v>
      </c>
      <c r="Q11" t="s">
        <v>37</v>
      </c>
      <c r="R11">
        <v>7.0000000000000007E-2</v>
      </c>
      <c r="S11">
        <v>303.20640000000009</v>
      </c>
      <c r="T11">
        <v>1</v>
      </c>
      <c r="U11" t="s">
        <v>119</v>
      </c>
    </row>
    <row r="12" spans="1:21">
      <c r="A12">
        <v>619</v>
      </c>
      <c r="B12" s="1">
        <v>44167</v>
      </c>
      <c r="C12" t="s">
        <v>125</v>
      </c>
      <c r="D12">
        <v>18</v>
      </c>
      <c r="E12" t="s">
        <v>83</v>
      </c>
      <c r="F12" t="s">
        <v>24</v>
      </c>
      <c r="G12">
        <v>28</v>
      </c>
      <c r="H12">
        <v>96</v>
      </c>
      <c r="I12">
        <v>2688</v>
      </c>
      <c r="J12">
        <v>0.04</v>
      </c>
      <c r="K12">
        <v>2580.48</v>
      </c>
      <c r="L12">
        <v>107.51999999999998</v>
      </c>
      <c r="M12" s="1">
        <v>44178</v>
      </c>
      <c r="N12" s="1">
        <v>44178</v>
      </c>
      <c r="O12">
        <v>619</v>
      </c>
      <c r="P12">
        <v>4</v>
      </c>
      <c r="Q12" t="s">
        <v>37</v>
      </c>
      <c r="R12">
        <v>0.06</v>
      </c>
      <c r="S12">
        <v>154.8288</v>
      </c>
      <c r="T12">
        <v>3</v>
      </c>
      <c r="U12" t="s">
        <v>119</v>
      </c>
    </row>
    <row r="13" spans="1:21">
      <c r="A13">
        <v>558</v>
      </c>
      <c r="B13" s="1">
        <v>44133</v>
      </c>
      <c r="C13" t="s">
        <v>126</v>
      </c>
      <c r="D13">
        <v>18</v>
      </c>
      <c r="E13" t="s">
        <v>83</v>
      </c>
      <c r="F13" t="s">
        <v>50</v>
      </c>
      <c r="G13">
        <v>38</v>
      </c>
      <c r="H13">
        <v>97</v>
      </c>
      <c r="I13">
        <v>3686</v>
      </c>
      <c r="J13">
        <v>0.09</v>
      </c>
      <c r="K13">
        <v>3354.26</v>
      </c>
      <c r="L13">
        <v>331.73999999999978</v>
      </c>
      <c r="M13" s="1">
        <v>44144</v>
      </c>
      <c r="N13" s="1">
        <v>44144</v>
      </c>
      <c r="O13">
        <v>558</v>
      </c>
      <c r="P13">
        <v>7</v>
      </c>
      <c r="Q13" t="s">
        <v>43</v>
      </c>
      <c r="R13">
        <v>7.0000000000000007E-2</v>
      </c>
      <c r="S13">
        <v>234.79820000000004</v>
      </c>
      <c r="T13">
        <v>5</v>
      </c>
      <c r="U13" t="s">
        <v>117</v>
      </c>
    </row>
    <row r="14" spans="1:21">
      <c r="A14">
        <v>555</v>
      </c>
      <c r="B14" s="1">
        <v>44131</v>
      </c>
      <c r="C14" t="s">
        <v>126</v>
      </c>
      <c r="D14">
        <v>18</v>
      </c>
      <c r="E14" t="s">
        <v>83</v>
      </c>
      <c r="F14" t="s">
        <v>50</v>
      </c>
      <c r="G14">
        <v>25</v>
      </c>
      <c r="H14">
        <v>98</v>
      </c>
      <c r="I14">
        <v>2450</v>
      </c>
      <c r="J14">
        <v>0.1</v>
      </c>
      <c r="K14">
        <v>2205</v>
      </c>
      <c r="L14">
        <v>245</v>
      </c>
      <c r="M14" s="1">
        <v>44140</v>
      </c>
      <c r="N14" s="1">
        <v>44140</v>
      </c>
      <c r="O14">
        <v>555</v>
      </c>
      <c r="P14">
        <v>7</v>
      </c>
      <c r="Q14" t="s">
        <v>34</v>
      </c>
      <c r="R14">
        <v>0.09</v>
      </c>
      <c r="S14">
        <v>198.45</v>
      </c>
      <c r="T14">
        <v>2</v>
      </c>
      <c r="U14" t="s">
        <v>117</v>
      </c>
    </row>
    <row r="15" spans="1:21">
      <c r="A15">
        <v>544</v>
      </c>
      <c r="B15" s="1">
        <v>44122</v>
      </c>
      <c r="C15" t="s">
        <v>126</v>
      </c>
      <c r="D15">
        <v>18</v>
      </c>
      <c r="E15" t="s">
        <v>83</v>
      </c>
      <c r="F15" t="s">
        <v>28</v>
      </c>
      <c r="G15">
        <v>29</v>
      </c>
      <c r="H15">
        <v>119</v>
      </c>
      <c r="I15">
        <v>3451</v>
      </c>
      <c r="J15">
        <v>0.12</v>
      </c>
      <c r="K15">
        <v>3036.88</v>
      </c>
      <c r="L15">
        <v>414.11999999999989</v>
      </c>
      <c r="M15" s="1">
        <v>44136</v>
      </c>
      <c r="N15" s="1">
        <v>44136</v>
      </c>
      <c r="O15">
        <v>544</v>
      </c>
      <c r="P15">
        <v>4</v>
      </c>
      <c r="Q15" t="s">
        <v>32</v>
      </c>
      <c r="R15">
        <v>0.06</v>
      </c>
      <c r="S15">
        <v>182.21279999999999</v>
      </c>
      <c r="T15">
        <v>5</v>
      </c>
      <c r="U15" t="s">
        <v>117</v>
      </c>
    </row>
    <row r="16" spans="1:21">
      <c r="A16">
        <v>481</v>
      </c>
      <c r="B16" s="1">
        <v>44085</v>
      </c>
      <c r="C16" t="s">
        <v>127</v>
      </c>
      <c r="D16">
        <v>18</v>
      </c>
      <c r="E16" t="s">
        <v>83</v>
      </c>
      <c r="F16" t="s">
        <v>50</v>
      </c>
      <c r="G16">
        <v>46</v>
      </c>
      <c r="H16">
        <v>105</v>
      </c>
      <c r="I16">
        <v>4830</v>
      </c>
      <c r="J16">
        <v>0.06</v>
      </c>
      <c r="K16">
        <v>4540.2</v>
      </c>
      <c r="L16">
        <v>289.80000000000018</v>
      </c>
      <c r="M16" s="1">
        <v>44114</v>
      </c>
      <c r="N16" s="1">
        <v>44114</v>
      </c>
      <c r="O16">
        <v>481</v>
      </c>
      <c r="P16">
        <v>1</v>
      </c>
      <c r="Q16" t="s">
        <v>37</v>
      </c>
      <c r="R16">
        <v>7.0000000000000007E-2</v>
      </c>
      <c r="S16">
        <v>317.81400000000002</v>
      </c>
      <c r="T16">
        <v>5</v>
      </c>
      <c r="U16" t="s">
        <v>116</v>
      </c>
    </row>
    <row r="17" spans="1:21">
      <c r="A17">
        <v>395</v>
      </c>
      <c r="B17" s="1">
        <v>44045</v>
      </c>
      <c r="C17" t="s">
        <v>128</v>
      </c>
      <c r="D17">
        <v>18</v>
      </c>
      <c r="E17" t="s">
        <v>83</v>
      </c>
      <c r="F17" t="s">
        <v>21</v>
      </c>
      <c r="G17">
        <v>13</v>
      </c>
      <c r="H17">
        <v>107</v>
      </c>
      <c r="I17">
        <v>1391</v>
      </c>
      <c r="J17">
        <v>0.02</v>
      </c>
      <c r="K17">
        <v>1363.18</v>
      </c>
      <c r="L17">
        <v>27.819999999999936</v>
      </c>
      <c r="M17" s="1">
        <v>44064</v>
      </c>
      <c r="N17" s="1">
        <v>44064</v>
      </c>
      <c r="O17">
        <v>395</v>
      </c>
      <c r="P17">
        <v>4</v>
      </c>
      <c r="Q17" t="s">
        <v>29</v>
      </c>
      <c r="R17">
        <v>0.08</v>
      </c>
      <c r="S17">
        <v>109.0544</v>
      </c>
      <c r="T17">
        <v>3</v>
      </c>
      <c r="U17" t="s">
        <v>115</v>
      </c>
    </row>
    <row r="18" spans="1:21">
      <c r="A18">
        <v>314</v>
      </c>
      <c r="B18" s="1">
        <v>43999</v>
      </c>
      <c r="C18" t="s">
        <v>129</v>
      </c>
      <c r="D18">
        <v>18</v>
      </c>
      <c r="E18" t="s">
        <v>83</v>
      </c>
      <c r="F18" t="s">
        <v>59</v>
      </c>
      <c r="G18">
        <v>18</v>
      </c>
      <c r="H18">
        <v>100</v>
      </c>
      <c r="I18">
        <v>1800</v>
      </c>
      <c r="J18">
        <v>0.14000000000000001</v>
      </c>
      <c r="K18">
        <v>1548</v>
      </c>
      <c r="L18">
        <v>252</v>
      </c>
      <c r="M18" s="1">
        <v>44011</v>
      </c>
      <c r="N18" s="1">
        <v>44011</v>
      </c>
      <c r="O18">
        <v>314</v>
      </c>
      <c r="P18">
        <v>2</v>
      </c>
      <c r="Q18" t="s">
        <v>32</v>
      </c>
      <c r="R18">
        <v>7.0000000000000007E-2</v>
      </c>
      <c r="S18">
        <v>108.36000000000001</v>
      </c>
      <c r="T18">
        <v>6</v>
      </c>
      <c r="U18" t="s">
        <v>113</v>
      </c>
    </row>
    <row r="19" spans="1:21">
      <c r="A19">
        <v>313</v>
      </c>
      <c r="B19" s="1">
        <v>43999</v>
      </c>
      <c r="C19" t="s">
        <v>129</v>
      </c>
      <c r="D19">
        <v>18</v>
      </c>
      <c r="E19" t="s">
        <v>83</v>
      </c>
      <c r="F19" t="s">
        <v>50</v>
      </c>
      <c r="G19">
        <v>50</v>
      </c>
      <c r="H19">
        <v>97</v>
      </c>
      <c r="I19">
        <v>4850</v>
      </c>
      <c r="J19">
        <v>0.02</v>
      </c>
      <c r="K19">
        <v>4753</v>
      </c>
      <c r="L19">
        <v>97</v>
      </c>
      <c r="M19" s="1">
        <v>44013</v>
      </c>
      <c r="N19" s="1">
        <v>44013</v>
      </c>
      <c r="O19">
        <v>313</v>
      </c>
      <c r="P19">
        <v>7</v>
      </c>
      <c r="Q19" t="s">
        <v>25</v>
      </c>
      <c r="R19">
        <v>0.08</v>
      </c>
      <c r="S19">
        <v>380.24</v>
      </c>
      <c r="T19">
        <v>5</v>
      </c>
      <c r="U19" t="s">
        <v>113</v>
      </c>
    </row>
    <row r="20" spans="1:21">
      <c r="A20">
        <v>283</v>
      </c>
      <c r="B20" s="1">
        <v>43983</v>
      </c>
      <c r="C20" t="s">
        <v>129</v>
      </c>
      <c r="D20">
        <v>18</v>
      </c>
      <c r="E20" t="s">
        <v>83</v>
      </c>
      <c r="F20" t="s">
        <v>28</v>
      </c>
      <c r="G20">
        <v>35</v>
      </c>
      <c r="H20">
        <v>102</v>
      </c>
      <c r="I20">
        <v>3570</v>
      </c>
      <c r="J20">
        <v>0.03</v>
      </c>
      <c r="K20">
        <v>3462.9</v>
      </c>
      <c r="L20">
        <v>107.09999999999991</v>
      </c>
      <c r="M20" s="1">
        <v>44004</v>
      </c>
      <c r="N20" s="1">
        <v>44004</v>
      </c>
      <c r="O20">
        <v>283</v>
      </c>
      <c r="P20">
        <v>7</v>
      </c>
      <c r="Q20" t="s">
        <v>69</v>
      </c>
      <c r="R20">
        <v>0.08</v>
      </c>
      <c r="S20">
        <v>277.03200000000004</v>
      </c>
      <c r="T20">
        <v>3</v>
      </c>
      <c r="U20" t="s">
        <v>113</v>
      </c>
    </row>
    <row r="21" spans="1:21">
      <c r="A21">
        <v>112</v>
      </c>
      <c r="B21" s="1">
        <v>43895</v>
      </c>
      <c r="C21" t="s">
        <v>130</v>
      </c>
      <c r="D21">
        <v>18</v>
      </c>
      <c r="E21" t="s">
        <v>83</v>
      </c>
      <c r="F21" t="s">
        <v>24</v>
      </c>
      <c r="G21">
        <v>42</v>
      </c>
      <c r="H21">
        <v>98</v>
      </c>
      <c r="I21">
        <v>4116</v>
      </c>
      <c r="J21">
        <v>0.11</v>
      </c>
      <c r="K21">
        <v>3663.24</v>
      </c>
      <c r="L21">
        <v>452.76000000000022</v>
      </c>
      <c r="M21" s="1">
        <v>43900</v>
      </c>
      <c r="N21" s="1">
        <v>43900</v>
      </c>
      <c r="O21">
        <v>112</v>
      </c>
      <c r="P21">
        <v>5</v>
      </c>
      <c r="Q21" t="s">
        <v>25</v>
      </c>
      <c r="R21">
        <v>0.09</v>
      </c>
      <c r="S21">
        <v>329.69159999999999</v>
      </c>
      <c r="T21">
        <v>7</v>
      </c>
      <c r="U21" t="s">
        <v>110</v>
      </c>
    </row>
    <row r="22" spans="1:21">
      <c r="A22">
        <v>110</v>
      </c>
      <c r="B22" s="1">
        <v>43894</v>
      </c>
      <c r="C22" t="s">
        <v>130</v>
      </c>
      <c r="D22">
        <v>18</v>
      </c>
      <c r="E22" t="s">
        <v>83</v>
      </c>
      <c r="F22" t="s">
        <v>46</v>
      </c>
      <c r="G22">
        <v>33</v>
      </c>
      <c r="H22">
        <v>105</v>
      </c>
      <c r="I22">
        <v>3465</v>
      </c>
      <c r="J22">
        <v>0.03</v>
      </c>
      <c r="K22">
        <v>3361.05</v>
      </c>
      <c r="L22">
        <v>103.94999999999982</v>
      </c>
      <c r="M22" s="1">
        <v>43924</v>
      </c>
      <c r="N22" s="1">
        <v>43924</v>
      </c>
      <c r="O22">
        <v>110</v>
      </c>
      <c r="P22">
        <v>3</v>
      </c>
      <c r="Q22" t="s">
        <v>43</v>
      </c>
      <c r="R22">
        <v>0.09</v>
      </c>
      <c r="S22">
        <v>302.49450000000002</v>
      </c>
      <c r="T22">
        <v>5</v>
      </c>
      <c r="U22" t="s">
        <v>110</v>
      </c>
    </row>
    <row r="23" spans="1:21">
      <c r="A23">
        <v>89</v>
      </c>
      <c r="B23" s="1">
        <v>43880</v>
      </c>
      <c r="C23" t="s">
        <v>124</v>
      </c>
      <c r="D23">
        <v>18</v>
      </c>
      <c r="E23" t="s">
        <v>83</v>
      </c>
      <c r="F23" t="s">
        <v>46</v>
      </c>
      <c r="G23">
        <v>24</v>
      </c>
      <c r="H23">
        <v>116</v>
      </c>
      <c r="I23">
        <v>2784</v>
      </c>
      <c r="J23">
        <v>0.13</v>
      </c>
      <c r="K23">
        <v>2422.08</v>
      </c>
      <c r="L23">
        <v>361.92000000000007</v>
      </c>
      <c r="M23" s="1">
        <v>43899</v>
      </c>
      <c r="N23" s="1">
        <v>43899</v>
      </c>
      <c r="O23">
        <v>89</v>
      </c>
      <c r="P23">
        <v>4</v>
      </c>
      <c r="Q23" t="s">
        <v>34</v>
      </c>
      <c r="R23">
        <v>0.06</v>
      </c>
      <c r="S23">
        <v>145.32479999999998</v>
      </c>
      <c r="T23">
        <v>5</v>
      </c>
      <c r="U23" t="s">
        <v>109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496B3-7CDC-4FF6-AAAB-000D107ED91D}">
  <dimension ref="B4:P40"/>
  <sheetViews>
    <sheetView topLeftCell="A24" workbookViewId="0">
      <selection activeCell="B35" sqref="B35:C40"/>
    </sheetView>
  </sheetViews>
  <sheetFormatPr defaultRowHeight="15"/>
  <cols>
    <col min="2" max="2" width="12.42578125" bestFit="1" customWidth="1"/>
    <col min="3" max="3" width="14" bestFit="1" customWidth="1"/>
    <col min="4" max="4" width="10.140625" bestFit="1" customWidth="1"/>
    <col min="5" max="5" width="16.85546875" bestFit="1" customWidth="1"/>
    <col min="6" max="6" width="17.42578125" bestFit="1" customWidth="1"/>
    <col min="7" max="14" width="10.140625" bestFit="1" customWidth="1"/>
    <col min="15" max="15" width="6.85546875" bestFit="1" customWidth="1"/>
    <col min="16" max="16" width="11.140625" bestFit="1" customWidth="1"/>
    <col min="17" max="17" width="12.28515625" bestFit="1" customWidth="1"/>
    <col min="18" max="18" width="14" bestFit="1" customWidth="1"/>
    <col min="19" max="19" width="21.85546875" bestFit="1" customWidth="1"/>
    <col min="20" max="20" width="14" bestFit="1" customWidth="1"/>
    <col min="21" max="21" width="21.85546875" bestFit="1" customWidth="1"/>
    <col min="22" max="22" width="14" bestFit="1" customWidth="1"/>
    <col min="23" max="23" width="21.85546875" bestFit="1" customWidth="1"/>
    <col min="24" max="24" width="14" bestFit="1" customWidth="1"/>
    <col min="25" max="25" width="21.85546875" bestFit="1" customWidth="1"/>
    <col min="26" max="26" width="14" bestFit="1" customWidth="1"/>
    <col min="27" max="27" width="21.85546875" bestFit="1" customWidth="1"/>
    <col min="28" max="28" width="14" bestFit="1" customWidth="1"/>
    <col min="29" max="29" width="21.85546875" bestFit="1" customWidth="1"/>
    <col min="30" max="30" width="14" bestFit="1" customWidth="1"/>
    <col min="31" max="31" width="21.85546875" bestFit="1" customWidth="1"/>
    <col min="32" max="32" width="14" bestFit="1" customWidth="1"/>
    <col min="33" max="33" width="21.85546875" bestFit="1" customWidth="1"/>
    <col min="34" max="34" width="14" bestFit="1" customWidth="1"/>
    <col min="35" max="35" width="21.85546875" bestFit="1" customWidth="1"/>
    <col min="36" max="36" width="14" bestFit="1" customWidth="1"/>
    <col min="37" max="37" width="21.85546875" bestFit="1" customWidth="1"/>
    <col min="38" max="38" width="14" bestFit="1" customWidth="1"/>
    <col min="39" max="39" width="21.85546875" bestFit="1" customWidth="1"/>
    <col min="40" max="40" width="14" bestFit="1" customWidth="1"/>
    <col min="41" max="41" width="21.85546875" bestFit="1" customWidth="1"/>
    <col min="42" max="42" width="14" bestFit="1" customWidth="1"/>
    <col min="43" max="43" width="21.85546875" bestFit="1" customWidth="1"/>
    <col min="44" max="44" width="14" bestFit="1" customWidth="1"/>
    <col min="45" max="45" width="21.85546875" bestFit="1" customWidth="1"/>
    <col min="46" max="46" width="14" bestFit="1" customWidth="1"/>
    <col min="47" max="47" width="21.85546875" bestFit="1" customWidth="1"/>
    <col min="48" max="48" width="14" bestFit="1" customWidth="1"/>
    <col min="49" max="49" width="21.85546875" bestFit="1" customWidth="1"/>
    <col min="50" max="50" width="14" bestFit="1" customWidth="1"/>
    <col min="51" max="51" width="21.85546875" bestFit="1" customWidth="1"/>
    <col min="52" max="52" width="14" bestFit="1" customWidth="1"/>
    <col min="53" max="53" width="21.85546875" bestFit="1" customWidth="1"/>
    <col min="54" max="54" width="14" bestFit="1" customWidth="1"/>
    <col min="55" max="55" width="21.85546875" bestFit="1" customWidth="1"/>
    <col min="56" max="56" width="14" bestFit="1" customWidth="1"/>
    <col min="57" max="57" width="21.85546875" bestFit="1" customWidth="1"/>
    <col min="58" max="58" width="14" bestFit="1" customWidth="1"/>
    <col min="59" max="59" width="21.85546875" bestFit="1" customWidth="1"/>
    <col min="60" max="60" width="14" bestFit="1" customWidth="1"/>
    <col min="61" max="61" width="21.85546875" bestFit="1" customWidth="1"/>
    <col min="62" max="62" width="14" bestFit="1" customWidth="1"/>
    <col min="63" max="63" width="21.85546875" bestFit="1" customWidth="1"/>
    <col min="64" max="64" width="14" bestFit="1" customWidth="1"/>
    <col min="65" max="65" width="21.85546875" bestFit="1" customWidth="1"/>
    <col min="66" max="66" width="14" bestFit="1" customWidth="1"/>
    <col min="67" max="67" width="21.85546875" bestFit="1" customWidth="1"/>
    <col min="68" max="68" width="14" bestFit="1" customWidth="1"/>
    <col min="69" max="69" width="21.85546875" bestFit="1" customWidth="1"/>
    <col min="70" max="70" width="14" bestFit="1" customWidth="1"/>
    <col min="71" max="71" width="21.85546875" bestFit="1" customWidth="1"/>
    <col min="72" max="72" width="14" bestFit="1" customWidth="1"/>
    <col min="73" max="73" width="21.85546875" bestFit="1" customWidth="1"/>
    <col min="74" max="74" width="14" bestFit="1" customWidth="1"/>
    <col min="75" max="75" width="21.85546875" bestFit="1" customWidth="1"/>
    <col min="76" max="76" width="14" bestFit="1" customWidth="1"/>
    <col min="77" max="77" width="21.85546875" bestFit="1" customWidth="1"/>
    <col min="78" max="78" width="14" bestFit="1" customWidth="1"/>
    <col min="79" max="79" width="21.85546875" bestFit="1" customWidth="1"/>
    <col min="80" max="80" width="14" bestFit="1" customWidth="1"/>
    <col min="81" max="81" width="21.85546875" bestFit="1" customWidth="1"/>
    <col min="82" max="82" width="14" bestFit="1" customWidth="1"/>
    <col min="83" max="83" width="21.85546875" bestFit="1" customWidth="1"/>
    <col min="84" max="84" width="14" bestFit="1" customWidth="1"/>
    <col min="85" max="85" width="21.85546875" bestFit="1" customWidth="1"/>
    <col min="86" max="86" width="14" bestFit="1" customWidth="1"/>
    <col min="87" max="87" width="21.85546875" bestFit="1" customWidth="1"/>
    <col min="88" max="88" width="19" bestFit="1" customWidth="1"/>
    <col min="89" max="89" width="26.5703125" bestFit="1" customWidth="1"/>
  </cols>
  <sheetData>
    <row r="4" spans="2:16">
      <c r="B4" s="5" t="s">
        <v>2</v>
      </c>
      <c r="C4" t="s">
        <v>131</v>
      </c>
    </row>
    <row r="6" spans="2:16">
      <c r="B6" t="s">
        <v>132</v>
      </c>
    </row>
    <row r="7" spans="2:16">
      <c r="B7" s="18">
        <v>2945047.33</v>
      </c>
    </row>
    <row r="9" spans="2:16">
      <c r="C9" s="5" t="s">
        <v>2</v>
      </c>
    </row>
    <row r="10" spans="2:16">
      <c r="C10" t="s">
        <v>133</v>
      </c>
      <c r="D10" t="s">
        <v>124</v>
      </c>
      <c r="E10" t="s">
        <v>130</v>
      </c>
      <c r="F10" t="s">
        <v>123</v>
      </c>
      <c r="G10" t="s">
        <v>122</v>
      </c>
      <c r="H10" t="s">
        <v>129</v>
      </c>
      <c r="I10" t="s">
        <v>134</v>
      </c>
      <c r="J10" t="s">
        <v>128</v>
      </c>
      <c r="K10" t="s">
        <v>127</v>
      </c>
      <c r="L10" t="s">
        <v>126</v>
      </c>
      <c r="M10" t="s">
        <v>135</v>
      </c>
      <c r="N10" t="s">
        <v>125</v>
      </c>
      <c r="O10" t="s">
        <v>136</v>
      </c>
      <c r="P10" t="s">
        <v>137</v>
      </c>
    </row>
    <row r="11" spans="2:16">
      <c r="B11" t="s">
        <v>132</v>
      </c>
      <c r="C11" s="18">
        <v>300308.44000000006</v>
      </c>
      <c r="D11" s="18">
        <v>305617.22999999986</v>
      </c>
      <c r="E11" s="18">
        <v>378545.78</v>
      </c>
      <c r="F11" s="18">
        <v>295686.58000000013</v>
      </c>
      <c r="G11" s="18">
        <v>368532.49000000017</v>
      </c>
      <c r="H11" s="18">
        <v>331506.55999999994</v>
      </c>
      <c r="I11" s="18">
        <v>136091.89000000001</v>
      </c>
      <c r="J11" s="18">
        <v>203928.84</v>
      </c>
      <c r="K11" s="18">
        <v>142342.91999999998</v>
      </c>
      <c r="L11" s="18">
        <v>160146.56</v>
      </c>
      <c r="M11" s="18">
        <v>146667.71000000002</v>
      </c>
      <c r="N11" s="18">
        <v>175672.33</v>
      </c>
      <c r="O11" s="18"/>
      <c r="P11" s="18">
        <v>2945047.33</v>
      </c>
    </row>
    <row r="13" spans="2:16">
      <c r="B13" t="s">
        <v>132</v>
      </c>
    </row>
    <row r="14" spans="2:16">
      <c r="B14" s="18">
        <v>2945047.33</v>
      </c>
    </row>
    <row r="17" spans="2:6">
      <c r="B17" s="5" t="s">
        <v>5</v>
      </c>
      <c r="C17" t="s">
        <v>138</v>
      </c>
      <c r="E17" s="5" t="s">
        <v>4</v>
      </c>
      <c r="F17" t="s">
        <v>132</v>
      </c>
    </row>
    <row r="18" spans="2:6">
      <c r="B18" t="s">
        <v>46</v>
      </c>
      <c r="C18" s="18">
        <v>3756</v>
      </c>
      <c r="E18" t="s">
        <v>40</v>
      </c>
      <c r="F18" s="18">
        <v>77828.26999999999</v>
      </c>
    </row>
    <row r="19" spans="2:6">
      <c r="B19" t="s">
        <v>54</v>
      </c>
      <c r="C19" s="18">
        <v>1861</v>
      </c>
      <c r="E19" t="s">
        <v>49</v>
      </c>
      <c r="F19" s="18">
        <v>122212.37000000001</v>
      </c>
    </row>
    <row r="20" spans="2:6">
      <c r="B20" t="s">
        <v>31</v>
      </c>
      <c r="C20" s="18">
        <v>4292</v>
      </c>
      <c r="E20" t="s">
        <v>88</v>
      </c>
      <c r="F20" s="18">
        <v>88915.17</v>
      </c>
    </row>
    <row r="21" spans="2:6">
      <c r="B21" t="s">
        <v>28</v>
      </c>
      <c r="C21" s="18">
        <v>4081</v>
      </c>
      <c r="E21" t="s">
        <v>67</v>
      </c>
      <c r="F21" s="18">
        <v>143921.85</v>
      </c>
    </row>
    <row r="22" spans="2:6">
      <c r="B22" t="s">
        <v>55</v>
      </c>
      <c r="C22" s="18">
        <v>1611</v>
      </c>
      <c r="E22" t="s">
        <v>38</v>
      </c>
      <c r="F22" s="18">
        <v>468096.90999999986</v>
      </c>
    </row>
    <row r="23" spans="2:6">
      <c r="B23" t="s">
        <v>50</v>
      </c>
      <c r="C23" s="18">
        <v>4075</v>
      </c>
      <c r="E23" t="s">
        <v>137</v>
      </c>
      <c r="F23" s="18">
        <v>900974.56999999983</v>
      </c>
    </row>
    <row r="24" spans="2:6">
      <c r="B24" t="s">
        <v>21</v>
      </c>
      <c r="C24" s="18">
        <v>2347</v>
      </c>
    </row>
    <row r="25" spans="2:6">
      <c r="B25" t="s">
        <v>59</v>
      </c>
      <c r="C25" s="18">
        <v>2527</v>
      </c>
    </row>
    <row r="26" spans="2:6">
      <c r="B26" t="s">
        <v>24</v>
      </c>
      <c r="C26" s="18">
        <v>3922</v>
      </c>
      <c r="E26" s="5" t="s">
        <v>16</v>
      </c>
      <c r="F26" t="s">
        <v>139</v>
      </c>
    </row>
    <row r="27" spans="2:6">
      <c r="B27" t="s">
        <v>41</v>
      </c>
      <c r="C27" s="18">
        <v>1825</v>
      </c>
      <c r="E27" t="s">
        <v>52</v>
      </c>
      <c r="F27" s="7">
        <v>24044.968299999993</v>
      </c>
    </row>
    <row r="28" spans="2:6">
      <c r="B28" t="s">
        <v>137</v>
      </c>
      <c r="C28" s="18">
        <v>30297</v>
      </c>
      <c r="D28">
        <f>C28</f>
        <v>30297</v>
      </c>
      <c r="E28" t="s">
        <v>37</v>
      </c>
      <c r="F28" s="7">
        <v>22963.542499999996</v>
      </c>
    </row>
    <row r="29" spans="2:6">
      <c r="E29" t="s">
        <v>47</v>
      </c>
      <c r="F29" s="7">
        <v>22275.470000000012</v>
      </c>
    </row>
    <row r="30" spans="2:6">
      <c r="E30" t="s">
        <v>22</v>
      </c>
      <c r="F30" s="7">
        <v>22420.511000000006</v>
      </c>
    </row>
    <row r="31" spans="2:6">
      <c r="E31" t="s">
        <v>25</v>
      </c>
      <c r="F31" s="7">
        <v>22456.237700000005</v>
      </c>
    </row>
    <row r="32" spans="2:6">
      <c r="E32" t="s">
        <v>137</v>
      </c>
      <c r="F32" s="18">
        <v>114160.72950000002</v>
      </c>
    </row>
    <row r="35" spans="2:3">
      <c r="B35" s="20" t="s">
        <v>16</v>
      </c>
      <c r="C35" s="20" t="s">
        <v>139</v>
      </c>
    </row>
    <row r="36" spans="2:3">
      <c r="B36" t="s">
        <v>52</v>
      </c>
      <c r="C36" s="7">
        <v>24044.968299999993</v>
      </c>
    </row>
    <row r="37" spans="2:3">
      <c r="B37" t="s">
        <v>37</v>
      </c>
      <c r="C37" s="7">
        <v>22963.542499999996</v>
      </c>
    </row>
    <row r="38" spans="2:3">
      <c r="B38" t="s">
        <v>47</v>
      </c>
      <c r="C38" s="7">
        <v>22275.470000000012</v>
      </c>
    </row>
    <row r="39" spans="2:3">
      <c r="B39" t="s">
        <v>22</v>
      </c>
      <c r="C39" s="7">
        <v>22420.511000000006</v>
      </c>
    </row>
    <row r="40" spans="2:3">
      <c r="B40" t="s">
        <v>25</v>
      </c>
      <c r="C40" s="7">
        <v>22456.237700000005</v>
      </c>
    </row>
  </sheetData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B6C1E-260B-420C-A28D-14292841602D}">
  <dimension ref="A1:Y33"/>
  <sheetViews>
    <sheetView showGridLines="0" tabSelected="1" topLeftCell="A16" workbookViewId="0">
      <selection activeCell="C30" sqref="C30"/>
    </sheetView>
  </sheetViews>
  <sheetFormatPr defaultRowHeight="15"/>
  <cols>
    <col min="1" max="1" width="20" style="9" customWidth="1"/>
    <col min="2" max="2" width="9.7109375" style="9" customWidth="1"/>
    <col min="3" max="3" width="9.140625" style="11"/>
    <col min="4" max="4" width="14.7109375" style="11" customWidth="1"/>
    <col min="5" max="5" width="36.85546875" style="11" customWidth="1"/>
    <col min="6" max="6" width="10.42578125" style="11" customWidth="1"/>
    <col min="7" max="10" width="9.140625" style="11"/>
    <col min="11" max="11" width="14" style="11" bestFit="1" customWidth="1"/>
    <col min="12" max="25" width="9.140625" style="11"/>
  </cols>
  <sheetData>
    <row r="1" spans="1:25" s="13" customFormat="1">
      <c r="A1" s="9"/>
      <c r="B1" s="9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</row>
    <row r="2" spans="1:25" s="13" customFormat="1" ht="19.5">
      <c r="A2" s="9"/>
      <c r="B2" s="9"/>
      <c r="C2" s="12"/>
      <c r="D2" s="17" t="s">
        <v>140</v>
      </c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2"/>
      <c r="S2" s="12"/>
      <c r="T2" s="12"/>
      <c r="U2" s="12"/>
      <c r="V2" s="12"/>
      <c r="W2" s="12"/>
      <c r="X2" s="12"/>
      <c r="Y2" s="12"/>
    </row>
    <row r="3" spans="1:25" s="13" customFormat="1">
      <c r="A3" s="9"/>
      <c r="B3" s="9"/>
      <c r="C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</row>
    <row r="4" spans="1:25" s="13" customFormat="1">
      <c r="A4" s="9"/>
      <c r="B4" s="9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</row>
    <row r="7" spans="1:25">
      <c r="D7" s="12"/>
      <c r="E7" s="12"/>
    </row>
    <row r="8" spans="1:25">
      <c r="D8" s="12"/>
      <c r="E8" s="14"/>
      <c r="G8" s="12"/>
      <c r="H8" s="12"/>
      <c r="I8" s="12"/>
      <c r="J8" s="12"/>
      <c r="K8" s="12"/>
    </row>
    <row r="9" spans="1:25" ht="37.5">
      <c r="A9" s="21" t="s">
        <v>141</v>
      </c>
      <c r="D9" s="12"/>
      <c r="E9" s="15">
        <f>A15</f>
        <v>2945047.33</v>
      </c>
      <c r="G9" s="12"/>
      <c r="H9" s="12"/>
      <c r="I9" s="12"/>
      <c r="J9" s="12"/>
      <c r="K9" s="16">
        <f>Cálculos!D28</f>
        <v>30297</v>
      </c>
    </row>
    <row r="10" spans="1:25">
      <c r="D10" s="12"/>
      <c r="E10" s="12"/>
      <c r="G10" s="12"/>
      <c r="H10" s="12"/>
      <c r="I10" s="12"/>
      <c r="J10" s="12"/>
      <c r="K10" s="12"/>
    </row>
    <row r="12" spans="1:25">
      <c r="A12" s="9" t="s">
        <v>2</v>
      </c>
      <c r="B12" s="9" t="s">
        <v>131</v>
      </c>
    </row>
    <row r="14" spans="1:25">
      <c r="A14" s="9" t="s">
        <v>132</v>
      </c>
    </row>
    <row r="15" spans="1:25">
      <c r="A15" s="10">
        <v>2945047.33</v>
      </c>
    </row>
    <row r="17" spans="2:2">
      <c r="B17" s="9" t="s">
        <v>132</v>
      </c>
    </row>
    <row r="18" spans="2:2">
      <c r="B18" s="9">
        <v>2945047.33</v>
      </c>
    </row>
    <row r="33" spans="9:9">
      <c r="I33" s="19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/>
  <cp:revision/>
  <dcterms:created xsi:type="dcterms:W3CDTF">2023-06-28T00:08:17Z</dcterms:created>
  <dcterms:modified xsi:type="dcterms:W3CDTF">2025-04-07T20:22:03Z</dcterms:modified>
  <cp:category/>
  <cp:contentStatus/>
</cp:coreProperties>
</file>